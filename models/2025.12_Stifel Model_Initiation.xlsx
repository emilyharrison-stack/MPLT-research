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showInkAnnotation="0"/>
  <mc:AlternateContent xmlns:mc="http://schemas.openxmlformats.org/markup-compatibility/2006">
    <mc:Choice Requires="x15">
      <x15ac:absPath xmlns:x15ac="http://schemas.microsoft.com/office/spreadsheetml/2010/11/ac" url="Y:\Matteis\Companies\MPLT\Model\"/>
    </mc:Choice>
  </mc:AlternateContent>
  <xr:revisionPtr revIDLastSave="0" documentId="13_ncr:1_{E06820F0-A205-4257-BE3D-BFFD68D57345}" xr6:coauthVersionLast="47" xr6:coauthVersionMax="47" xr10:uidLastSave="{00000000-0000-0000-0000-000000000000}"/>
  <bookViews>
    <workbookView xWindow="-120" yWindow="-120" windowWidth="29040" windowHeight="15720" firstSheet="3" activeTab="3" xr2:uid="{00000000-000D-0000-FFFF-FFFF00000000}"/>
  </bookViews>
  <sheets>
    <sheet name="Disclaimer - READ FIRST" sheetId="18" r:id="rId1"/>
    <sheet name="Sources" sheetId="19" r:id="rId2"/>
    <sheet name="P&amp;L" sheetId="22" r:id="rId3"/>
    <sheet name="Valuation" sheetId="25" r:id="rId4"/>
    <sheet name="Revenue" sheetId="24" r:id="rId5"/>
    <sheet name="Schizophrenia" sheetId="27" r:id="rId6"/>
    <sheet name="ADP" sheetId="29" r:id="rId7"/>
    <sheet name="Multiple Sclerosis" sheetId="26"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FDS_HYPERLINK_TOGGLE_STATE__" hidden="1">"ON"</definedName>
    <definedName name="__FDS_UNIQUE_RANGE_ID_GENERATOR_COUNTER" hidden="1">1</definedName>
    <definedName name="__FDS_USED_FOR_REUSING_RANGE_IDS_RECYCLE" hidden="1">{32,45}</definedName>
    <definedName name="_1__FDSAUDITLINK__" hidden="1">{"fdsup://directions/FAT Viewer?action=UPDATE&amp;creator=factset&amp;DYN_ARGS=TRUE&amp;DOC_NAME=FAT:FQL_AUDITING_CLIENT_TEMPLATE.FAT&amp;display_string=Audit&amp;VAR:KEY=JCVKLIZIXU&amp;VAR:QUERY=RkZfRU5UUlBSX1ZBTF9EQUlMWSgwLCwsLCwnRElMJyk=&amp;WINDOW=FIRST_POPUP&amp;HEIGHT=450&amp;WIDTH=450&amp;","START_MAXIMIZED=FALSE&amp;VAR:CALENDAR=US&amp;VAR:SYMBOL=AMGN&amp;VAR:INDEX=0"}</definedName>
    <definedName name="_1998">[1]IS!#REF!</definedName>
    <definedName name="_2__FDSAUDITLINK__" hidden="1">{"fdsup://directions/FAT Viewer?action=UPDATE&amp;creator=factset&amp;DYN_ARGS=TRUE&amp;DOC_NAME=FAT:FQL_AUDITING_CLIENT_TEMPLATE.FAT&amp;display_string=Audit&amp;VAR:KEY=OHKLILSFUF&amp;VAR:QUERY=RkZfRU5UUlBSX1ZBTF9EQUlMWSgwLCwsLCwnRElMJyk=&amp;WINDOW=FIRST_POPUP&amp;HEIGHT=450&amp;WIDTH=450&amp;","START_MAXIMIZED=FALSE&amp;VAR:CALENDAR=US&amp;VAR:SYMBOL=ALTH&amp;VAR:INDEX=0"}</definedName>
    <definedName name="_3__FDSAUDITLINK__" hidden="1">{"fdsup://directions/FAT Viewer?action=UPDATE&amp;creator=factset&amp;DYN_ARGS=TRUE&amp;DOC_NAME=FAT:FQL_AUDITING_CLIENT_TEMPLATE.FAT&amp;display_string=Audit&amp;VAR:KEY=WNMTCBOTMV&amp;VAR:QUERY=RkZfRU5UUlBSX1ZBTF9EQUlMWSgwLCwsLCwnRElMJyk=&amp;WINDOW=FIRST_POPUP&amp;HEIGHT=450&amp;WIDTH=450&amp;","START_MAXIMIZED=FALSE&amp;VAR:CALENDAR=US&amp;VAR:SYMBOL=AMLN&amp;VAR:INDEX=0"}</definedName>
    <definedName name="_4__FDSAUDITLINK__" hidden="1">{"fdsup://directions/FAT Viewer?action=UPDATE&amp;creator=factset&amp;DYN_ARGS=TRUE&amp;DOC_NAME=FAT:FQL_AUDITING_CLIENT_TEMPLATE.FAT&amp;display_string=Audit&amp;VAR:KEY=CVQPIFKDKL&amp;VAR:QUERY=RkZfRU5UUlBSX1ZBTF9EQUlMWSgwLCwsLCwnRElMJyk=&amp;WINDOW=FIRST_POPUP&amp;HEIGHT=450&amp;WIDTH=450&amp;","START_MAXIMIZED=FALSE&amp;VAR:CALENDAR=US&amp;VAR:SYMBOL=GILD&amp;VAR:INDEX=0"}</definedName>
    <definedName name="_5__FDSAUDITLINK__" hidden="1">{"fdsup://directions/FAT Viewer?action=UPDATE&amp;creator=factset&amp;DYN_ARGS=TRUE&amp;DOC_NAME=FAT:FQL_AUDITING_CLIENT_TEMPLATE.FAT&amp;display_string=Audit&amp;VAR:KEY=PWLKTODCXU&amp;VAR:QUERY=RkZfRU5UUlBSX1ZBTF9EQUlMWSgwLCwsLCwnRElMJyk=&amp;WINDOW=FIRST_POPUP&amp;HEIGHT=450&amp;WIDTH=450&amp;","START_MAXIMIZED=FALSE&amp;VAR:CALENDAR=US&amp;VAR:SYMBOL=AMGN&amp;VAR:INDEX=0"}</definedName>
    <definedName name="_6__FDSAUDITLINK__" hidden="1">{"fdsup://directions/FAT Viewer?action=UPDATE&amp;creator=factset&amp;DYN_ARGS=TRUE&amp;DOC_NAME=FAT:FQL_AUDITING_CLIENT_TEMPLATE.FAT&amp;display_string=Audit&amp;VAR:KEY=UJGPCZELUX&amp;VAR:QUERY=RkZfRU5UUlBSX1ZBTF9EQUlMWSgwLCwsLCwnRElMJyk=&amp;WINDOW=FIRST_POPUP&amp;HEIGHT=450&amp;WIDTH=450&amp;","START_MAXIMIZED=FALSE&amp;VAR:CALENDAR=US&amp;VAR:SYMBOL=GENZ&amp;VAR:INDEX=0"}</definedName>
    <definedName name="_7__FDSAUDITLINK__" hidden="1">{"fdsup://directions/FAT Viewer?action=UPDATE&amp;creator=factset&amp;DYN_ARGS=TRUE&amp;DOC_NAME=FAT:FQL_AUDITING_CLIENT_TEMPLATE.FAT&amp;display_string=Audit&amp;VAR:KEY=PANYVYNADO&amp;VAR:QUERY=RkZfRU5UUlBSX1ZBTF9EQUlMWSgwLCwsLCwnRElMJyk=&amp;WINDOW=FIRST_POPUP&amp;HEIGHT=450&amp;WIDTH=450&amp;","START_MAXIMIZED=FALSE&amp;VAR:CALENDAR=US&amp;VAR:SYMBOL=INCY&amp;VAR:INDEX=0"}</definedName>
    <definedName name="_bdm.00A75B3BFEB948D4B1006B92BA6C1125.edm" hidden="1">#REF!</definedName>
    <definedName name="_bdm.048F4163A7BB4186891DC124FB3B9E66.edm" hidden="1">[2]AUXL!$1:$1048576</definedName>
    <definedName name="_bdm.07e7c41301cb497d81fc6a4d39b93ece.edm" hidden="1">#REF!</definedName>
    <definedName name="_bdm.0A309FB73F594FF392DEEA7C580EDC49.edm" localSheetId="3" hidden="1">#REF!</definedName>
    <definedName name="_bdm.0A309FB73F594FF392DEEA7C580EDC49.edm" hidden="1">#REF!</definedName>
    <definedName name="_bdm.110cd3ff101a4dfb8b11ecb40faff097.edm" hidden="1">'P&amp;L'!$1:$1048576</definedName>
    <definedName name="_bdm.2ae105826d474651a47e59fec7c21aab.edm" localSheetId="2" hidden="1">'P&amp;L'!$A$1:$G$61</definedName>
    <definedName name="_bdm.36bd0fa9e9b34a089cc0d8965ee6e695.edm" localSheetId="3" hidden="1">#REF!</definedName>
    <definedName name="_bdm.36bd0fa9e9b34a089cc0d8965ee6e695.edm" hidden="1">#REF!</definedName>
    <definedName name="_bdm.380bdc751fe349c5b99b4d7ba7c955dd.edm" localSheetId="3" hidden="1">Valuation!$A$1:$R$21</definedName>
    <definedName name="_bdm.3CC90336AE594B0CBE7317C53C0D66DD.edm" hidden="1">#REF!</definedName>
    <definedName name="_bdm.3FECBA13036545C79B9A473AA4E3CAED.edm" localSheetId="4" hidden="1">#REF!</definedName>
    <definedName name="_bdm.3FECBA13036545C79B9A473AA4E3CAED.edm" localSheetId="3" hidden="1">#REF!</definedName>
    <definedName name="_bdm.3FECBA13036545C79B9A473AA4E3CAED.edm" hidden="1">#REF!</definedName>
    <definedName name="_bdm.43c30b31f9a446a187b1763df5e34cc0.edm" hidden="1">#REF!</definedName>
    <definedName name="_bdm.4fed44bbad35442d99a13118e8d83054.edm" hidden="1">#REF!</definedName>
    <definedName name="_bdm.50f7c998223b4e6cb6888b5fd1d3acf4.edm" hidden="1">#REF!</definedName>
    <definedName name="_bdm.51a8ad783ed84e12945039762e3ff5e4.edm" hidden="1">#REF!</definedName>
    <definedName name="_bdm.6a913d55a9f8492d98779e5fcb5df8b8.edm" localSheetId="2" hidden="1">'P&amp;L'!$A$1:$M$33</definedName>
    <definedName name="_bdm.73E75839B59247D78AD12A7ABF451BA5.edm" hidden="1">#REF!</definedName>
    <definedName name="_bdm.7baec506e6bb4161a289fc91499727cc.edm" hidden="1">#REF!</definedName>
    <definedName name="_bdm.85F956EE9B934FCC90B82D962ABE7E4B.edm" localSheetId="3" hidden="1">#REF!</definedName>
    <definedName name="_bdm.85F956EE9B934FCC90B82D962ABE7E4B.edm" hidden="1">#REF!</definedName>
    <definedName name="_bdm.8751bca9b694467193602c4498fc9168.edm" hidden="1">#REF!</definedName>
    <definedName name="_bdm.8b8e4b6953c04d7386219ff91d1978d8.edm" hidden="1">#REF!</definedName>
    <definedName name="_bdm.9ac05861fffe4af5964e772bdab5a3ac.edm" localSheetId="2" hidden="1">'P&amp;L'!$A$1:$M$34</definedName>
    <definedName name="_bdm.b3cbc8cb87b241c0aab45ec6c4c06f68.edm" localSheetId="3" hidden="1">#REF!</definedName>
    <definedName name="_bdm.b3cbc8cb87b241c0aab45ec6c4c06f68.edm" hidden="1">#REF!</definedName>
    <definedName name="_bdm.bc816e0422ec4e3393e5add403443dea.edm" localSheetId="3" hidden="1">#REF!</definedName>
    <definedName name="_bdm.bc816e0422ec4e3393e5add403443dea.edm" hidden="1">#REF!</definedName>
    <definedName name="_bdm.BCA692EA8DA14CC58B63708772023CBC.edm" localSheetId="2" hidden="1">#REF!</definedName>
    <definedName name="_bdm.BCA692EA8DA14CC58B63708772023CBC.edm" hidden="1">#REF!</definedName>
    <definedName name="_bdm.C0347D30F6BF45AEBD63CCD154CEE0AD.edm" localSheetId="2" hidden="1">#REF!</definedName>
    <definedName name="_bdm.C0347D30F6BF45AEBD63CCD154CEE0AD.edm" hidden="1">#REF!</definedName>
    <definedName name="_bdm.D1CDDDF8871042828041D8DB53A9D5AC.edm" hidden="1">#REF!</definedName>
    <definedName name="_bdm.D48B363CFF8C49A393CBEDF535AFA0CA.edm" hidden="1">#REF!</definedName>
    <definedName name="_bdm.dd48c12252d247fca592e329a6da920c.edm" hidden="1">#REF!</definedName>
    <definedName name="_bdm.DDAFAC9F68D2461B9A3C1789AAA3B60A.edm" hidden="1">#REF!</definedName>
    <definedName name="_bdm.e0588cfb673a49939aa7afc54a72f8e7.edm" localSheetId="2" hidden="1">'P&amp;L'!$A$1:$A$60</definedName>
    <definedName name="_bdm.E28D35AE01074B6AABC3B4E5C342C03C.edm" localSheetId="2" hidden="1">#REF!</definedName>
    <definedName name="_bdm.E28D35AE01074B6AABC3B4E5C342C03C.edm" localSheetId="3" hidden="1">#REF!</definedName>
    <definedName name="_bdm.E28D35AE01074B6AABC3B4E5C342C03C.edm" hidden="1">#REF!</definedName>
    <definedName name="_bdm.E2988752873B4E60BC0EA1041C81F2B4.edm" hidden="1">#REF!</definedName>
    <definedName name="_bdm.e4cd4026d07f4b938056671e286895c5.edm" hidden="1">Valuation!$1:$1048576</definedName>
    <definedName name="_bdm.EB10CA33154A48478593B52CEC155E75.edm" hidden="1">#REF!</definedName>
    <definedName name="_bdm.edae583d74604c4b87f059ddbbb5c00a.edm" hidden="1">#REF!</definedName>
    <definedName name="_bdm.f23873c1f86a4dcda190c5a3acf0931b.edm" localSheetId="3" hidden="1">Valuation!$A$4:$R$21</definedName>
    <definedName name="_bdm.fa48cc5f016e4f83a8dfe2576a68f3a0.edm" localSheetId="3" hidden="1">#REF!</definedName>
    <definedName name="_bdm.fa48cc5f016e4f83a8dfe2576a68f3a0.edm" hidden="1">#REF!</definedName>
    <definedName name="_bdm.FastTrackBookmark.2_21_2023_2_08_41_PM.edm" hidden="1">Revenue!#REF!</definedName>
    <definedName name="_bdm.FastTrackBookmark.2_21_2023_2_27_36_PM.edm" hidden="1">Revenue!#REF!</definedName>
    <definedName name="_bdm.FEE0BD8D2B054EA499A77D7CF1B66059.edm" hidden="1">#REF!</definedName>
    <definedName name="_CTO05">[3]BS!$S$43</definedName>
    <definedName name="_DSO01">[4]BS!#REF!</definedName>
    <definedName name="_DSO02">[4]BS!#REF!</definedName>
    <definedName name="_DSO03">[4]BS!#REF!</definedName>
    <definedName name="_DSO04">[4]BS!#REF!</definedName>
    <definedName name="_dso05">[4]BS!#REF!</definedName>
    <definedName name="_dso98">[5]BS!$F$51</definedName>
    <definedName name="_dso99">[5]BS!$K$51</definedName>
    <definedName name="_EPS01">[5]HCA!#REF!</definedName>
    <definedName name="_eps02">[5]HCA!#REF!</definedName>
    <definedName name="_eps03">[5]HCA!#REF!</definedName>
    <definedName name="_eps04">[5]HCA!#REF!</definedName>
    <definedName name="_eps05">[5]HCA!#REF!</definedName>
    <definedName name="_EPS06">[6]OCR!$AO$48</definedName>
    <definedName name="_EPS07">[6]OCR!$AT$48</definedName>
    <definedName name="_EPS98">[5]HCA!#REF!</definedName>
    <definedName name="_EPS99">[5]HCA!#REF!</definedName>
    <definedName name="_Key1">[7]BMY!#REF!</definedName>
    <definedName name="_nd0306">[8]BS!$AP$140</definedName>
    <definedName name="_nd0606">[8]BS!$AQ$140</definedName>
    <definedName name="_nd0906">[8]BS!$AR$140</definedName>
    <definedName name="_ni01">[5]HCA!#REF!</definedName>
    <definedName name="_ni02">[5]HCA!#REF!</definedName>
    <definedName name="_ni03">[5]HCA!#REF!</definedName>
    <definedName name="_ni04">[5]HCA!#REF!</definedName>
    <definedName name="_ni98">[5]HCA!#REF!</definedName>
    <definedName name="_ni99">[5]HCA!#REF!</definedName>
    <definedName name="_Order1">0</definedName>
    <definedName name="_rev01">[5]HCA!#REF!</definedName>
    <definedName name="_rev02">[5]HCA!#REF!</definedName>
    <definedName name="_rev03">[5]HCA!#REF!</definedName>
    <definedName name="_rev04">[5]HCA!#REF!</definedName>
    <definedName name="_rev05">[5]HCA!#REF!</definedName>
    <definedName name="_rev06">[6]OCR!$AO$8</definedName>
    <definedName name="_rev07">[6]OCR!$AT$8</definedName>
    <definedName name="_rev98">[5]HCA!#REF!</definedName>
    <definedName name="_rev99">[5]HCA!#REF!</definedName>
    <definedName name="_roa01">[5]BS!#REF!</definedName>
    <definedName name="_roa02">[5]BS!#REF!</definedName>
    <definedName name="_roa03">[5]BS!#REF!</definedName>
    <definedName name="_roa04">[5]BS!#REF!</definedName>
    <definedName name="_roa05">[5]BS!#REF!</definedName>
    <definedName name="_roa98">[5]BS!#REF!</definedName>
    <definedName name="_roa99">[5]BS!#REF!</definedName>
    <definedName name="_roe01">[5]BS!$U$46</definedName>
    <definedName name="_roe02">[5]BS!$Z$46</definedName>
    <definedName name="_roe03">[5]BS!$AE$46</definedName>
    <definedName name="_roe04">[5]BS!$AJ$46</definedName>
    <definedName name="_roe05">[5]BS!$AO$46</definedName>
    <definedName name="_roe98">[5]BS!$F$46</definedName>
    <definedName name="_roe99">[5]BS!$K$46</definedName>
    <definedName name="_Sort">[7]BMY!#REF!</definedName>
    <definedName name="admissions0302">[1]Same!$L$20</definedName>
    <definedName name="backlogsorders">#REF!</definedName>
    <definedName name="balancesheet">#REF!</definedName>
    <definedName name="balsheet">#REF!</definedName>
    <definedName name="BalShGraphs">#REF!</definedName>
    <definedName name="balsht1991">#REF!</definedName>
    <definedName name="balsht1992">#REF!</definedName>
    <definedName name="balsht1993">#REF!</definedName>
    <definedName name="balsht1994">#REF!</definedName>
    <definedName name="balsht1995">#REF!</definedName>
    <definedName name="balsht1996">#REF!</definedName>
    <definedName name="balsht1997">#REF!</definedName>
    <definedName name="balsht1998">#REF!</definedName>
    <definedName name="balsht1999">#REF!</definedName>
    <definedName name="balsht2000">#REF!</definedName>
    <definedName name="beds00">[5]Revenue!#REF!</definedName>
    <definedName name="beds01">[5]Revenue!#REF!</definedName>
    <definedName name="beds02">[5]Revenue!#REF!</definedName>
    <definedName name="beds03">[5]Revenue!#REF!</definedName>
    <definedName name="beds0304">[3]REV!#REF!</definedName>
    <definedName name="beds04">[5]Revenue!#REF!</definedName>
    <definedName name="BEDS05">[5]Revenue!#REF!</definedName>
    <definedName name="beds0903">[3]REV!#REF!</definedName>
    <definedName name="beds1203">[3]REV!#REF!</definedName>
    <definedName name="beds98">[5]Revenue!#REF!</definedName>
    <definedName name="beds99">[5]Revenue!#REF!</definedName>
    <definedName name="bkval00">[5]BS!$P$56</definedName>
    <definedName name="bkval01">[5]BS!$U$56</definedName>
    <definedName name="bkval02">[5]BS!$Z$56</definedName>
    <definedName name="bkval03">[5]BS!$AE$56</definedName>
    <definedName name="bkval04">[5]BS!$AJ$56</definedName>
    <definedName name="bkval05">[5]BS!$AO$56</definedName>
    <definedName name="bkval98">[5]BS!$F$56</definedName>
    <definedName name="bkval99">[5]BS!$K$56</definedName>
    <definedName name="breakup">#REF!</definedName>
    <definedName name="BSGraphs">#REF!</definedName>
    <definedName name="cash0304">[3]BS!$J$6</definedName>
    <definedName name="cash0903">[3]BS!$G$6</definedName>
    <definedName name="cash1203">[9]BS!$AF$7</definedName>
    <definedName name="cash1991">#REF!</definedName>
    <definedName name="cash1992">#REF!</definedName>
    <definedName name="cash1993">#REF!</definedName>
    <definedName name="cash1994">#REF!</definedName>
    <definedName name="cash1995">#REF!</definedName>
    <definedName name="cash1996">#REF!</definedName>
    <definedName name="cash1997">#REF!</definedName>
    <definedName name="cash1998">#REF!</definedName>
    <definedName name="cash1999">#REF!</definedName>
    <definedName name="cash2000">#REF!</definedName>
    <definedName name="CashFloGrphs">#REF!</definedName>
    <definedName name="cashflow">#REF!</definedName>
    <definedName name="CashFlowGraphs">#REF!</definedName>
    <definedName name="CBWorkbookPriority" hidden="1">-802538173</definedName>
    <definedName name="cfps00">[5]CF!#REF!</definedName>
    <definedName name="cfps01">[5]CF!#REF!</definedName>
    <definedName name="cfps02">[5]CF!#REF!</definedName>
    <definedName name="cfps03">[5]CF!#REF!</definedName>
    <definedName name="cfps04">[3]CF!$N$43</definedName>
    <definedName name="cfps05">[3]CF!$S$43</definedName>
    <definedName name="cfps06">[3]CF!$X$43</definedName>
    <definedName name="cfps98">[5]CF!#REF!</definedName>
    <definedName name="cfps99">[5]CF!#REF!</definedName>
    <definedName name="CIQWBGuid" hidden="1">"HPP market model v3.xlsx"</definedName>
    <definedName name="CNS">[7]BMY!#REF!</definedName>
    <definedName name="co">[10]AMETEK!$A$2</definedName>
    <definedName name="_xlnm.Criteria">#REF!</definedName>
    <definedName name="cycfps00">'[9]Q Analysis'!$C$109</definedName>
    <definedName name="cycfps01">'[9]Q Analysis'!$D$109</definedName>
    <definedName name="cycfps02">'[9]Q Analysis'!$E$109</definedName>
    <definedName name="cycfps03">'[9]Q Analysis'!$F$109</definedName>
    <definedName name="cycfps04">'[9]Q Analysis'!$G$109</definedName>
    <definedName name="cycfps05">'[9]Q Analysis'!$H$109</definedName>
    <definedName name="cycfps06">'[9]Q Analysis'!$I$109</definedName>
    <definedName name="cycfps07">'[9]Q Analysis'!$J$109</definedName>
    <definedName name="cyebitda00">'[9]Q Analysis'!$C$15</definedName>
    <definedName name="cyebitda01">'[9]Q Analysis'!$D$15</definedName>
    <definedName name="cyebitda02">'[9]Q Analysis'!$E$15</definedName>
    <definedName name="cyebitda03">'[9]Q Analysis'!$F$15</definedName>
    <definedName name="cyebitda04">'[9]Q Analysis'!$G$15</definedName>
    <definedName name="cyebitda05">'[9]Q Analysis'!$H$15</definedName>
    <definedName name="cyebitda06">'[9]Q Analysis'!$I$15</definedName>
    <definedName name="cyebitda07">'[9]Q Analysis'!$J$15</definedName>
    <definedName name="cyeps00">'[9]Q Analysis'!$C$40</definedName>
    <definedName name="cyeps01">'[9]Q Analysis'!$D$40</definedName>
    <definedName name="cyeps02">'[9]Q Analysis'!$E$40</definedName>
    <definedName name="cyeps03">'[9]Q Analysis'!$F$40</definedName>
    <definedName name="cyeps04">'[9]Q Analysis'!$G$40</definedName>
    <definedName name="cyeps05">'[9]Q Analysis'!$H$40</definedName>
    <definedName name="cyeps06">'[9]Q Analysis'!$I$40</definedName>
    <definedName name="cyfcfps00">'[9]Q Analysis'!$C$110</definedName>
    <definedName name="cyfcfps01">'[9]Q Analysis'!$D$110</definedName>
    <definedName name="cyfcfps02">'[9]Q Analysis'!$E$110</definedName>
    <definedName name="cyfcfps03">'[9]Q Analysis'!$F$110</definedName>
    <definedName name="cyfcfps04">'[9]Q Analysis'!$G$110</definedName>
    <definedName name="cyfcfps05">'[9]Q Analysis'!$H$110</definedName>
    <definedName name="cyfcfps06">'[9]Q Analysis'!$I$110</definedName>
    <definedName name="cyfcfps07">'[9]Q Analysis'!$J$110</definedName>
    <definedName name="cyptaxmgn00">'[9]Q Analysis'!$C$27</definedName>
    <definedName name="cyptaxmgn01">'[9]Q Analysis'!$D$27</definedName>
    <definedName name="cyptaxmgn02">'[9]Q Analysis'!$E$27</definedName>
    <definedName name="cyptaxmgn03">'[9]Q Analysis'!$F$27</definedName>
    <definedName name="cyptaxmgn04">'[9]Q Analysis'!$G$27</definedName>
    <definedName name="cyptaxmgn99">'[9]Q Analysis'!$B$27</definedName>
    <definedName name="cyrev00">'[9]Q Analysis'!$C$7</definedName>
    <definedName name="cyrev01">'[9]Q Analysis'!$D$7</definedName>
    <definedName name="cyrev02">'[9]Q Analysis'!$E$7</definedName>
    <definedName name="cyrev03">'[9]Q Analysis'!$F$7</definedName>
    <definedName name="cyrev04">'[9]Q Analysis'!$G$7</definedName>
    <definedName name="CYREV05">'[9]Q Analysis'!$H$7</definedName>
    <definedName name="cyrev06">'[9]Q Analysis'!$I$7</definedName>
    <definedName name="cyrev07">'[9]Q Analysis'!$J$7</definedName>
    <definedName name="cyroic00">'[9]Q Analysis'!$C$93</definedName>
    <definedName name="cyroic01">'[9]Q Analysis'!$D$93</definedName>
    <definedName name="cyroic02">'[9]Q Analysis'!$E$93</definedName>
    <definedName name="cyroic03">'[9]Q Analysis'!$F$93</definedName>
    <definedName name="cyroic04">'[9]Q Analysis'!$G$93</definedName>
    <definedName name="date">[11]Cover!$H$1</definedName>
    <definedName name="derm.other.total">[7]BMY!#REF!</definedName>
    <definedName name="DSO00">[4]BS!#REF!</definedName>
    <definedName name="EBIT05">[6]OCR!$AJ$21</definedName>
    <definedName name="EBIT06">[6]OCR!$AO$21</definedName>
    <definedName name="EBIT07">[6]OCR!$AT$21</definedName>
    <definedName name="ebitda00">[5]HCA!#REF!</definedName>
    <definedName name="ebitda01">[5]HCA!#REF!</definedName>
    <definedName name="ebitda02">[5]HCA!#REF!</definedName>
    <definedName name="ebitda03">[5]HCA!#REF!</definedName>
    <definedName name="ebitda04">[5]HCA!#REF!</definedName>
    <definedName name="ebitda05">[5]HCA!#REF!</definedName>
    <definedName name="ebitda06">[6]OCR!$AO$16</definedName>
    <definedName name="ebitda07">[6]OCR!$AT$16</definedName>
    <definedName name="EBITDA98">[5]HCA!#REF!</definedName>
    <definedName name="ebitda99">[5]HCA!#REF!</definedName>
    <definedName name="ebitdamgn00">[5]HCA!#REF!</definedName>
    <definedName name="ebitdamgn01">[5]HCA!#REF!</definedName>
    <definedName name="ebitdamgn02">[5]HCA!#REF!</definedName>
    <definedName name="ebitdamgn03">[5]HCA!#REF!</definedName>
    <definedName name="ebitdamgn04">[5]HCA!#REF!</definedName>
    <definedName name="ebitdamgn05">[5]HCA!#REF!</definedName>
    <definedName name="ebitdamgn98">[5]HCA!#REF!</definedName>
    <definedName name="ebitdamgn99">[5]HCA!#REF!</definedName>
    <definedName name="ENHANCEdass">[12]LLY!#REF!</definedName>
    <definedName name="EPS00">[5]HCA!#REF!</definedName>
    <definedName name="eqad00">[5]Revenue!#REF!</definedName>
    <definedName name="eqad01">[5]Revenue!#REF!</definedName>
    <definedName name="eqad02">[5]Revenue!#REF!</definedName>
    <definedName name="eqad03">[5]Revenue!#REF!</definedName>
    <definedName name="eqad04">[5]Revenue!#REF!</definedName>
    <definedName name="EQAD05">[5]Revenue!#REF!</definedName>
    <definedName name="eqad98">[5]Revenue!#REF!</definedName>
    <definedName name="eqad99">[5]Revenue!#REF!</definedName>
    <definedName name="eqadg00">[5]Revenue!#REF!</definedName>
    <definedName name="eqadg01">[5]Revenue!#REF!</definedName>
    <definedName name="eqadg02">[5]Revenue!#REF!</definedName>
    <definedName name="eqadg03">[5]Revenue!#REF!</definedName>
    <definedName name="eqadg04">[5]Revenue!#REF!</definedName>
    <definedName name="EQADG05">[5]Revenue!#REF!</definedName>
    <definedName name="eqadg99">[5]Revenue!#REF!</definedName>
    <definedName name="fcfps00">[5]CF!#REF!</definedName>
    <definedName name="fcfps01">[5]CF!#REF!</definedName>
    <definedName name="fcfps02">[5]CF!#REF!</definedName>
    <definedName name="fcfps03">[5]CF!#REF!</definedName>
    <definedName name="fcfps04">[3]CF!$N$44</definedName>
    <definedName name="fcfps05">[3]CF!$S$44</definedName>
    <definedName name="fcfps06">[3]CF!$X$44</definedName>
    <definedName name="fcfps07">[3]CF!$AC$44</definedName>
    <definedName name="fcfps08">[3]CF!$AH$44</definedName>
    <definedName name="fcfps98">[5]CF!#REF!</definedName>
    <definedName name="fcfps99">[5]CF!#REF!</definedName>
    <definedName name="FDP_0_1_aUrv" hidden="1">#REF!</definedName>
    <definedName name="FDP_1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0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1_1_aUrv" hidden="1">#REF!</definedName>
    <definedName name="FDP_153_1_aU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9_1_aUrv" hidden="1">#REF!</definedName>
    <definedName name="FDP_18_1_aUr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3_1_aDrv" hidden="1">#REF!</definedName>
    <definedName name="FDP_25_1_aUrv" hidden="1">#REF!</definedName>
    <definedName name="FDP_26_1_aUrv" hidden="1">#REF!</definedName>
    <definedName name="FDP_28_1_aUrv" hidden="1">#REF!</definedName>
    <definedName name="FDP_3_1_aUrv" hidden="1">#REF!</definedName>
    <definedName name="FDP_30_1_aUrv" hidden="1">#REF!</definedName>
    <definedName name="FDP_31_1_aUrv" hidden="1">#REF!</definedName>
    <definedName name="FDP_32_1_aUrv" hidden="1">#REF!</definedName>
    <definedName name="FDP_34_1_aUrv" hidden="1">#REF!</definedName>
    <definedName name="FDP_36_1_aUrv" hidden="1">#REF!</definedName>
    <definedName name="FDP_37_1_aUrv" hidden="1">#REF!</definedName>
    <definedName name="FDP_38_1_aUrv" hidden="1">#REF!</definedName>
    <definedName name="FDP_40_1_aUrv" hidden="1">#REF!</definedName>
    <definedName name="FDP_43_1_aUrv" hidden="1">#REF!</definedName>
    <definedName name="FDP_44_1_aUrv" hidden="1">#REF!</definedName>
    <definedName name="FDP_47_1_aUrv" hidden="1">#REF!</definedName>
    <definedName name="FDP_49_1_aUrv" hidden="1">#REF!</definedName>
    <definedName name="FDP_50_1_aUrv" hidden="1">#REF!</definedName>
    <definedName name="FDP_51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0_1_aUrv" hidden="1">#REF!</definedName>
    <definedName name="FDP_63_1_aUrv" hidden="1">#REF!</definedName>
    <definedName name="FDP_65_1_aSrv" hidden="1">#REF!</definedName>
    <definedName name="FDP_67_1_aUrv" hidden="1">#REF!</definedName>
    <definedName name="FDP_7_1_aUrv" hidden="1">#REF!</definedName>
    <definedName name="FDP_71_1_aUrv" hidden="1">#REF!</definedName>
    <definedName name="FDP_77_1_aUrv" hidden="1">#REF!</definedName>
    <definedName name="FDP_79_1_aUrv" hidden="1">#REF!</definedName>
    <definedName name="FDP_82_1_aUrv" hidden="1">#REF!</definedName>
    <definedName name="FDP_84_1_aUrv" hidden="1">#REF!</definedName>
    <definedName name="FDP_85_1_aUrv" hidden="1">#REF!</definedName>
    <definedName name="FDP_90_1_aUrv" hidden="1">#REF!</definedName>
    <definedName name="FDP_91_1_aUrv" hidden="1">#REF!</definedName>
    <definedName name="FDP_92_1_aSrv" hidden="1">#REF!</definedName>
    <definedName name="FDP_95_1_aUrv" hidden="1">#REF!</definedName>
    <definedName name="FDP_96_1_aUrv" hidden="1">#REF!</definedName>
    <definedName name="FDP_99_1_aUrv" hidden="1">#REF!</definedName>
    <definedName name="financial.trends">[12]LLY!#REF!</definedName>
    <definedName name="firm">[10]AMETEK!$A$5</definedName>
    <definedName name="ForecastVersion">#REF!</definedName>
    <definedName name="FR_COM_ABBR">" "</definedName>
    <definedName name="FR_COM_NAME_LINK">" "</definedName>
    <definedName name="FR_COU_ABBR">" "</definedName>
    <definedName name="FR_COU_ABBR_LINK">#REF!</definedName>
    <definedName name="FR_SYBASE_SERVER">"PNYEQFRD01"</definedName>
    <definedName name="FR_TEMPLATE_KEY">"53269|1"</definedName>
    <definedName name="FR_WORKBOOK">"H:\Excel\MCK-CSFB.xls"</definedName>
    <definedName name="GRID">#REF!</definedName>
    <definedName name="grossmarginsbyproductline">#REF!</definedName>
    <definedName name="grossprofit1995">#REF!</definedName>
    <definedName name="grossprofitanalysis">#REF!</definedName>
    <definedName name="hosp0304">[3]REV!$J$6</definedName>
    <definedName name="hosp0604">'[1]Rev. Model'!$AG$6</definedName>
    <definedName name="hosp0903">[3]REV!$G$6</definedName>
    <definedName name="hosp0904">'[1]Rev. Model'!$AH$15</definedName>
    <definedName name="hosp1203">[3]REV!$H$6</definedName>
    <definedName name="hosp1204">'[1]Rev. Model'!$AI$15</definedName>
    <definedName name="impliedgrowth">#REF!</definedName>
    <definedName name="incomestatement">#REF!</definedName>
    <definedName name="incstat1991">#REF!</definedName>
    <definedName name="incstat1992">#REF!</definedName>
    <definedName name="incstat1993">#REF!</definedName>
    <definedName name="incstat1994">#REF!</definedName>
    <definedName name="incstat1995">#REF!</definedName>
    <definedName name="incstat1996">#REF!</definedName>
    <definedName name="incstat1997">#REF!</definedName>
    <definedName name="incstat1998">#REF!</definedName>
    <definedName name="incstat1999">#REF!</definedName>
    <definedName name="incstat2000">#REF!</definedName>
    <definedName name="IncStatGraphs">#REF!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BROKER_REC_NO_REUT" hidden="1">"c5315"</definedName>
    <definedName name="IQ_AVG_BROKER_REC_REUT" hidden="1">"c3630"</definedName>
    <definedName name="IQ_CAPEX_BR" hidden="1">"c111"</definedName>
    <definedName name="IQ_CH">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ARNINGS_ANNOUNCE_DATE_REUT" hidden="1">"c5314"</definedName>
    <definedName name="IQ_EBITDA_EST_REUT" hidden="1">"c3640"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ST_ACT_EPS_GW_REUT" hidden="1">"c5395"</definedName>
    <definedName name="IQ_EST_ACT_EPS_NORM_REUT" hidden="1">"c5332"</definedName>
    <definedName name="IQ_EST_ACT_EPS_REPORTED_REUT" hidden="1">"c5402"</definedName>
    <definedName name="IQ_EST_CURRENCY_REUT" hidden="1">"c5437"</definedName>
    <definedName name="IQ_EST_DATE_REUT" hidden="1">"c5438"</definedName>
    <definedName name="IQ_EST_EPS_GROWTH_1YR_REUT" hidden="1">"c3646"</definedName>
    <definedName name="IQ_EST_EPS_GROWTH_5YR_REUT" hidden="1">"c3633"</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IGH_TARGET_PRICE_REUT" hidden="1">"c5317"</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TH">15000</definedName>
    <definedName name="IQ_MTD" hidden="1">800000</definedName>
    <definedName name="IQ_NAMES_REVISION_DATE_" hidden="1">43749.4608333333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MORT_BR" hidden="1">"c5566"</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_EXCL_FWD_REUT" hidden="1">"c4049"</definedName>
    <definedName name="IQ_PEG_FWD_REUT" hidden="1">"c4052"</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PRICE_TARGET_REUT" hidden="1">"c3631"</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REV_STDDEV_EST_REUT" hidden="1">"c3639"</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ARGET_PRICE_NUM_REUT" hidden="1">"c5319"</definedName>
    <definedName name="IQ_TARGET_PRICE_STDDEV_REUT" hidden="1">"c5320"</definedName>
    <definedName name="IQ_TEV_EBITDA_FWD_REUT" hidden="1">"c4050"</definedName>
    <definedName name="IQ_TEV_TOTAL_REV_FWD_REUT" hidden="1">"c4051"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OTAL_UNUSUAL_BR" hidden="1">"c5517"</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Graphs">#REF!</definedName>
    <definedName name="key.new.drug.trends">'[13]MRK2-25'!#REF!</definedName>
    <definedName name="leerink">'[14]P&amp;L'!#REF!</definedName>
    <definedName name="ltdebt0304">[3]BS!$J$26</definedName>
    <definedName name="ltdebt0903">[3]BS!$G$26</definedName>
    <definedName name="ltdebt1203">[9]BS!$AF$29</definedName>
    <definedName name="med.tech">[12]LLY!#REF!</definedName>
    <definedName name="MM">'[14]P&amp;L'!#REF!</definedName>
    <definedName name="name">[10]AMETEK!$A$4</definedName>
    <definedName name="netdebt0905">[6]BS!$AH$138</definedName>
    <definedName name="netdebt0906">[6]BS!$AM$107</definedName>
    <definedName name="netdebt1205">[9]BS!$AP$69</definedName>
    <definedName name="netdebt3Q05">[15]BS!$AM$152</definedName>
    <definedName name="ni00">[5]HCA!#REF!</definedName>
    <definedName name="NMRA" hidden="1">#REF!</definedName>
    <definedName name="NMRAModel1" hidden="1">#REF!</definedName>
    <definedName name="ntdebt0306">[6]BS!$AK$138</definedName>
    <definedName name="ntdebt0606">[6]BS!$AL$138</definedName>
    <definedName name="opmgn00">[5]HCA!#REF!</definedName>
    <definedName name="opmgn01">[5]HCA!#REF!</definedName>
    <definedName name="opmgn02">[5]HCA!#REF!</definedName>
    <definedName name="opmgn03">[5]HCA!#REF!</definedName>
    <definedName name="opmgn04">[5]HCA!#REF!</definedName>
    <definedName name="opmgn05">[5]HCA!#REF!</definedName>
    <definedName name="opmgn98">[5]HCA!#REF!</definedName>
    <definedName name="opmgn99">[5]HCA!#REF!</definedName>
    <definedName name="overlay">[12]LLY!#REF!</definedName>
    <definedName name="pfeps04">#REF!</definedName>
    <definedName name="pfeps05">#REF!</definedName>
    <definedName name="pfeps06">#REF!</definedName>
    <definedName name="possibleoutcomes">[7]BMY!#REF!</definedName>
    <definedName name="_xlnm.Print_Area" localSheetId="2">'P&amp;L'!$A$1:$H$60</definedName>
    <definedName name="_xlnm.Print_Area" localSheetId="4">Revenue!$A$1:$W$18</definedName>
    <definedName name="_xlnm.Print_Area" localSheetId="3">Valuation!$A$1:$R$21</definedName>
    <definedName name="_xlnm.Print_Area">#REF!</definedName>
    <definedName name="prod1">'[16]U.S. Generics'!#REF!</definedName>
    <definedName name="prodDO">[17]WYEProd!#REF!</definedName>
    <definedName name="productlinegrossmargins">#REF!</definedName>
    <definedName name="Proforma">[12]LLY!#REF!</definedName>
    <definedName name="ptaxmgn">[3]IS!#REF!</definedName>
    <definedName name="ptaxmgn00">[5]HCA!#REF!</definedName>
    <definedName name="ptaxmgn01">[5]HCA!#REF!</definedName>
    <definedName name="ptaxmgn02">[5]HCA!#REF!</definedName>
    <definedName name="ptaxmgn03">[5]HCA!#REF!</definedName>
    <definedName name="ptaxmgn04">[5]HCA!#REF!</definedName>
    <definedName name="ptaxmgn05">[5]HCA!#REF!</definedName>
    <definedName name="ptaxmgn98">[5]HCA!#REF!</definedName>
    <definedName name="ptaxmgn99">[5]HCA!#REF!</definedName>
    <definedName name="ptxmgn00">[1]IS!#REF!</definedName>
    <definedName name="ptxmgn01">[1]IS!#REF!</definedName>
    <definedName name="ptxmgn02">[1]IS!#REF!</definedName>
    <definedName name="ptxmgn03">[1]IS!#REF!</definedName>
    <definedName name="ptxmgn04">[1]IS!#REF!</definedName>
    <definedName name="ptxmgn05">[1]IS!#REF!</definedName>
    <definedName name="qgadg04">'[9]Rev. Model'!#REF!</definedName>
    <definedName name="Quarterlies">#REF!</definedName>
    <definedName name="ratios00">#REF!</definedName>
    <definedName name="ratios91">#REF!</definedName>
    <definedName name="ratios92">#REF!</definedName>
    <definedName name="ratios93">#REF!</definedName>
    <definedName name="ratios94">#REF!</definedName>
    <definedName name="ratios95">#REF!</definedName>
    <definedName name="ratios96">#REF!</definedName>
    <definedName name="ratios97">#REF!</definedName>
    <definedName name="ratios98">#REF!</definedName>
    <definedName name="ratios99">#REF!</definedName>
    <definedName name="recent.patterns">[12]LLY!#REF!</definedName>
    <definedName name="reqad00">[5]Revenue!#REF!</definedName>
    <definedName name="reqad01">[5]Revenue!#REF!</definedName>
    <definedName name="reqad02">[5]Revenue!#REF!</definedName>
    <definedName name="reqad03">[5]Revenue!#REF!</definedName>
    <definedName name="reqad04">[5]Revenue!#REF!</definedName>
    <definedName name="REQAD05">[5]Revenue!#REF!</definedName>
    <definedName name="reqad98">[5]Revenue!#REF!</definedName>
    <definedName name="reqad99">[5]Revenue!#REF!</definedName>
    <definedName name="reqadg00">[5]Revenue!#REF!</definedName>
    <definedName name="reqadg01">[5]Revenue!#REF!</definedName>
    <definedName name="reqadg02">[5]Revenue!#REF!</definedName>
    <definedName name="reqadg03">[5]Revenue!#REF!</definedName>
    <definedName name="reqadg04">[5]Revenue!#REF!</definedName>
    <definedName name="REQADG05">[5]Revenue!#REF!</definedName>
    <definedName name="reqadg99">[5]Revenue!#REF!</definedName>
    <definedName name="rev">[18]IS!$E$8</definedName>
    <definedName name="rev00">[5]HCA!#REF!</definedName>
    <definedName name="revenuemix1992">#REF!</definedName>
    <definedName name="revenuemix1993">#REF!</definedName>
    <definedName name="revenuemix1995">#REF!</definedName>
    <definedName name="roa00">[5]BS!#REF!</definedName>
    <definedName name="ROCC00">[4]BS!#REF!</definedName>
    <definedName name="ROCC01">[4]BS!#REF!</definedName>
    <definedName name="ROCC02">[4]BS!#REF!</definedName>
    <definedName name="ROCC03">[4]BS!#REF!</definedName>
    <definedName name="ROCC04">[4]BS!#REF!</definedName>
    <definedName name="rocc05">[4]BS!#REF!</definedName>
    <definedName name="rocc98">[5]BS!$F$53</definedName>
    <definedName name="ROCC99">[4]BS!#REF!</definedName>
    <definedName name="roe00">[5]BS!$P$46</definedName>
    <definedName name="roic00">[3]BS!$B$41</definedName>
    <definedName name="roic01">[3]BS!$C$41</definedName>
    <definedName name="roic02">[3]BS!$D$41</definedName>
    <definedName name="roic03">[3]BS!$I$41</definedName>
    <definedName name="roic04">[3]BS!$N$41</definedName>
    <definedName name="roic05">[3]BS!$S$41</definedName>
    <definedName name="roic98">[5]BS!$F$47</definedName>
    <definedName name="roic99">[3]BS!#REF!</definedName>
    <definedName name="ROTC06">[3]BS!$X$42</definedName>
    <definedName name="RXAnnual">[12]LLY!#REF!</definedName>
    <definedName name="salesbusseg">#REF!</definedName>
    <definedName name="salesgeography">#REF!</definedName>
    <definedName name="salesprodline">#REF!</definedName>
    <definedName name="segment">#REF!</definedName>
    <definedName name="segment.op.profit">[7]BMY!#REF!</definedName>
    <definedName name="stdebt0304">[3]BS!$J$19</definedName>
    <definedName name="stdebt0903">[3]BS!$G$19</definedName>
    <definedName name="stdebt1203">[9]BS!$AF$26</definedName>
    <definedName name="table3">#REF!</definedName>
    <definedName name="table4">#REF!</definedName>
    <definedName name="table5">#REF!</definedName>
    <definedName name="table6">#REF!</definedName>
    <definedName name="TABLE8">#REF!</definedName>
    <definedName name="Total_Revenues">[1]IS!#REF!</definedName>
    <definedName name="Ulcer_Market">[12]LLY!#REF!</definedName>
    <definedName name="workca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22" l="1"/>
  <c r="E57" i="22"/>
  <c r="E51" i="22"/>
  <c r="E47" i="22"/>
  <c r="E46" i="22"/>
  <c r="C16" i="25"/>
  <c r="H31" i="22" l="1"/>
  <c r="S29" i="27" l="1"/>
  <c r="R29" i="27"/>
  <c r="Q29" i="27"/>
  <c r="P29" i="27"/>
  <c r="O29" i="27"/>
  <c r="N29" i="27"/>
  <c r="M29" i="27"/>
  <c r="L29" i="27"/>
  <c r="S26" i="27"/>
  <c r="R26" i="27"/>
  <c r="Q26" i="27"/>
  <c r="P26" i="27"/>
  <c r="O26" i="27"/>
  <c r="N26" i="27"/>
  <c r="M26" i="27"/>
  <c r="L26" i="27"/>
  <c r="B17" i="29"/>
  <c r="M17" i="29" s="1"/>
  <c r="N17" i="29" s="1"/>
  <c r="P14" i="24"/>
  <c r="K6" i="24"/>
  <c r="L6" i="24"/>
  <c r="M6" i="24"/>
  <c r="N6" i="24"/>
  <c r="O6" i="24"/>
  <c r="P6" i="24"/>
  <c r="J6" i="24"/>
  <c r="E6" i="24"/>
  <c r="F6" i="24"/>
  <c r="D6" i="24"/>
  <c r="G7" i="24"/>
  <c r="H7" i="24"/>
  <c r="I7" i="24"/>
  <c r="N18" i="29"/>
  <c r="N14" i="29"/>
  <c r="O14" i="29"/>
  <c r="P14" i="29"/>
  <c r="Q14" i="29"/>
  <c r="R14" i="29"/>
  <c r="S14" i="29"/>
  <c r="M14" i="29"/>
  <c r="C9" i="29"/>
  <c r="D9" i="29" s="1"/>
  <c r="E9" i="29" s="1"/>
  <c r="F9" i="29" s="1"/>
  <c r="G9" i="29" s="1"/>
  <c r="H9" i="29" s="1"/>
  <c r="I9" i="29" s="1"/>
  <c r="J9" i="29" s="1"/>
  <c r="K9" i="29" s="1"/>
  <c r="L9" i="29" s="1"/>
  <c r="M9" i="29" s="1"/>
  <c r="N9" i="29" s="1"/>
  <c r="O9" i="29" s="1"/>
  <c r="P9" i="29" s="1"/>
  <c r="Q9" i="29" s="1"/>
  <c r="R9" i="29" s="1"/>
  <c r="S9" i="29" s="1"/>
  <c r="C8" i="29"/>
  <c r="D8" i="29" s="1"/>
  <c r="E8" i="29" s="1"/>
  <c r="F8" i="29" s="1"/>
  <c r="G8" i="29" s="1"/>
  <c r="H8" i="29" s="1"/>
  <c r="I8" i="29" s="1"/>
  <c r="J8" i="29" s="1"/>
  <c r="K8" i="29" s="1"/>
  <c r="L8" i="29" s="1"/>
  <c r="M8" i="29" s="1"/>
  <c r="N8" i="29" s="1"/>
  <c r="O8" i="29" s="1"/>
  <c r="P8" i="29" s="1"/>
  <c r="Q8" i="29" s="1"/>
  <c r="R8" i="29" s="1"/>
  <c r="S8" i="29" s="1"/>
  <c r="C7" i="29"/>
  <c r="D7" i="29" s="1"/>
  <c r="E7" i="29" s="1"/>
  <c r="F7" i="29" s="1"/>
  <c r="G7" i="29" s="1"/>
  <c r="H7" i="29" s="1"/>
  <c r="I7" i="29" s="1"/>
  <c r="J7" i="29" s="1"/>
  <c r="K7" i="29" s="1"/>
  <c r="L7" i="29" s="1"/>
  <c r="M7" i="29" s="1"/>
  <c r="N7" i="29" s="1"/>
  <c r="O7" i="29" s="1"/>
  <c r="P7" i="29" s="1"/>
  <c r="Q7" i="29" s="1"/>
  <c r="R7" i="29" s="1"/>
  <c r="S7" i="29" s="1"/>
  <c r="C5" i="29"/>
  <c r="D5" i="27"/>
  <c r="E5" i="27"/>
  <c r="F5" i="27" s="1"/>
  <c r="G5" i="27" s="1"/>
  <c r="H5" i="27" s="1"/>
  <c r="I5" i="27" s="1"/>
  <c r="J5" i="27" s="1"/>
  <c r="K5" i="27" s="1"/>
  <c r="L5" i="27" s="1"/>
  <c r="M5" i="27" s="1"/>
  <c r="N5" i="27" s="1"/>
  <c r="O5" i="27" s="1"/>
  <c r="P5" i="27" s="1"/>
  <c r="Q5" i="27" s="1"/>
  <c r="R5" i="27" s="1"/>
  <c r="S5" i="27" s="1"/>
  <c r="C5" i="27"/>
  <c r="B26" i="29"/>
  <c r="C26" i="29" s="1"/>
  <c r="C21" i="29"/>
  <c r="D21" i="29" s="1"/>
  <c r="E21" i="29" s="1"/>
  <c r="F21" i="29" s="1"/>
  <c r="G21" i="29" s="1"/>
  <c r="H21" i="29" s="1"/>
  <c r="I21" i="29" s="1"/>
  <c r="J21" i="29" s="1"/>
  <c r="K21" i="29" s="1"/>
  <c r="L21" i="29" s="1"/>
  <c r="M21" i="29" s="1"/>
  <c r="N21" i="29" s="1"/>
  <c r="O21" i="29" s="1"/>
  <c r="P21" i="29" s="1"/>
  <c r="Q21" i="29" s="1"/>
  <c r="R21" i="29" s="1"/>
  <c r="S21" i="29" s="1"/>
  <c r="B19" i="29"/>
  <c r="C19" i="29" s="1"/>
  <c r="D19" i="29" s="1"/>
  <c r="E19" i="29" s="1"/>
  <c r="F19" i="29" s="1"/>
  <c r="G19" i="29" s="1"/>
  <c r="H19" i="29" s="1"/>
  <c r="I19" i="29" s="1"/>
  <c r="J19" i="29" s="1"/>
  <c r="K19" i="29" s="1"/>
  <c r="L19" i="29" s="1"/>
  <c r="M19" i="29" s="1"/>
  <c r="N19" i="29" s="1"/>
  <c r="O19" i="29" s="1"/>
  <c r="P19" i="29" s="1"/>
  <c r="Q19" i="29" s="1"/>
  <c r="R19" i="29" s="1"/>
  <c r="S19" i="29" s="1"/>
  <c r="B18" i="29"/>
  <c r="M18" i="29" s="1"/>
  <c r="O18" i="29" s="1"/>
  <c r="P18" i="29" s="1"/>
  <c r="Q18" i="29" s="1"/>
  <c r="R18" i="29" s="1"/>
  <c r="S18" i="29" s="1"/>
  <c r="C6" i="29"/>
  <c r="D6" i="29" s="1"/>
  <c r="E6" i="29" s="1"/>
  <c r="F6" i="29" s="1"/>
  <c r="G6" i="29" s="1"/>
  <c r="H6" i="29" s="1"/>
  <c r="I6" i="29" s="1"/>
  <c r="J6" i="29" s="1"/>
  <c r="K6" i="29" s="1"/>
  <c r="L6" i="29" s="1"/>
  <c r="M6" i="29" s="1"/>
  <c r="N6" i="29" s="1"/>
  <c r="O6" i="29" s="1"/>
  <c r="P6" i="29" s="1"/>
  <c r="Q6" i="29" s="1"/>
  <c r="R6" i="29" s="1"/>
  <c r="S6" i="29" s="1"/>
  <c r="P1" i="29"/>
  <c r="O1" i="29"/>
  <c r="N1" i="29"/>
  <c r="M1" i="29"/>
  <c r="L1" i="29"/>
  <c r="K1" i="29"/>
  <c r="J1" i="29"/>
  <c r="I1" i="29"/>
  <c r="H1" i="29"/>
  <c r="G1" i="29"/>
  <c r="F1" i="29"/>
  <c r="E1" i="29"/>
  <c r="D1" i="29"/>
  <c r="G9" i="22"/>
  <c r="M20" i="29" l="1"/>
  <c r="M25" i="29" s="1"/>
  <c r="C10" i="29"/>
  <c r="D5" i="29"/>
  <c r="D10" i="29" s="1"/>
  <c r="D26" i="29"/>
  <c r="E5" i="29" l="1"/>
  <c r="E10" i="29" s="1"/>
  <c r="C25" i="29"/>
  <c r="C30" i="29" s="1"/>
  <c r="C31" i="29" s="1"/>
  <c r="E26" i="29"/>
  <c r="F5" i="29" l="1"/>
  <c r="F10" i="29" s="1"/>
  <c r="C27" i="29"/>
  <c r="C34" i="29" s="1"/>
  <c r="D7" i="24" s="1"/>
  <c r="C33" i="29"/>
  <c r="F26" i="29"/>
  <c r="N20" i="29"/>
  <c r="O17" i="29"/>
  <c r="G5" i="29" l="1"/>
  <c r="G10" i="29" s="1"/>
  <c r="G26" i="29"/>
  <c r="O20" i="29"/>
  <c r="P17" i="29"/>
  <c r="H5" i="29" l="1"/>
  <c r="H10" i="29" s="1"/>
  <c r="P20" i="29"/>
  <c r="Q17" i="29"/>
  <c r="H26" i="29"/>
  <c r="I5" i="29" l="1"/>
  <c r="I10" i="29" s="1"/>
  <c r="I26" i="29"/>
  <c r="Q20" i="29"/>
  <c r="R17" i="29"/>
  <c r="J5" i="29" l="1"/>
  <c r="J10" i="29" s="1"/>
  <c r="S17" i="29"/>
  <c r="S20" i="29" s="1"/>
  <c r="R20" i="29"/>
  <c r="J26" i="29"/>
  <c r="K5" i="29" l="1"/>
  <c r="K10" i="29" s="1"/>
  <c r="K26" i="29"/>
  <c r="L5" i="29" l="1"/>
  <c r="L10" i="29" s="1"/>
  <c r="L26" i="29"/>
  <c r="M5" i="29" l="1"/>
  <c r="M10" i="29" s="1"/>
  <c r="M26" i="29"/>
  <c r="N5" i="29" l="1"/>
  <c r="N10" i="29" s="1"/>
  <c r="N26" i="29"/>
  <c r="O5" i="29" l="1"/>
  <c r="O10" i="29" s="1"/>
  <c r="O26" i="29"/>
  <c r="P5" i="29" l="1"/>
  <c r="P10" i="29" s="1"/>
  <c r="P26" i="29"/>
  <c r="Q5" i="29" l="1"/>
  <c r="Q10" i="29" s="1"/>
  <c r="Q26" i="29"/>
  <c r="R5" i="29" l="1"/>
  <c r="R10" i="29" s="1"/>
  <c r="R26" i="29"/>
  <c r="S5" i="29" l="1"/>
  <c r="S10" i="29" s="1"/>
  <c r="S26" i="29"/>
  <c r="G58" i="22" l="1"/>
  <c r="G57" i="22"/>
  <c r="G56" i="22"/>
  <c r="G55" i="22"/>
  <c r="G52" i="22"/>
  <c r="G51" i="22"/>
  <c r="G48" i="22"/>
  <c r="G47" i="22"/>
  <c r="G40" i="22"/>
  <c r="F40" i="22"/>
  <c r="E40" i="22"/>
  <c r="D40" i="22"/>
  <c r="F46" i="22"/>
  <c r="G46" i="22" s="1"/>
  <c r="D67" i="22"/>
  <c r="G67" i="22" s="1"/>
  <c r="C67" i="22"/>
  <c r="B67" i="22"/>
  <c r="C52" i="22"/>
  <c r="D58" i="22"/>
  <c r="C58" i="22"/>
  <c r="B28" i="27"/>
  <c r="B26" i="27"/>
  <c r="B27" i="27"/>
  <c r="C30" i="27"/>
  <c r="C28" i="27"/>
  <c r="C6" i="27"/>
  <c r="D17" i="27"/>
  <c r="E17" i="27"/>
  <c r="F17" i="27"/>
  <c r="G17" i="27"/>
  <c r="H17" i="27"/>
  <c r="I17" i="27"/>
  <c r="J17" i="27"/>
  <c r="K17" i="27"/>
  <c r="L17" i="27"/>
  <c r="M17" i="27"/>
  <c r="N17" i="27"/>
  <c r="O17" i="27"/>
  <c r="P17" i="27"/>
  <c r="Q17" i="27"/>
  <c r="R17" i="27"/>
  <c r="S17" i="27"/>
  <c r="C17" i="27"/>
  <c r="Q5" i="25"/>
  <c r="P5" i="25"/>
  <c r="O5" i="25"/>
  <c r="N5" i="25"/>
  <c r="G10" i="22" l="1"/>
  <c r="G7" i="22"/>
  <c r="G8" i="22"/>
  <c r="G15" i="22"/>
  <c r="W10" i="24" l="1"/>
  <c r="W1" i="24"/>
  <c r="I14" i="24"/>
  <c r="H14" i="24"/>
  <c r="G14" i="24"/>
  <c r="I10" i="24"/>
  <c r="H10" i="24"/>
  <c r="G10" i="24"/>
  <c r="I15" i="24"/>
  <c r="F2" i="22" s="1"/>
  <c r="H15" i="24"/>
  <c r="E2" i="22" s="1"/>
  <c r="G15" i="24"/>
  <c r="D2" i="22" s="1"/>
  <c r="G31" i="22" l="1"/>
  <c r="F72" i="22"/>
  <c r="E72" i="22"/>
  <c r="D72" i="22"/>
  <c r="F63" i="22"/>
  <c r="E63" i="22"/>
  <c r="D63" i="22"/>
  <c r="F54" i="22"/>
  <c r="E54" i="22"/>
  <c r="D54" i="22"/>
  <c r="F50" i="22"/>
  <c r="E50" i="22"/>
  <c r="D50" i="22"/>
  <c r="F47" i="22"/>
  <c r="F36" i="22"/>
  <c r="E36" i="22"/>
  <c r="D36" i="22"/>
  <c r="F11" i="22"/>
  <c r="E11" i="22"/>
  <c r="D11" i="22"/>
  <c r="F5" i="22"/>
  <c r="L27" i="27"/>
  <c r="F13" i="22" l="1"/>
  <c r="F22" i="22" s="1"/>
  <c r="D28" i="27" l="1"/>
  <c r="E28" i="27" s="1"/>
  <c r="F28" i="27" s="1"/>
  <c r="M27" i="27"/>
  <c r="N27" i="27" s="1"/>
  <c r="O27" i="27" s="1"/>
  <c r="P27" i="27" s="1"/>
  <c r="Q27" i="27" s="1"/>
  <c r="R27" i="27" s="1"/>
  <c r="S27" i="27" s="1"/>
  <c r="B7" i="27"/>
  <c r="D6" i="27"/>
  <c r="E6" i="27" s="1"/>
  <c r="F6" i="27" s="1"/>
  <c r="G6" i="27" s="1"/>
  <c r="H6" i="27" s="1"/>
  <c r="I6" i="27" s="1"/>
  <c r="J6" i="27" s="1"/>
  <c r="K6" i="27" s="1"/>
  <c r="L6" i="27" s="1"/>
  <c r="M6" i="27" s="1"/>
  <c r="N6" i="27" s="1"/>
  <c r="O6" i="27" s="1"/>
  <c r="P6" i="27" s="1"/>
  <c r="Q6" i="27" s="1"/>
  <c r="R6" i="27" s="1"/>
  <c r="S6" i="27" s="1"/>
  <c r="B32" i="22"/>
  <c r="B20" i="22"/>
  <c r="B11" i="22"/>
  <c r="G28" i="27" l="1"/>
  <c r="D30" i="27" l="1"/>
  <c r="E30" i="27" s="1"/>
  <c r="F30" i="27" s="1"/>
  <c r="G30" i="27" s="1"/>
  <c r="H30" i="27" s="1"/>
  <c r="I30" i="27" s="1"/>
  <c r="J30" i="27" s="1"/>
  <c r="K30" i="27" s="1"/>
  <c r="L30" i="27" s="1"/>
  <c r="M30" i="27" s="1"/>
  <c r="N30" i="27" s="1"/>
  <c r="O30" i="27" s="1"/>
  <c r="P30" i="27" s="1"/>
  <c r="Q30" i="27" s="1"/>
  <c r="R30" i="27" s="1"/>
  <c r="S30" i="27" s="1"/>
  <c r="H28" i="27"/>
  <c r="B50" i="22"/>
  <c r="B54" i="22"/>
  <c r="I28" i="27" l="1"/>
  <c r="C8" i="27"/>
  <c r="C21" i="27" s="1"/>
  <c r="C7" i="27"/>
  <c r="C20" i="27" s="1"/>
  <c r="V10" i="24"/>
  <c r="U10" i="24"/>
  <c r="T10" i="24"/>
  <c r="S10" i="24"/>
  <c r="R10" i="24"/>
  <c r="Q10" i="24"/>
  <c r="P10" i="24"/>
  <c r="E10" i="24"/>
  <c r="D10" i="24"/>
  <c r="C22" i="27" l="1"/>
  <c r="C34" i="27" s="1"/>
  <c r="D8" i="27"/>
  <c r="D21" i="27" s="1"/>
  <c r="D7" i="27"/>
  <c r="D20" i="27" s="1"/>
  <c r="J28" i="27"/>
  <c r="D22" i="27" l="1"/>
  <c r="D34" i="27" s="1"/>
  <c r="K28" i="27"/>
  <c r="E7" i="27"/>
  <c r="E8" i="27"/>
  <c r="E21" i="27" s="1"/>
  <c r="E20" i="27" l="1"/>
  <c r="E23" i="27"/>
  <c r="E22" i="27"/>
  <c r="E34" i="27" s="1"/>
  <c r="F8" i="27"/>
  <c r="F21" i="27" s="1"/>
  <c r="F7" i="27"/>
  <c r="F20" i="27" s="1"/>
  <c r="L28" i="27"/>
  <c r="F22" i="27" l="1"/>
  <c r="F34" i="27" s="1"/>
  <c r="F23" i="27"/>
  <c r="M28" i="27"/>
  <c r="G7" i="27"/>
  <c r="G20" i="27" s="1"/>
  <c r="G8" i="27"/>
  <c r="G21" i="27" s="1"/>
  <c r="N1" i="25"/>
  <c r="O1" i="25"/>
  <c r="P1" i="25"/>
  <c r="V1" i="24"/>
  <c r="U1" i="24"/>
  <c r="T72" i="22"/>
  <c r="T63" i="22"/>
  <c r="T54" i="22"/>
  <c r="T36" i="22"/>
  <c r="T20" i="22"/>
  <c r="S72" i="22"/>
  <c r="S63" i="22"/>
  <c r="S54" i="22"/>
  <c r="S36" i="22"/>
  <c r="S20" i="22"/>
  <c r="R72" i="22"/>
  <c r="R63" i="22"/>
  <c r="R54" i="22"/>
  <c r="R36" i="22"/>
  <c r="R20" i="22"/>
  <c r="C6" i="26"/>
  <c r="C7" i="26" s="1"/>
  <c r="C9" i="26" s="1"/>
  <c r="D5" i="26"/>
  <c r="D6" i="26" s="1"/>
  <c r="D7" i="26" s="1"/>
  <c r="D11" i="26" s="1"/>
  <c r="R1" i="26"/>
  <c r="Q1" i="26"/>
  <c r="P1" i="26"/>
  <c r="O1" i="26"/>
  <c r="N1" i="26"/>
  <c r="M1" i="26"/>
  <c r="L1" i="26"/>
  <c r="K1" i="26"/>
  <c r="J1" i="26"/>
  <c r="I1" i="26"/>
  <c r="H1" i="26"/>
  <c r="G1" i="26"/>
  <c r="F1" i="26"/>
  <c r="G23" i="27" l="1"/>
  <c r="G22" i="27"/>
  <c r="G34" i="27" s="1"/>
  <c r="H7" i="27"/>
  <c r="H20" i="27" s="1"/>
  <c r="H8" i="27"/>
  <c r="H21" i="27" s="1"/>
  <c r="N28" i="27"/>
  <c r="C10" i="26"/>
  <c r="D9" i="26"/>
  <c r="D10" i="26"/>
  <c r="C11" i="26"/>
  <c r="E5" i="26"/>
  <c r="H23" i="27" l="1"/>
  <c r="O28" i="27"/>
  <c r="I8" i="27"/>
  <c r="I21" i="27" s="1"/>
  <c r="I7" i="27"/>
  <c r="I20" i="27" s="1"/>
  <c r="H22" i="27"/>
  <c r="H34" i="27" s="1"/>
  <c r="E6" i="26"/>
  <c r="E7" i="26" s="1"/>
  <c r="F5" i="26"/>
  <c r="I23" i="27" l="1"/>
  <c r="I22" i="27"/>
  <c r="I34" i="27" s="1"/>
  <c r="P28" i="27"/>
  <c r="J7" i="27"/>
  <c r="J20" i="27" s="1"/>
  <c r="J8" i="27"/>
  <c r="J21" i="27" s="1"/>
  <c r="E11" i="26"/>
  <c r="E10" i="26"/>
  <c r="E9" i="26"/>
  <c r="G5" i="26"/>
  <c r="F6" i="26"/>
  <c r="F7" i="26" s="1"/>
  <c r="J23" i="27" l="1"/>
  <c r="Q28" i="27"/>
  <c r="K8" i="27"/>
  <c r="K21" i="27" s="1"/>
  <c r="K7" i="27"/>
  <c r="K20" i="27" s="1"/>
  <c r="J22" i="27"/>
  <c r="J34" i="27" s="1"/>
  <c r="F10" i="26"/>
  <c r="F9" i="26"/>
  <c r="F11" i="26"/>
  <c r="G6" i="26"/>
  <c r="G7" i="26" s="1"/>
  <c r="H5" i="26"/>
  <c r="K23" i="27" l="1"/>
  <c r="R28" i="27"/>
  <c r="K22" i="27"/>
  <c r="K34" i="27" s="1"/>
  <c r="L8" i="27"/>
  <c r="L21" i="27" s="1"/>
  <c r="L7" i="27"/>
  <c r="L20" i="27" s="1"/>
  <c r="G10" i="26"/>
  <c r="G11" i="26"/>
  <c r="G9" i="26"/>
  <c r="H6" i="26"/>
  <c r="H7" i="26" s="1"/>
  <c r="I5" i="26"/>
  <c r="S28" i="27" l="1"/>
  <c r="L22" i="27"/>
  <c r="L23" i="27"/>
  <c r="L34" i="27"/>
  <c r="M7" i="27"/>
  <c r="M8" i="27"/>
  <c r="M21" i="27" s="1"/>
  <c r="H10" i="26"/>
  <c r="H9" i="26"/>
  <c r="H11" i="26"/>
  <c r="I6" i="26"/>
  <c r="I7" i="26" s="1"/>
  <c r="J5" i="26"/>
  <c r="M20" i="27" l="1"/>
  <c r="M22" i="27" s="1"/>
  <c r="M34" i="27" s="1"/>
  <c r="M23" i="27"/>
  <c r="O7" i="27"/>
  <c r="O8" i="27"/>
  <c r="O21" i="27" s="1"/>
  <c r="N8" i="27"/>
  <c r="N7" i="27"/>
  <c r="I9" i="26"/>
  <c r="I11" i="26"/>
  <c r="I10" i="26"/>
  <c r="K5" i="26"/>
  <c r="J6" i="26"/>
  <c r="J7" i="26" s="1"/>
  <c r="N21" i="27" l="1"/>
  <c r="N20" i="27"/>
  <c r="N23" i="27"/>
  <c r="O23" i="27"/>
  <c r="O20" i="27"/>
  <c r="O22" i="27" s="1"/>
  <c r="P7" i="27"/>
  <c r="P8" i="27"/>
  <c r="P21" i="27" s="1"/>
  <c r="J9" i="26"/>
  <c r="J10" i="26"/>
  <c r="J11" i="26"/>
  <c r="K6" i="26"/>
  <c r="K7" i="26" s="1"/>
  <c r="L5" i="26"/>
  <c r="N22" i="27" l="1"/>
  <c r="N34" i="27" s="1"/>
  <c r="P23" i="27"/>
  <c r="P20" i="27"/>
  <c r="P22" i="27" s="1"/>
  <c r="O34" i="27"/>
  <c r="Q7" i="27"/>
  <c r="Q8" i="27"/>
  <c r="Q21" i="27" s="1"/>
  <c r="K9" i="26"/>
  <c r="K11" i="26"/>
  <c r="K10" i="26"/>
  <c r="L6" i="26"/>
  <c r="L7" i="26" s="1"/>
  <c r="M5" i="26"/>
  <c r="S8" i="27" l="1"/>
  <c r="S7" i="27"/>
  <c r="Q23" i="27"/>
  <c r="Q20" i="27"/>
  <c r="Q22" i="27" s="1"/>
  <c r="P34" i="27"/>
  <c r="R7" i="27"/>
  <c r="R8" i="27"/>
  <c r="L11" i="26"/>
  <c r="L10" i="26"/>
  <c r="L9" i="26"/>
  <c r="M6" i="26"/>
  <c r="M7" i="26" s="1"/>
  <c r="N5" i="26"/>
  <c r="S23" i="27" l="1"/>
  <c r="S20" i="27"/>
  <c r="S21" i="27"/>
  <c r="R23" i="27"/>
  <c r="R20" i="27"/>
  <c r="R21" i="27"/>
  <c r="Q34" i="27"/>
  <c r="M11" i="26"/>
  <c r="M9" i="26"/>
  <c r="M10" i="26"/>
  <c r="N6" i="26"/>
  <c r="N7" i="26" s="1"/>
  <c r="O5" i="26"/>
  <c r="S22" i="27" l="1"/>
  <c r="S34" i="27" s="1"/>
  <c r="S39" i="27" s="1"/>
  <c r="S42" i="27" s="1"/>
  <c r="W3" i="24" s="1"/>
  <c r="R22" i="27"/>
  <c r="R34" i="27" s="1"/>
  <c r="N9" i="26"/>
  <c r="N10" i="26"/>
  <c r="N11" i="26"/>
  <c r="O6" i="26"/>
  <c r="O7" i="26" s="1"/>
  <c r="P5" i="26"/>
  <c r="O11" i="26" l="1"/>
  <c r="O10" i="26"/>
  <c r="O9" i="26"/>
  <c r="P6" i="26"/>
  <c r="P7" i="26" s="1"/>
  <c r="Q5" i="26"/>
  <c r="P10" i="26" l="1"/>
  <c r="P9" i="26"/>
  <c r="P11" i="26"/>
  <c r="R5" i="26"/>
  <c r="Q6" i="26"/>
  <c r="Q7" i="26" s="1"/>
  <c r="Q9" i="26" l="1"/>
  <c r="Q11" i="26"/>
  <c r="Q10" i="26"/>
  <c r="S5" i="26"/>
  <c r="R6" i="26"/>
  <c r="R7" i="26" s="1"/>
  <c r="R11" i="26" l="1"/>
  <c r="R9" i="26"/>
  <c r="R10" i="26"/>
  <c r="T5" i="26"/>
  <c r="S6" i="26"/>
  <c r="S7" i="26" s="1"/>
  <c r="S9" i="26" l="1"/>
  <c r="S11" i="26"/>
  <c r="S10" i="26"/>
  <c r="U5" i="26"/>
  <c r="U6" i="26" s="1"/>
  <c r="U7" i="26" s="1"/>
  <c r="T6" i="26"/>
  <c r="T7" i="26" s="1"/>
  <c r="U11" i="26" l="1"/>
  <c r="U9" i="26"/>
  <c r="U10" i="26"/>
  <c r="T11" i="26"/>
  <c r="T10" i="26"/>
  <c r="T9" i="26"/>
  <c r="P1" i="27" l="1"/>
  <c r="O1" i="27"/>
  <c r="N1" i="27"/>
  <c r="M1" i="27"/>
  <c r="L1" i="27"/>
  <c r="K1" i="27"/>
  <c r="J1" i="27"/>
  <c r="I1" i="27"/>
  <c r="H1" i="27"/>
  <c r="G1" i="27"/>
  <c r="F1" i="27"/>
  <c r="E1" i="27"/>
  <c r="D1" i="27"/>
  <c r="C39" i="27" l="1"/>
  <c r="C42" i="27" l="1"/>
  <c r="D39" i="27"/>
  <c r="D42" i="27" l="1"/>
  <c r="E39" i="27"/>
  <c r="E42" i="27" l="1"/>
  <c r="F3" i="24" s="1"/>
  <c r="F14" i="24" s="1"/>
  <c r="F39" i="27" l="1"/>
  <c r="G39" i="27"/>
  <c r="G42" i="27" s="1"/>
  <c r="K3" i="24" s="1"/>
  <c r="K14" i="24" s="1"/>
  <c r="F42" i="27" l="1"/>
  <c r="J3" i="24" s="1"/>
  <c r="J14" i="24" s="1"/>
  <c r="H39" i="27"/>
  <c r="H42" i="27" s="1"/>
  <c r="L3" i="24" s="1"/>
  <c r="L14" i="24" s="1"/>
  <c r="I39" i="27" l="1"/>
  <c r="I42" i="27" s="1"/>
  <c r="M3" i="24" s="1"/>
  <c r="M14" i="24" s="1"/>
  <c r="J39" i="27" l="1"/>
  <c r="J42" i="27" s="1"/>
  <c r="N3" i="24" s="1"/>
  <c r="N14" i="24" s="1"/>
  <c r="K39" i="27"/>
  <c r="K42" i="27" s="1"/>
  <c r="O3" i="24" s="1"/>
  <c r="O14" i="24" s="1"/>
  <c r="L39" i="27" l="1"/>
  <c r="L42" i="27" s="1"/>
  <c r="P3" i="24" s="1"/>
  <c r="N39" i="27" l="1"/>
  <c r="N42" i="27" s="1"/>
  <c r="R3" i="24" s="1"/>
  <c r="O39" i="27" l="1"/>
  <c r="O42" i="27" s="1"/>
  <c r="S3" i="24" s="1"/>
  <c r="F1" i="24"/>
  <c r="J1" i="24"/>
  <c r="K1" i="24"/>
  <c r="L1" i="24"/>
  <c r="P39" i="27" l="1"/>
  <c r="P42" i="27" s="1"/>
  <c r="T3" i="24" s="1"/>
  <c r="Q39" i="27"/>
  <c r="Q42" i="27" s="1"/>
  <c r="U3" i="24" s="1"/>
  <c r="E5" i="22" l="1"/>
  <c r="E13" i="22" s="1"/>
  <c r="E22" i="22" s="1"/>
  <c r="D5" i="22"/>
  <c r="D13" i="22" s="1"/>
  <c r="R39" i="27"/>
  <c r="R42" i="27" s="1"/>
  <c r="V3" i="24" s="1"/>
  <c r="C11" i="22" l="1"/>
  <c r="D1" i="25" l="1"/>
  <c r="E1" i="25"/>
  <c r="F1" i="25"/>
  <c r="G1" i="25"/>
  <c r="H1" i="25"/>
  <c r="I1" i="25"/>
  <c r="J1" i="25"/>
  <c r="K1" i="25"/>
  <c r="L1" i="25"/>
  <c r="M1" i="25"/>
  <c r="D5" i="25"/>
  <c r="E5" i="25"/>
  <c r="F5" i="25"/>
  <c r="G5" i="25"/>
  <c r="H5" i="25"/>
  <c r="I5" i="25"/>
  <c r="J5" i="25"/>
  <c r="K5" i="25"/>
  <c r="L5" i="25"/>
  <c r="M5" i="25"/>
  <c r="E9" i="25"/>
  <c r="F9" i="25" s="1"/>
  <c r="G9" i="25" s="1"/>
  <c r="H9" i="25" s="1"/>
  <c r="I9" i="25" s="1"/>
  <c r="J9" i="25" s="1"/>
  <c r="K9" i="25" s="1"/>
  <c r="L9" i="25" s="1"/>
  <c r="M9" i="25" s="1"/>
  <c r="N9" i="25" s="1"/>
  <c r="O9" i="25" s="1"/>
  <c r="P9" i="25" s="1"/>
  <c r="Q9" i="25" s="1"/>
  <c r="T1" i="24" l="1"/>
  <c r="S1" i="24"/>
  <c r="R1" i="24"/>
  <c r="Q1" i="24"/>
  <c r="P1" i="24"/>
  <c r="O1" i="24"/>
  <c r="N1" i="24"/>
  <c r="M1" i="24"/>
  <c r="E1" i="24"/>
  <c r="B76" i="22" l="1"/>
  <c r="Q79" i="22"/>
  <c r="P79" i="22"/>
  <c r="O79" i="22"/>
  <c r="N79" i="22"/>
  <c r="M79" i="22"/>
  <c r="L79" i="22"/>
  <c r="K79" i="22"/>
  <c r="J79" i="22"/>
  <c r="I79" i="22"/>
  <c r="H79" i="22"/>
  <c r="G79" i="22"/>
  <c r="C79" i="22"/>
  <c r="B79" i="22"/>
  <c r="L76" i="22"/>
  <c r="K76" i="22"/>
  <c r="H76" i="22"/>
  <c r="G76" i="22"/>
  <c r="H75" i="22"/>
  <c r="G75" i="22"/>
  <c r="H74" i="22"/>
  <c r="G74" i="22"/>
  <c r="C74" i="22"/>
  <c r="Q72" i="22"/>
  <c r="P72" i="22"/>
  <c r="O72" i="22"/>
  <c r="N72" i="22"/>
  <c r="M72" i="22"/>
  <c r="L72" i="22"/>
  <c r="K72" i="22"/>
  <c r="J72" i="22"/>
  <c r="I72" i="22"/>
  <c r="H72" i="22"/>
  <c r="G72" i="22"/>
  <c r="C72" i="22"/>
  <c r="B72" i="22"/>
  <c r="A65" i="22"/>
  <c r="A64" i="22"/>
  <c r="Q63" i="22"/>
  <c r="P63" i="22"/>
  <c r="O63" i="22"/>
  <c r="N63" i="22"/>
  <c r="M63" i="22"/>
  <c r="L63" i="22"/>
  <c r="K63" i="22"/>
  <c r="J63" i="22"/>
  <c r="I63" i="22"/>
  <c r="H63" i="22"/>
  <c r="G63" i="22"/>
  <c r="C63" i="22"/>
  <c r="B63" i="22"/>
  <c r="Q54" i="22"/>
  <c r="P54" i="22"/>
  <c r="O54" i="22"/>
  <c r="N54" i="22"/>
  <c r="M54" i="22"/>
  <c r="L54" i="22"/>
  <c r="K54" i="22"/>
  <c r="J54" i="22"/>
  <c r="I54" i="22"/>
  <c r="H54" i="22"/>
  <c r="G54" i="22"/>
  <c r="C54" i="22"/>
  <c r="I47" i="22"/>
  <c r="J47" i="22" s="1"/>
  <c r="K47" i="22" s="1"/>
  <c r="L47" i="22" s="1"/>
  <c r="M47" i="22" s="1"/>
  <c r="N47" i="22" s="1"/>
  <c r="O47" i="22" s="1"/>
  <c r="P47" i="22" s="1"/>
  <c r="Q47" i="22" s="1"/>
  <c r="R47" i="22" s="1"/>
  <c r="H46" i="22"/>
  <c r="Q36" i="22"/>
  <c r="P36" i="22"/>
  <c r="O36" i="22"/>
  <c r="N36" i="22"/>
  <c r="M36" i="22"/>
  <c r="L36" i="22"/>
  <c r="K36" i="22"/>
  <c r="J36" i="22"/>
  <c r="I36" i="22"/>
  <c r="H36" i="22"/>
  <c r="G36" i="22"/>
  <c r="C36" i="22"/>
  <c r="B36" i="22"/>
  <c r="Q20" i="22"/>
  <c r="P20" i="22"/>
  <c r="O20" i="22"/>
  <c r="N20" i="22"/>
  <c r="M20" i="22"/>
  <c r="L20" i="22"/>
  <c r="K20" i="22"/>
  <c r="J20" i="22"/>
  <c r="I20" i="22"/>
  <c r="H11" i="22"/>
  <c r="G11" i="22"/>
  <c r="C40" i="22" l="1"/>
  <c r="S47" i="22"/>
  <c r="C76" i="22"/>
  <c r="C75" i="22"/>
  <c r="B75" i="22"/>
  <c r="I75" i="22"/>
  <c r="B74" i="22"/>
  <c r="J40" i="22" l="1"/>
  <c r="K40" i="22" s="1"/>
  <c r="L40" i="22" s="1"/>
  <c r="M40" i="22" s="1"/>
  <c r="N40" i="22" s="1"/>
  <c r="O40" i="22" s="1"/>
  <c r="P40" i="22" s="1"/>
  <c r="Q40" i="22" s="1"/>
  <c r="R40" i="22" s="1"/>
  <c r="S40" i="22" s="1"/>
  <c r="T40" i="22" s="1"/>
  <c r="H40" i="22"/>
  <c r="H20" i="22" s="1"/>
  <c r="G20" i="22"/>
  <c r="T47" i="22"/>
  <c r="L46" i="22"/>
  <c r="J46" i="22"/>
  <c r="D20" i="22" l="1"/>
  <c r="M75" i="22"/>
  <c r="J75" i="22"/>
  <c r="J11" i="22"/>
  <c r="L75" i="22"/>
  <c r="K11" i="22"/>
  <c r="L74" i="22"/>
  <c r="J76" i="22"/>
  <c r="I76" i="22"/>
  <c r="I46" i="22"/>
  <c r="K46" i="22"/>
  <c r="K75" i="22"/>
  <c r="K74" i="22"/>
  <c r="O75" i="22"/>
  <c r="L11" i="22"/>
  <c r="I74" i="22"/>
  <c r="I11" i="22"/>
  <c r="J74" i="22"/>
  <c r="N75" i="22"/>
  <c r="D22" i="22" l="1"/>
  <c r="D24" i="22"/>
  <c r="F20" i="22" l="1"/>
  <c r="F24" i="22" s="1"/>
  <c r="E20" i="22"/>
  <c r="E24" i="22" s="1"/>
  <c r="D25" i="22"/>
  <c r="D26" i="22" s="1"/>
  <c r="C20" i="22"/>
  <c r="D45" i="22" l="1"/>
  <c r="D44" i="22" s="1"/>
  <c r="D42" i="22" s="1"/>
  <c r="E25" i="22"/>
  <c r="E26" i="22" s="1"/>
  <c r="F25" i="22"/>
  <c r="F26" i="22" s="1"/>
  <c r="F45" i="22" l="1"/>
  <c r="F44" i="22" s="1"/>
  <c r="F42" i="22" s="1"/>
  <c r="E45" i="22"/>
  <c r="E44" i="22" l="1"/>
  <c r="G45" i="22"/>
  <c r="I31" i="22"/>
  <c r="J31" i="22" s="1"/>
  <c r="E42" i="22" l="1"/>
  <c r="D32" i="22"/>
  <c r="D28" i="22" s="1"/>
  <c r="D29" i="22"/>
  <c r="C32" i="22"/>
  <c r="G32" i="22" l="1"/>
  <c r="E32" i="22" l="1"/>
  <c r="E28" i="22" s="1"/>
  <c r="E29" i="22"/>
  <c r="H32" i="22"/>
  <c r="F32" i="22" l="1"/>
  <c r="F28" i="22" s="1"/>
  <c r="F29" i="22"/>
  <c r="I32" i="22"/>
  <c r="K31" i="22" l="1"/>
  <c r="L31" i="22" s="1"/>
  <c r="J32" i="22"/>
  <c r="K32" i="22" l="1"/>
  <c r="L32" i="22" l="1"/>
  <c r="M31" i="22"/>
  <c r="M32" i="22" l="1"/>
  <c r="N31" i="22"/>
  <c r="N32" i="22" l="1"/>
  <c r="O31" i="22"/>
  <c r="N46" i="22"/>
  <c r="O32" i="22" l="1"/>
  <c r="P31" i="22"/>
  <c r="P32" i="22" l="1"/>
  <c r="Q31" i="22"/>
  <c r="R31" i="22" s="1"/>
  <c r="R32" i="22" l="1"/>
  <c r="S31" i="22"/>
  <c r="Q32" i="22"/>
  <c r="M76" i="22"/>
  <c r="N76" i="22"/>
  <c r="M46" i="22"/>
  <c r="T31" i="22" l="1"/>
  <c r="S32" i="22"/>
  <c r="T32" i="22" l="1"/>
  <c r="C50" i="22" l="1"/>
  <c r="G50" i="22" l="1"/>
  <c r="D4" i="25" s="1"/>
  <c r="I51" i="22" l="1"/>
  <c r="H50" i="22" l="1"/>
  <c r="E4" i="25" s="1"/>
  <c r="J51" i="22"/>
  <c r="I50" i="22"/>
  <c r="F4" i="25" s="1"/>
  <c r="K51" i="22" l="1"/>
  <c r="J50" i="22"/>
  <c r="G4" i="25" s="1"/>
  <c r="L51" i="22" l="1"/>
  <c r="K50" i="22"/>
  <c r="H4" i="25" s="1"/>
  <c r="M51" i="22" l="1"/>
  <c r="L50" i="22"/>
  <c r="I4" i="25" s="1"/>
  <c r="N51" i="22" l="1"/>
  <c r="M50" i="22"/>
  <c r="J4" i="25" s="1"/>
  <c r="N50" i="22" l="1"/>
  <c r="K4" i="25" s="1"/>
  <c r="O51" i="22"/>
  <c r="O50" i="22" l="1"/>
  <c r="L4" i="25" s="1"/>
  <c r="P51" i="22"/>
  <c r="Q51" i="22" l="1"/>
  <c r="P50" i="22"/>
  <c r="M4" i="25" l="1"/>
  <c r="Q50" i="22"/>
  <c r="N4" i="25" s="1"/>
  <c r="R51" i="22"/>
  <c r="S51" i="22" l="1"/>
  <c r="R50" i="22"/>
  <c r="O4" i="25" s="1"/>
  <c r="S50" i="22" l="1"/>
  <c r="P4" i="25" s="1"/>
  <c r="T51" i="22"/>
  <c r="T50" i="22" s="1"/>
  <c r="Q4" i="25" s="1"/>
  <c r="M39" i="27"/>
  <c r="M42" i="27" s="1"/>
  <c r="Q3" i="24" s="1"/>
  <c r="A66" i="22" l="1"/>
  <c r="B35" i="27" l="1"/>
  <c r="C35" i="27" s="1"/>
  <c r="B4" i="24" l="1"/>
  <c r="C36" i="27"/>
  <c r="D3" i="24" s="1"/>
  <c r="D14" i="24" s="1"/>
  <c r="D35" i="27"/>
  <c r="C40" i="27"/>
  <c r="C43" i="27" s="1"/>
  <c r="D4" i="24" s="1"/>
  <c r="D15" i="24" s="1"/>
  <c r="E35" i="27" l="1"/>
  <c r="D40" i="27"/>
  <c r="D36" i="27"/>
  <c r="E3" i="24" s="1"/>
  <c r="E14" i="24" s="1"/>
  <c r="D43" i="27" l="1"/>
  <c r="E4" i="24" s="1"/>
  <c r="E40" i="27"/>
  <c r="E36" i="27"/>
  <c r="F35" i="27"/>
  <c r="E43" i="27" l="1"/>
  <c r="F4" i="24" s="1"/>
  <c r="F36" i="27"/>
  <c r="G35" i="27"/>
  <c r="F40" i="27"/>
  <c r="F43" i="27" l="1"/>
  <c r="J4" i="24" s="1"/>
  <c r="H35" i="27"/>
  <c r="G36" i="27"/>
  <c r="G40" i="27" s="1"/>
  <c r="G43" i="27" s="1"/>
  <c r="K4" i="24" s="1"/>
  <c r="H36" i="27" l="1"/>
  <c r="H40" i="27" s="1"/>
  <c r="H43" i="27" s="1"/>
  <c r="L4" i="24" s="1"/>
  <c r="I35" i="27"/>
  <c r="I36" i="27" l="1"/>
  <c r="I40" i="27" s="1"/>
  <c r="I43" i="27" s="1"/>
  <c r="M4" i="24" s="1"/>
  <c r="J35" i="27"/>
  <c r="K35" i="27" l="1"/>
  <c r="J36" i="27"/>
  <c r="J40" i="27" s="1"/>
  <c r="J43" i="27" s="1"/>
  <c r="N4" i="24" s="1"/>
  <c r="G44" i="22"/>
  <c r="D3" i="25" s="1"/>
  <c r="D7" i="25" l="1"/>
  <c r="D11" i="25" s="1"/>
  <c r="G42" i="22"/>
  <c r="L35" i="27"/>
  <c r="K36" i="27"/>
  <c r="K40" i="27" s="1"/>
  <c r="K43" i="27" s="1"/>
  <c r="O4" i="24" s="1"/>
  <c r="M35" i="27" l="1"/>
  <c r="L36" i="27"/>
  <c r="L40" i="27" s="1"/>
  <c r="L43" i="27" s="1"/>
  <c r="P4" i="24" s="1"/>
  <c r="N35" i="27" l="1"/>
  <c r="M36" i="27"/>
  <c r="M40" i="27" s="1"/>
  <c r="M43" i="27" s="1"/>
  <c r="Q4" i="24" s="1"/>
  <c r="O35" i="27" l="1"/>
  <c r="N36" i="27"/>
  <c r="N40" i="27" s="1"/>
  <c r="N43" i="27" s="1"/>
  <c r="R4" i="24" s="1"/>
  <c r="P35" i="27" l="1"/>
  <c r="O36" i="27"/>
  <c r="O40" i="27" s="1"/>
  <c r="O43" i="27" s="1"/>
  <c r="S4" i="24" s="1"/>
  <c r="P36" i="27" l="1"/>
  <c r="P40" i="27" s="1"/>
  <c r="P43" i="27" s="1"/>
  <c r="T4" i="24" s="1"/>
  <c r="Q35" i="27"/>
  <c r="Q36" i="27" l="1"/>
  <c r="Q40" i="27" s="1"/>
  <c r="Q43" i="27" s="1"/>
  <c r="U4" i="24" s="1"/>
  <c r="R35" i="27"/>
  <c r="S35" i="27" l="1"/>
  <c r="S36" i="27" s="1"/>
  <c r="S40" i="27" s="1"/>
  <c r="S43" i="27" s="1"/>
  <c r="W4" i="24" s="1"/>
  <c r="R36" i="27"/>
  <c r="R40" i="27" s="1"/>
  <c r="R43" i="27" s="1"/>
  <c r="V4" i="24" s="1"/>
  <c r="G25" i="29" l="1"/>
  <c r="P25" i="29"/>
  <c r="P27" i="29" s="1"/>
  <c r="P31" i="29" s="1"/>
  <c r="P34" i="29" s="1"/>
  <c r="T7" i="24" s="1"/>
  <c r="F25" i="29"/>
  <c r="T15" i="24" l="1"/>
  <c r="Q2" i="22" s="1"/>
  <c r="E25" i="29"/>
  <c r="E27" i="29" s="1"/>
  <c r="D25" i="29"/>
  <c r="D30" i="29" s="1"/>
  <c r="D33" i="29" s="1"/>
  <c r="N25" i="29"/>
  <c r="Q25" i="29"/>
  <c r="Q27" i="29" s="1"/>
  <c r="Q31" i="29" s="1"/>
  <c r="Q34" i="29" s="1"/>
  <c r="U7" i="24" s="1"/>
  <c r="G27" i="29"/>
  <c r="G31" i="29" s="1"/>
  <c r="G34" i="29" s="1"/>
  <c r="K7" i="24" s="1"/>
  <c r="K15" i="24" s="1"/>
  <c r="H2" i="22" s="1"/>
  <c r="G30" i="29"/>
  <c r="G33" i="29" s="1"/>
  <c r="L25" i="29"/>
  <c r="I25" i="29"/>
  <c r="I30" i="29" s="1"/>
  <c r="I33" i="29" s="1"/>
  <c r="M30" i="29"/>
  <c r="M33" i="29" s="1"/>
  <c r="Q6" i="24" s="1"/>
  <c r="Q14" i="24" s="1"/>
  <c r="H25" i="29"/>
  <c r="J25" i="29"/>
  <c r="J27" i="29" s="1"/>
  <c r="J31" i="29" s="1"/>
  <c r="J34" i="29" s="1"/>
  <c r="N7" i="24" s="1"/>
  <c r="N15" i="24" s="1"/>
  <c r="K2" i="22" s="1"/>
  <c r="N27" i="29"/>
  <c r="N31" i="29" s="1"/>
  <c r="N34" i="29" s="1"/>
  <c r="R7" i="24" s="1"/>
  <c r="N30" i="29"/>
  <c r="N33" i="29" s="1"/>
  <c r="R6" i="24" s="1"/>
  <c r="R14" i="24" s="1"/>
  <c r="F30" i="29"/>
  <c r="F27" i="29"/>
  <c r="P30" i="29"/>
  <c r="P33" i="29" s="1"/>
  <c r="T6" i="24" s="1"/>
  <c r="T14" i="24" s="1"/>
  <c r="K25" i="29"/>
  <c r="R15" i="24" l="1"/>
  <c r="O2" i="22" s="1"/>
  <c r="U15" i="24"/>
  <c r="R2" i="22" s="1"/>
  <c r="Q9" i="22"/>
  <c r="Q5" i="22"/>
  <c r="Q7" i="22"/>
  <c r="Q8" i="22"/>
  <c r="Q46" i="22" s="1"/>
  <c r="H64" i="22"/>
  <c r="H65" i="22"/>
  <c r="H66" i="22"/>
  <c r="H5" i="22"/>
  <c r="H13" i="22" s="1"/>
  <c r="K64" i="22"/>
  <c r="K66" i="22"/>
  <c r="K65" i="22"/>
  <c r="K5" i="22"/>
  <c r="K13" i="22" s="1"/>
  <c r="Q11" i="22"/>
  <c r="I27" i="29"/>
  <c r="I31" i="29" s="1"/>
  <c r="I34" i="29" s="1"/>
  <c r="M7" i="24" s="1"/>
  <c r="M15" i="24" s="1"/>
  <c r="J2" i="22" s="1"/>
  <c r="K73" i="22" s="1"/>
  <c r="E30" i="29"/>
  <c r="D27" i="29"/>
  <c r="D31" i="29"/>
  <c r="Q30" i="29"/>
  <c r="Q33" i="29" s="1"/>
  <c r="U6" i="24" s="1"/>
  <c r="U14" i="24" s="1"/>
  <c r="M27" i="29"/>
  <c r="M31" i="29" s="1"/>
  <c r="M34" i="29" s="1"/>
  <c r="Q7" i="24" s="1"/>
  <c r="J30" i="29"/>
  <c r="J33" i="29" s="1"/>
  <c r="L27" i="29"/>
  <c r="L31" i="29" s="1"/>
  <c r="L34" i="29" s="1"/>
  <c r="P7" i="24" s="1"/>
  <c r="L30" i="29"/>
  <c r="L33" i="29" s="1"/>
  <c r="H27" i="29"/>
  <c r="H31" i="29" s="1"/>
  <c r="H34" i="29" s="1"/>
  <c r="L7" i="24" s="1"/>
  <c r="L15" i="24" s="1"/>
  <c r="I2" i="22" s="1"/>
  <c r="H30" i="29"/>
  <c r="H33" i="29" s="1"/>
  <c r="F33" i="29"/>
  <c r="F31" i="29"/>
  <c r="F34" i="29" s="1"/>
  <c r="J7" i="24" s="1"/>
  <c r="J15" i="24" s="1"/>
  <c r="G2" i="22" s="1"/>
  <c r="K27" i="29"/>
  <c r="K31" i="29" s="1"/>
  <c r="K34" i="29" s="1"/>
  <c r="O7" i="24" s="1"/>
  <c r="O15" i="24" s="1"/>
  <c r="L2" i="22" s="1"/>
  <c r="K30" i="29"/>
  <c r="K33" i="29" s="1"/>
  <c r="S25" i="29"/>
  <c r="E33" i="29"/>
  <c r="E31" i="29"/>
  <c r="E34" i="29" s="1"/>
  <c r="F7" i="24" s="1"/>
  <c r="F15" i="24" s="1"/>
  <c r="C2" i="22" s="1"/>
  <c r="O25" i="29"/>
  <c r="R25" i="29"/>
  <c r="D34" i="29" l="1"/>
  <c r="E7" i="24" s="1"/>
  <c r="E15" i="24" s="1"/>
  <c r="B2" i="22" s="1"/>
  <c r="P15" i="24"/>
  <c r="M2" i="22" s="1"/>
  <c r="Q15" i="24"/>
  <c r="N2" i="22" s="1"/>
  <c r="Q13" i="22"/>
  <c r="Q24" i="22" s="1"/>
  <c r="Q25" i="22" s="1"/>
  <c r="Q26" i="22" s="1"/>
  <c r="O9" i="22"/>
  <c r="O46" i="22" s="1"/>
  <c r="O65" i="22"/>
  <c r="O7" i="22"/>
  <c r="O5" i="22"/>
  <c r="R8" i="22"/>
  <c r="R73" i="22"/>
  <c r="R7" i="22"/>
  <c r="R74" i="22" s="1"/>
  <c r="R9" i="22"/>
  <c r="R76" i="22" s="1"/>
  <c r="R5" i="22"/>
  <c r="K24" i="22"/>
  <c r="K25" i="22" s="1"/>
  <c r="K26" i="22" s="1"/>
  <c r="K22" i="22"/>
  <c r="G73" i="22"/>
  <c r="G64" i="22"/>
  <c r="G65" i="22"/>
  <c r="G5" i="22"/>
  <c r="G13" i="22" s="1"/>
  <c r="G66" i="22"/>
  <c r="L64" i="22"/>
  <c r="L73" i="22"/>
  <c r="L65" i="22"/>
  <c r="L66" i="22"/>
  <c r="L5" i="22"/>
  <c r="L13" i="22" s="1"/>
  <c r="I5" i="22"/>
  <c r="I13" i="22" s="1"/>
  <c r="I66" i="22"/>
  <c r="I73" i="22"/>
  <c r="I65" i="22"/>
  <c r="I64" i="22"/>
  <c r="J64" i="22"/>
  <c r="J66" i="22"/>
  <c r="J65" i="22"/>
  <c r="J5" i="22"/>
  <c r="J13" i="22" s="1"/>
  <c r="J73" i="22"/>
  <c r="B73" i="22"/>
  <c r="B65" i="22"/>
  <c r="B64" i="22"/>
  <c r="B5" i="22"/>
  <c r="B13" i="22" s="1"/>
  <c r="B66" i="22"/>
  <c r="H73" i="22"/>
  <c r="Q22" i="22"/>
  <c r="H22" i="22"/>
  <c r="H24" i="22"/>
  <c r="H25" i="22" s="1"/>
  <c r="H26" i="22" s="1"/>
  <c r="C73" i="22"/>
  <c r="C64" i="22"/>
  <c r="C65" i="22"/>
  <c r="C66" i="22"/>
  <c r="C5" i="22"/>
  <c r="C13" i="22" s="1"/>
  <c r="R30" i="29"/>
  <c r="R33" i="29" s="1"/>
  <c r="V6" i="24" s="1"/>
  <c r="V14" i="24" s="1"/>
  <c r="R27" i="29"/>
  <c r="R31" i="29" s="1"/>
  <c r="R34" i="29" s="1"/>
  <c r="V7" i="24" s="1"/>
  <c r="O27" i="29"/>
  <c r="O31" i="29" s="1"/>
  <c r="O34" i="29" s="1"/>
  <c r="S7" i="24" s="1"/>
  <c r="O30" i="29"/>
  <c r="O33" i="29" s="1"/>
  <c r="S6" i="24" s="1"/>
  <c r="S14" i="24" s="1"/>
  <c r="S27" i="29"/>
  <c r="S31" i="29" s="1"/>
  <c r="S34" i="29" s="1"/>
  <c r="W7" i="24" s="1"/>
  <c r="S30" i="29"/>
  <c r="S33" i="29" s="1"/>
  <c r="W6" i="24" s="1"/>
  <c r="W14" i="24" s="1"/>
  <c r="M65" i="22" l="1"/>
  <c r="M66" i="22"/>
  <c r="M7" i="22"/>
  <c r="M11" i="22" s="1"/>
  <c r="M13" i="22" s="1"/>
  <c r="M73" i="22"/>
  <c r="M5" i="22"/>
  <c r="R11" i="22"/>
  <c r="R13" i="22" s="1"/>
  <c r="R24" i="22" s="1"/>
  <c r="R25" i="22" s="1"/>
  <c r="R26" i="22" s="1"/>
  <c r="R75" i="22"/>
  <c r="R46" i="22"/>
  <c r="N66" i="22"/>
  <c r="O73" i="22"/>
  <c r="N5" i="22"/>
  <c r="N73" i="22"/>
  <c r="N7" i="22"/>
  <c r="O74" i="22" s="1"/>
  <c r="N65" i="22"/>
  <c r="O76" i="22"/>
  <c r="O11" i="22"/>
  <c r="O13" i="22" s="1"/>
  <c r="O22" i="22" s="1"/>
  <c r="S15" i="24"/>
  <c r="P2" i="22" s="1"/>
  <c r="W15" i="24"/>
  <c r="T2" i="22" s="1"/>
  <c r="V15" i="24"/>
  <c r="S2" i="22" s="1"/>
  <c r="Q28" i="22"/>
  <c r="Q29" i="22"/>
  <c r="Q45" i="22"/>
  <c r="Q44" i="22" s="1"/>
  <c r="B24" i="22"/>
  <c r="B26" i="22" s="1"/>
  <c r="B22" i="22"/>
  <c r="L22" i="22"/>
  <c r="L24" i="22"/>
  <c r="L25" i="22" s="1"/>
  <c r="L26" i="22" s="1"/>
  <c r="I24" i="22"/>
  <c r="I25" i="22" s="1"/>
  <c r="I26" i="22" s="1"/>
  <c r="I22" i="22"/>
  <c r="C24" i="22"/>
  <c r="C25" i="22" s="1"/>
  <c r="C26" i="22" s="1"/>
  <c r="C22" i="22"/>
  <c r="H29" i="22"/>
  <c r="H28" i="22"/>
  <c r="H45" i="22"/>
  <c r="H44" i="22" s="1"/>
  <c r="J22" i="22"/>
  <c r="J24" i="22"/>
  <c r="J25" i="22" s="1"/>
  <c r="J26" i="22" s="1"/>
  <c r="G24" i="22"/>
  <c r="G25" i="22" s="1"/>
  <c r="G26" i="22" s="1"/>
  <c r="G22" i="22"/>
  <c r="M74" i="22"/>
  <c r="K45" i="22"/>
  <c r="K44" i="22" s="1"/>
  <c r="K28" i="22"/>
  <c r="K29" i="22"/>
  <c r="R22" i="22" l="1"/>
  <c r="O24" i="22"/>
  <c r="O25" i="22" s="1"/>
  <c r="O26" i="22" s="1"/>
  <c r="N11" i="22"/>
  <c r="N13" i="22" s="1"/>
  <c r="N24" i="22" s="1"/>
  <c r="N74" i="22"/>
  <c r="P5" i="22"/>
  <c r="P7" i="22"/>
  <c r="P74" i="22" s="1"/>
  <c r="P73" i="22"/>
  <c r="P9" i="22"/>
  <c r="P76" i="22" s="1"/>
  <c r="P8" i="22"/>
  <c r="P75" i="22" s="1"/>
  <c r="Q73" i="22"/>
  <c r="T9" i="22"/>
  <c r="T7" i="22"/>
  <c r="T74" i="22" s="1"/>
  <c r="T5" i="22"/>
  <c r="T8" i="22"/>
  <c r="S8" i="22"/>
  <c r="S75" i="22" s="1"/>
  <c r="T73" i="22"/>
  <c r="S7" i="22"/>
  <c r="S74" i="22" s="1"/>
  <c r="S73" i="22"/>
  <c r="S5" i="22"/>
  <c r="S9" i="22"/>
  <c r="L28" i="22"/>
  <c r="L29" i="22"/>
  <c r="L45" i="22"/>
  <c r="L44" i="22" s="1"/>
  <c r="M22" i="22"/>
  <c r="M24" i="22"/>
  <c r="M25" i="22" s="1"/>
  <c r="M26" i="22" s="1"/>
  <c r="N3" i="25"/>
  <c r="N7" i="25" s="1"/>
  <c r="N11" i="25" s="1"/>
  <c r="Q42" i="22"/>
  <c r="J45" i="22"/>
  <c r="J44" i="22" s="1"/>
  <c r="J29" i="22"/>
  <c r="J28" i="22"/>
  <c r="B29" i="22"/>
  <c r="B45" i="22"/>
  <c r="B44" i="22" s="1"/>
  <c r="B42" i="22" s="1"/>
  <c r="B38" i="22" s="1"/>
  <c r="B28" i="22"/>
  <c r="G29" i="22"/>
  <c r="G28" i="22"/>
  <c r="E3" i="25"/>
  <c r="E7" i="25" s="1"/>
  <c r="E11" i="25" s="1"/>
  <c r="H42" i="22"/>
  <c r="C28" i="22"/>
  <c r="C45" i="22"/>
  <c r="C44" i="22" s="1"/>
  <c r="C42" i="22" s="1"/>
  <c r="C39" i="22" s="1"/>
  <c r="C29" i="22"/>
  <c r="K42" i="22"/>
  <c r="H3" i="25"/>
  <c r="H7" i="25" s="1"/>
  <c r="H11" i="25" s="1"/>
  <c r="Q74" i="22"/>
  <c r="R45" i="22"/>
  <c r="R44" i="22" s="1"/>
  <c r="R28" i="22"/>
  <c r="R29" i="22"/>
  <c r="O29" i="22"/>
  <c r="O28" i="22"/>
  <c r="O45" i="22"/>
  <c r="O44" i="22" s="1"/>
  <c r="I29" i="22"/>
  <c r="I45" i="22"/>
  <c r="I44" i="22" s="1"/>
  <c r="I28" i="22"/>
  <c r="Q75" i="22" l="1"/>
  <c r="N22" i="22"/>
  <c r="T11" i="22"/>
  <c r="T13" i="22" s="1"/>
  <c r="T22" i="22" s="1"/>
  <c r="P46" i="22"/>
  <c r="T46" i="22"/>
  <c r="S46" i="22"/>
  <c r="T75" i="22"/>
  <c r="T76" i="22"/>
  <c r="Q76" i="22"/>
  <c r="P11" i="22"/>
  <c r="P13" i="22" s="1"/>
  <c r="P22" i="22" s="1"/>
  <c r="S11" i="22"/>
  <c r="S13" i="22" s="1"/>
  <c r="S22" i="22" s="1"/>
  <c r="S76" i="22"/>
  <c r="J42" i="22"/>
  <c r="G3" i="25"/>
  <c r="G7" i="25" s="1"/>
  <c r="G11" i="25" s="1"/>
  <c r="L42" i="22"/>
  <c r="I3" i="25"/>
  <c r="I7" i="25" s="1"/>
  <c r="I11" i="25" s="1"/>
  <c r="F3" i="25"/>
  <c r="F7" i="25" s="1"/>
  <c r="F11" i="25" s="1"/>
  <c r="I42" i="22"/>
  <c r="D39" i="22"/>
  <c r="C38" i="22"/>
  <c r="G39" i="22"/>
  <c r="G38" i="22" s="1"/>
  <c r="L3" i="25"/>
  <c r="L7" i="25" s="1"/>
  <c r="L11" i="25" s="1"/>
  <c r="O42" i="22"/>
  <c r="R42" i="22"/>
  <c r="O3" i="25"/>
  <c r="O7" i="25" s="1"/>
  <c r="O11" i="25" s="1"/>
  <c r="M29" i="22"/>
  <c r="M28" i="22"/>
  <c r="M45" i="22"/>
  <c r="M44" i="22" s="1"/>
  <c r="N25" i="22"/>
  <c r="N26" i="22" s="1"/>
  <c r="T24" i="22" l="1"/>
  <c r="T25" i="22" s="1"/>
  <c r="T26" i="22" s="1"/>
  <c r="T45" i="22" s="1"/>
  <c r="T44" i="22" s="1"/>
  <c r="P24" i="22"/>
  <c r="P25" i="22" s="1"/>
  <c r="P26" i="22" s="1"/>
  <c r="S24" i="22"/>
  <c r="S25" i="22" s="1"/>
  <c r="S26" i="22" s="1"/>
  <c r="D38" i="22"/>
  <c r="E39" i="22"/>
  <c r="H39" i="22"/>
  <c r="H38" i="22" s="1"/>
  <c r="N45" i="22"/>
  <c r="N44" i="22" s="1"/>
  <c r="N28" i="22"/>
  <c r="N29" i="22"/>
  <c r="P28" i="22"/>
  <c r="P29" i="22"/>
  <c r="P45" i="22"/>
  <c r="P44" i="22" s="1"/>
  <c r="J3" i="25"/>
  <c r="J7" i="25" s="1"/>
  <c r="J11" i="25" s="1"/>
  <c r="M42" i="22"/>
  <c r="T29" i="22" l="1"/>
  <c r="T28" i="22"/>
  <c r="F39" i="22"/>
  <c r="E38" i="22"/>
  <c r="P42" i="22"/>
  <c r="M3" i="25"/>
  <c r="M7" i="25" s="1"/>
  <c r="M11" i="25" s="1"/>
  <c r="Q3" i="25"/>
  <c r="Q7" i="25" s="1"/>
  <c r="R7" i="25" s="1"/>
  <c r="R11" i="25" s="1"/>
  <c r="T42" i="22"/>
  <c r="N42" i="22"/>
  <c r="K3" i="25"/>
  <c r="K7" i="25" s="1"/>
  <c r="K11" i="25" s="1"/>
  <c r="S28" i="22"/>
  <c r="S29" i="22"/>
  <c r="S45" i="22"/>
  <c r="S44" i="22" s="1"/>
  <c r="I39" i="22"/>
  <c r="F38" i="22" l="1"/>
  <c r="C14" i="25"/>
  <c r="P3" i="25"/>
  <c r="P7" i="25" s="1"/>
  <c r="P11" i="25" s="1"/>
  <c r="S42" i="22"/>
  <c r="I38" i="22"/>
  <c r="J39" i="22"/>
  <c r="Q11" i="25"/>
  <c r="C13" i="25" s="1"/>
  <c r="C15" i="25" l="1"/>
  <c r="C17" i="25" s="1"/>
  <c r="J38" i="22"/>
  <c r="K39" i="22"/>
  <c r="K38" i="22" l="1"/>
  <c r="L39" i="22"/>
  <c r="L38" i="22" l="1"/>
  <c r="M39" i="22"/>
  <c r="M38" i="22" l="1"/>
  <c r="N39" i="22"/>
  <c r="N38" i="22" l="1"/>
  <c r="O39" i="22"/>
  <c r="O38" i="22" l="1"/>
  <c r="P39" i="22"/>
  <c r="P38" i="22" l="1"/>
  <c r="Q39" i="22"/>
  <c r="Q38" i="22" l="1"/>
  <c r="R39" i="22"/>
  <c r="R38" i="22" l="1"/>
  <c r="S39" i="22"/>
  <c r="S38" i="22" l="1"/>
  <c r="T39" i="22"/>
  <c r="T38"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I8" authorId="0" shapeId="0" xr:uid="{DA2846B9-C68A-47C5-9D86-3FADE7F92D4D}">
      <text>
        <r>
          <rPr>
            <b/>
            <sz val="9"/>
            <color indexed="81"/>
            <rFont val="Tahoma"/>
            <family val="2"/>
          </rPr>
          <t>Stifel:</t>
        </r>
        <r>
          <rPr>
            <sz val="9"/>
            <color indexed="81"/>
            <rFont val="Tahoma"/>
            <family val="2"/>
          </rPr>
          <t xml:space="preserve">
ph2 SCZ study complete, ph2 ADP ongoing</t>
        </r>
      </text>
    </comment>
    <comment ref="J8" authorId="0" shapeId="0" xr:uid="{6D33C7C1-3659-4696-9F20-FEF6C945B5D4}">
      <text>
        <r>
          <rPr>
            <b/>
            <sz val="9"/>
            <color indexed="81"/>
            <rFont val="Tahoma"/>
            <family val="2"/>
          </rPr>
          <t>Stifel:</t>
        </r>
        <r>
          <rPr>
            <sz val="9"/>
            <color indexed="81"/>
            <rFont val="Tahoma"/>
            <family val="2"/>
          </rPr>
          <t xml:space="preserve">
Starting ph3 SCZ studies</t>
        </r>
      </text>
    </comment>
    <comment ref="M8" authorId="0" shapeId="0" xr:uid="{19F4291A-897F-4EF6-9000-0446B5F8245E}">
      <text>
        <r>
          <rPr>
            <b/>
            <sz val="9"/>
            <color indexed="81"/>
            <rFont val="Tahoma"/>
            <family val="2"/>
          </rPr>
          <t>Stifel:</t>
        </r>
        <r>
          <rPr>
            <sz val="9"/>
            <color indexed="81"/>
            <rFont val="Tahoma"/>
            <family val="2"/>
          </rPr>
          <t xml:space="preserve">
Risk-adjusting R&amp;D expenses moving forward given limited credit we apply to pipeline.</t>
        </r>
      </text>
    </comment>
    <comment ref="B19" authorId="0" shapeId="0" xr:uid="{00000000-0006-0000-0200-000004000000}">
      <text>
        <r>
          <rPr>
            <b/>
            <sz val="9"/>
            <color indexed="81"/>
            <rFont val="Tahoma"/>
            <family val="2"/>
          </rPr>
          <t>Stifel:</t>
        </r>
        <r>
          <rPr>
            <sz val="9"/>
            <color indexed="81"/>
            <rFont val="Tahoma"/>
            <family val="2"/>
          </rPr>
          <t xml:space="preserve">
FX gain</t>
        </r>
      </text>
    </comment>
    <comment ref="F31" authorId="0" shapeId="0" xr:uid="{6A176138-58FF-41D6-B2A9-19B28193CB81}">
      <text>
        <r>
          <rPr>
            <b/>
            <sz val="9"/>
            <color indexed="81"/>
            <rFont val="Tahoma"/>
            <charset val="1"/>
          </rPr>
          <t>Stifel:</t>
        </r>
        <r>
          <rPr>
            <sz val="9"/>
            <color indexed="81"/>
            <rFont val="Tahoma"/>
            <charset val="1"/>
          </rPr>
          <t xml:space="preserve">
45,373,033 outstanding as of Nov 24, 2025</t>
        </r>
      </text>
    </comment>
    <comment ref="C52" authorId="0" shapeId="0" xr:uid="{AC0AF3F9-8CCF-4BDB-A1C2-6004E618A57B}">
      <text>
        <r>
          <rPr>
            <b/>
            <sz val="9"/>
            <color indexed="81"/>
            <rFont val="Tahoma"/>
            <family val="2"/>
          </rPr>
          <t>Stifel:</t>
        </r>
        <r>
          <rPr>
            <sz val="9"/>
            <color indexed="81"/>
            <rFont val="Tahoma"/>
            <family val="2"/>
          </rPr>
          <t xml:space="preserve">
maturities of marketable debt securities and purchase of short-term and long-term investments</t>
        </r>
      </text>
    </comment>
    <comment ref="D52" authorId="0" shapeId="0" xr:uid="{8DBB2354-8A18-4C77-A5F7-1888F31D5381}">
      <text>
        <r>
          <rPr>
            <b/>
            <sz val="9"/>
            <color indexed="81"/>
            <rFont val="Tahoma"/>
            <family val="2"/>
          </rPr>
          <t>Stifel:</t>
        </r>
        <r>
          <rPr>
            <sz val="9"/>
            <color indexed="81"/>
            <rFont val="Tahoma"/>
            <family val="2"/>
          </rPr>
          <t xml:space="preserve">
maturities of marketable debt securities</t>
        </r>
      </text>
    </comment>
    <comment ref="F55" authorId="0" shapeId="0" xr:uid="{F918E5FC-D3C2-461C-8E67-ECA12F1E0521}">
      <text>
        <r>
          <rPr>
            <b/>
            <sz val="9"/>
            <color indexed="81"/>
            <rFont val="Tahoma"/>
            <family val="2"/>
          </rPr>
          <t>Stifel:</t>
        </r>
        <r>
          <rPr>
            <sz val="9"/>
            <color indexed="81"/>
            <rFont val="Tahoma"/>
            <family val="2"/>
          </rPr>
          <t xml:space="preserve">
IPO proceeds net underwriting discounts and commissions</t>
        </r>
      </text>
    </comment>
    <comment ref="H55" authorId="0" shapeId="0" xr:uid="{452CFACE-D513-40A8-AFE2-C20AB480618E}">
      <text>
        <r>
          <rPr>
            <b/>
            <sz val="9"/>
            <color indexed="81"/>
            <rFont val="Tahoma"/>
            <family val="2"/>
          </rPr>
          <t>Stifel:</t>
        </r>
        <r>
          <rPr>
            <sz val="9"/>
            <color indexed="81"/>
            <rFont val="Tahoma"/>
            <family val="2"/>
          </rPr>
          <t xml:space="preserve">
ph2 schizophrenia data expected in 2H26</t>
        </r>
      </text>
    </comment>
    <comment ref="L55" authorId="0" shapeId="0" xr:uid="{C5A9E912-D252-4D57-BEA3-83465F239F9B}">
      <text>
        <r>
          <rPr>
            <b/>
            <sz val="9"/>
            <color indexed="81"/>
            <rFont val="Tahoma"/>
            <family val="2"/>
          </rPr>
          <t>Stifel:</t>
        </r>
        <r>
          <rPr>
            <sz val="9"/>
            <color indexed="81"/>
            <rFont val="Tahoma"/>
            <family val="2"/>
          </rPr>
          <t xml:space="preserve">
estimated ph3 schizophrenia topline</t>
        </r>
      </text>
    </comment>
    <comment ref="B57" authorId="0" shapeId="0" xr:uid="{00000000-0006-0000-0200-000007000000}">
      <text>
        <r>
          <rPr>
            <b/>
            <sz val="9"/>
            <color indexed="81"/>
            <rFont val="Tahoma"/>
            <family val="2"/>
          </rPr>
          <t>Stifel:</t>
        </r>
        <r>
          <rPr>
            <sz val="9"/>
            <color indexed="81"/>
            <rFont val="Tahoma"/>
            <family val="2"/>
          </rPr>
          <t xml:space="preserve">
Proceeds from issuance of Series C redeemable convertible preferred stock and preferred stock purchase right, net of issuance costs</t>
        </r>
      </text>
    </comment>
    <comment ref="E57" authorId="0" shapeId="0" xr:uid="{BC194C85-BC2C-4995-8ADB-82C3ABF33DB6}">
      <text>
        <r>
          <rPr>
            <b/>
            <sz val="9"/>
            <color indexed="81"/>
            <rFont val="Tahoma"/>
            <family val="2"/>
          </rPr>
          <t>Stifel:</t>
        </r>
        <r>
          <rPr>
            <sz val="9"/>
            <color indexed="81"/>
            <rFont val="Tahoma"/>
            <family val="2"/>
          </rPr>
          <t xml:space="preserve">
Series D proceeds net issuance costs</t>
        </r>
      </text>
    </comment>
    <comment ref="B58" authorId="0" shapeId="0" xr:uid="{00000000-0006-0000-0200-000009000000}">
      <text>
        <r>
          <rPr>
            <b/>
            <sz val="9"/>
            <color indexed="81"/>
            <rFont val="Tahoma"/>
            <family val="2"/>
          </rPr>
          <t>Stifel:</t>
        </r>
        <r>
          <rPr>
            <sz val="9"/>
            <color indexed="81"/>
            <rFont val="Tahoma"/>
            <family val="2"/>
          </rPr>
          <t xml:space="preserve">
Proceeds from exercise of stock options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C16" authorId="0" shapeId="0" xr:uid="{B1973A64-A367-4EA4-AB1C-A7B929630D00}">
      <text>
        <r>
          <rPr>
            <b/>
            <sz val="9"/>
            <color indexed="81"/>
            <rFont val="Tahoma"/>
            <charset val="1"/>
          </rPr>
          <t>Stifel:</t>
        </r>
        <r>
          <rPr>
            <sz val="9"/>
            <color indexed="81"/>
            <rFont val="Tahoma"/>
            <charset val="1"/>
          </rPr>
          <t xml:space="preserve">
45,373,033 outstanding shares of common stock as of Nov 24, 2025 
6,212,236  unvested restricted stock units
933,010 options to purchase common stock
727,405 RSU under 2025 Plan
35,476 reserved for NeuroSolis agreement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B7" authorId="0" shapeId="0" xr:uid="{00000000-0006-0000-0500-000001000000}">
      <text>
        <r>
          <rPr>
            <b/>
            <sz val="9"/>
            <color indexed="81"/>
            <rFont val="Tahoma"/>
            <family val="2"/>
          </rPr>
          <t>Stifel:</t>
        </r>
        <r>
          <rPr>
            <sz val="9"/>
            <color indexed="81"/>
            <rFont val="Tahoma"/>
            <family val="2"/>
          </rPr>
          <t xml:space="preserve">
some research suggests that about a third of schizo patients are refractory
other KOL calls suggest the true number of patients who are not well controlled is higher
being conservative here and modeling 231 within refractory space only</t>
        </r>
      </text>
    </comment>
    <comment ref="B8" authorId="0" shapeId="0" xr:uid="{00000000-0006-0000-0500-000002000000}">
      <text>
        <r>
          <rPr>
            <b/>
            <sz val="9"/>
            <color indexed="81"/>
            <rFont val="Tahoma"/>
            <family val="2"/>
          </rPr>
          <t>Stifel:</t>
        </r>
        <r>
          <rPr>
            <sz val="9"/>
            <color indexed="81"/>
            <rFont val="Tahoma"/>
            <family val="2"/>
          </rPr>
          <t xml:space="preserve">
2022 survey (n=30)</t>
        </r>
      </text>
    </comment>
    <comment ref="E12" authorId="0" shapeId="0" xr:uid="{6F3215FE-8E04-4973-89A3-73A2D41831E9}">
      <text>
        <r>
          <rPr>
            <b/>
            <sz val="9"/>
            <color indexed="81"/>
            <rFont val="Tahoma"/>
            <family val="2"/>
          </rPr>
          <t>Stifel:</t>
        </r>
        <r>
          <rPr>
            <sz val="9"/>
            <color indexed="81"/>
            <rFont val="Tahoma"/>
            <family val="2"/>
          </rPr>
          <t xml:space="preserve">
adjusted to reflect Cobenfy sales in 2024</t>
        </r>
      </text>
    </comment>
    <comment ref="F12" authorId="0" shapeId="0" xr:uid="{CB73BD82-F36C-492F-93ED-2AFFAE7BF073}">
      <text>
        <r>
          <rPr>
            <b/>
            <sz val="9"/>
            <color indexed="81"/>
            <rFont val="Tahoma"/>
            <family val="2"/>
          </rPr>
          <t>Stifel:</t>
        </r>
        <r>
          <rPr>
            <sz val="9"/>
            <color indexed="81"/>
            <rFont val="Tahoma"/>
            <family val="2"/>
          </rPr>
          <t xml:space="preserve">
Adjusted to reflect Cobenfy's estimated sales in 2025</t>
        </r>
      </text>
    </comment>
    <comment ref="J16" authorId="0" shapeId="0" xr:uid="{2681B549-037F-425E-A940-582AF460A870}">
      <text>
        <r>
          <rPr>
            <b/>
            <sz val="9"/>
            <color indexed="81"/>
            <rFont val="Tahoma"/>
            <family val="2"/>
          </rPr>
          <t>Stifel:</t>
        </r>
        <r>
          <rPr>
            <sz val="9"/>
            <color indexed="81"/>
            <rFont val="Tahoma"/>
            <family val="2"/>
          </rPr>
          <t xml:space="preserve">
M4 only approaches
NBIX is slightly ahead and could launch earlier than MPLT if their ph3 is positive</t>
        </r>
      </text>
    </comment>
    <comment ref="B26" authorId="0" shapeId="0" xr:uid="{00000000-0006-0000-0500-000007000000}">
      <text>
        <r>
          <rPr>
            <b/>
            <sz val="9"/>
            <color indexed="81"/>
            <rFont val="Tahoma"/>
            <family val="2"/>
          </rPr>
          <t>Stifel:</t>
        </r>
        <r>
          <rPr>
            <sz val="9"/>
            <color indexed="81"/>
            <rFont val="Tahoma"/>
            <family val="2"/>
          </rPr>
          <t xml:space="preserve">
Estimates based on Cobenfy WAC which is $22,200/yr in 2024, adjusted for y/y price growth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Stifel</author>
  </authors>
  <commentList>
    <comment ref="B6" authorId="0" shapeId="0" xr:uid="{89D24900-5549-4D5C-A274-C0030C97960C}">
      <text>
        <r>
          <rPr>
            <b/>
            <sz val="9"/>
            <color indexed="81"/>
            <rFont val="Tahoma"/>
            <family val="2"/>
          </rPr>
          <t>Stifel:</t>
        </r>
        <r>
          <rPr>
            <sz val="9"/>
            <color indexed="81"/>
            <rFont val="Tahoma"/>
            <family val="2"/>
          </rPr>
          <t xml:space="preserve">
assume grows 2x the overall population rate</t>
        </r>
      </text>
    </comment>
    <comment ref="B17" authorId="0" shapeId="0" xr:uid="{2CC6E05C-BA63-4906-B6FB-BC5CAA006880}">
      <text>
        <r>
          <rPr>
            <b/>
            <sz val="9"/>
            <color indexed="81"/>
            <rFont val="Tahoma"/>
            <family val="2"/>
          </rPr>
          <t>Stifel:</t>
        </r>
        <r>
          <rPr>
            <sz val="9"/>
            <color indexed="81"/>
            <rFont val="Tahoma"/>
            <family val="2"/>
          </rPr>
          <t xml:space="preserve">
Note BID vs QD could result in doubling of price compared to schizophrenia, but we assume similar price to be conservative</t>
        </r>
      </text>
    </comment>
  </commentList>
</comments>
</file>

<file path=xl/sharedStrings.xml><?xml version="1.0" encoding="utf-8"?>
<sst xmlns="http://schemas.openxmlformats.org/spreadsheetml/2006/main" count="223" uniqueCount="172">
  <si>
    <t xml:space="preserve">© 2025 Stifel. This report is produced for the use of Stifel customers and may not be reproduced, re-distributed or passed to any other person or published in whole or in part for any purpose without the prior consent of Stifel. </t>
  </si>
  <si>
    <t>The information contained herein has been prepared from sources believed to be reliable but is not guaranteed by us and is not a complete summary or statement of all available data, nor is it considered an offer to buy or sell any securities referred to herein. The most recent research and all applicable disclosures may be accessed by accessing Research Page at www.stifel.com. Additional information available upon request.</t>
  </si>
  <si>
    <t>Sources for data in this workbook include:</t>
  </si>
  <si>
    <t>Stifel estimates</t>
  </si>
  <si>
    <t>Company reports</t>
  </si>
  <si>
    <r>
      <t xml:space="preserve">MapLight Therapeutics (MPLT) - IS
</t>
    </r>
    <r>
      <rPr>
        <i/>
        <sz val="9"/>
        <color theme="0"/>
        <rFont val="Calibri"/>
        <family val="2"/>
      </rPr>
      <t xml:space="preserve">Data in $MM, Except EPS </t>
    </r>
  </si>
  <si>
    <t>1H25</t>
  </si>
  <si>
    <t>3Q25</t>
  </si>
  <si>
    <t>4Q25E</t>
  </si>
  <si>
    <t>2025E</t>
  </si>
  <si>
    <t>2026E</t>
  </si>
  <si>
    <t>2027E</t>
  </si>
  <si>
    <t>2028E</t>
  </si>
  <si>
    <t>2029E</t>
  </si>
  <si>
    <t>2030E</t>
  </si>
  <si>
    <t>2031E</t>
  </si>
  <si>
    <t>2032E</t>
  </si>
  <si>
    <t>2033E</t>
  </si>
  <si>
    <t>2034E</t>
  </si>
  <si>
    <t>2035E</t>
  </si>
  <si>
    <t>2036E</t>
  </si>
  <si>
    <t>2037E</t>
  </si>
  <si>
    <t>2038E</t>
  </si>
  <si>
    <t xml:space="preserve">Product Revenue </t>
  </si>
  <si>
    <t>Royalty Revenue</t>
  </si>
  <si>
    <t>Other Revenue</t>
  </si>
  <si>
    <t>Total revenue</t>
  </si>
  <si>
    <t>COGS</t>
  </si>
  <si>
    <t>R&amp;D</t>
  </si>
  <si>
    <t>SG&amp;A</t>
  </si>
  <si>
    <t>Other operating expenses</t>
  </si>
  <si>
    <t>Operating expenses</t>
  </si>
  <si>
    <t>Operating income</t>
  </si>
  <si>
    <t>Interest income</t>
  </si>
  <si>
    <t>Interest expense</t>
  </si>
  <si>
    <t>Change in fair value of preferred stock purchase right</t>
  </si>
  <si>
    <t>Gain on equity method investment</t>
  </si>
  <si>
    <t>Other income (expense)</t>
  </si>
  <si>
    <t>Net interest and other income</t>
  </si>
  <si>
    <t>EBIT</t>
  </si>
  <si>
    <t>Net pre-tax income</t>
  </si>
  <si>
    <t>Provision for income taxes</t>
  </si>
  <si>
    <t>Net income (loss)</t>
  </si>
  <si>
    <t>Diluted earnings per share (GAAP)</t>
  </si>
  <si>
    <t>Basic earnings per share (GAAP)</t>
  </si>
  <si>
    <t>Average shares outstanding, basic</t>
  </si>
  <si>
    <t>Average shares outstanding, diluted</t>
  </si>
  <si>
    <t>Source: Stifel estimates &amp; company filings</t>
  </si>
  <si>
    <t>MapLight Therapeutics  BS/CFS ($MM)</t>
  </si>
  <si>
    <t>Net cash</t>
  </si>
  <si>
    <t>Cash and equivalents</t>
  </si>
  <si>
    <t>Debt</t>
  </si>
  <si>
    <t>Change in cash and short term investments</t>
  </si>
  <si>
    <t>Cash Flow From Operations</t>
  </si>
  <si>
    <t>Net income</t>
  </si>
  <si>
    <t>SOE</t>
  </si>
  <si>
    <t>D&amp;A</t>
  </si>
  <si>
    <t>Other</t>
  </si>
  <si>
    <t>Cash Flow From Investing</t>
  </si>
  <si>
    <t>Purchase of PP&amp;E</t>
  </si>
  <si>
    <t>Cash Flow From Financing</t>
  </si>
  <si>
    <t>Issuance (repurchase) of common stock</t>
  </si>
  <si>
    <t>Issuance (repayment/maturity) of debt</t>
  </si>
  <si>
    <t>Issuance (repurchase) of convert. pref.</t>
  </si>
  <si>
    <t>Margin Analysis</t>
  </si>
  <si>
    <t>SOE - % of R&amp;D/SG&amp;A</t>
  </si>
  <si>
    <t>Effective tax rate</t>
  </si>
  <si>
    <t>Growth Analysis</t>
  </si>
  <si>
    <t>Product revenue y/y</t>
  </si>
  <si>
    <t>COGS y/y</t>
  </si>
  <si>
    <t>R&amp;D y/y</t>
  </si>
  <si>
    <t>SG&amp;A y/y</t>
  </si>
  <si>
    <t xml:space="preserve"> </t>
  </si>
  <si>
    <t>YTD Cash Flow Statement</t>
  </si>
  <si>
    <t>Supplemental Disclosures</t>
  </si>
  <si>
    <t>Conversion of convertible notes and preferred stock</t>
  </si>
  <si>
    <t>Right-of-use asset</t>
  </si>
  <si>
    <t>Restricted cash (period-end)</t>
  </si>
  <si>
    <t>Exchange rate impact</t>
  </si>
  <si>
    <t>MPLT DCF - $MM</t>
  </si>
  <si>
    <t>TV</t>
  </si>
  <si>
    <t>CFO</t>
  </si>
  <si>
    <t>CFI</t>
  </si>
  <si>
    <t>Net Borrowing</t>
  </si>
  <si>
    <t>FCF</t>
  </si>
  <si>
    <t>Period</t>
  </si>
  <si>
    <t>PV FCF</t>
  </si>
  <si>
    <t>Total FCF, PV</t>
  </si>
  <si>
    <t xml:space="preserve">Net Cash 4Q25E </t>
  </si>
  <si>
    <t>Implied Market Capitalization</t>
  </si>
  <si>
    <t xml:space="preserve">Diluted Shares Outstanding 4Q25E </t>
  </si>
  <si>
    <t>NPV Per Share</t>
  </si>
  <si>
    <t>Discount Rate</t>
  </si>
  <si>
    <t>Terminal Growth Rate</t>
  </si>
  <si>
    <t>Source: Company Filings, Stifel estimates. Note: Diluted share count includes options and RSUs.</t>
  </si>
  <si>
    <t>Product Revenues &amp; Royalties ($MM)</t>
  </si>
  <si>
    <t>3Q25E</t>
  </si>
  <si>
    <t>ML-007C-MA, Schizophrenia - WW Gross Revenues</t>
  </si>
  <si>
    <t>ML-007C-MA, Schizophrenia - WW Risk-Adjusted Revenues</t>
  </si>
  <si>
    <t>ML-007C-MA, Alzheimer's Disease Psychosis - WW Gross Revenues</t>
  </si>
  <si>
    <t>ML-007C-MA, Alzheimer's Disease Psychosis - WW Risk-Adjusted Revenues</t>
  </si>
  <si>
    <t>ML-004, Autism Spectrum Disorder - WW Gross Revenues</t>
  </si>
  <si>
    <t>ML-004, Autism Spectrum Disorder - WW Risk-Adjusted Revenues</t>
  </si>
  <si>
    <t>Other Pipeline (i.e., ML-021, ML-009)</t>
  </si>
  <si>
    <t>Total Product Revenues - WW Gross Revenues</t>
  </si>
  <si>
    <t>Total Product Revenues - WW Risk-Adjusted Revenues</t>
  </si>
  <si>
    <t>Source: Stifel Estimates &amp; Company Filings</t>
  </si>
  <si>
    <t>MPLT Schizophrenia Revenue Model</t>
  </si>
  <si>
    <t>Schizophrenia Model: U.S.</t>
  </si>
  <si>
    <t>US Schizophrenia Patients - Adults</t>
  </si>
  <si>
    <t>y/y growth rate</t>
  </si>
  <si>
    <t>1st / 2nd/3rd Line Tx Success</t>
  </si>
  <si>
    <t>Treatment Resistant - Physician Survey</t>
  </si>
  <si>
    <t>Muscarinic Penetration</t>
  </si>
  <si>
    <t>1st / 2nd/3rd Line Tx</t>
  </si>
  <si>
    <t>Treatment Resistant</t>
  </si>
  <si>
    <t>ML-007C-MA (M1/M4 Agonist + PAC)</t>
  </si>
  <si>
    <t>KarXT (M1/M4-Preferring Agonist + Trospium)</t>
  </si>
  <si>
    <t>SUM</t>
  </si>
  <si>
    <t>ML-007C-MA US Patients</t>
  </si>
  <si>
    <t>1st / 2nd/3rd  Line Tx</t>
  </si>
  <si>
    <t>Total Patients on ML-007C-MA</t>
  </si>
  <si>
    <t>Total Muscarinic Penetration in Schizophrenia</t>
  </si>
  <si>
    <t>ML-007C-MA Gross Annual Cost</t>
  </si>
  <si>
    <t>y/y price growth</t>
  </si>
  <si>
    <t>Gross to Net Adjustment</t>
  </si>
  <si>
    <t>Annual Net Cost</t>
  </si>
  <si>
    <t>Compliance Rate</t>
  </si>
  <si>
    <t>ML-007C-MA U.S. Schizophrenia ($MM), gross</t>
  </si>
  <si>
    <t>Probability-of-success</t>
  </si>
  <si>
    <t xml:space="preserve">Risk-Adjusted ML-007C-MA U.S. Schizophrenia Sales ($MM) </t>
  </si>
  <si>
    <t>ROW as a % of US</t>
  </si>
  <si>
    <t>Gross ML-007C-MA ROW Schizophrenia ($MM)</t>
  </si>
  <si>
    <t>Risk-Adjusted ML-007C-MA ROW Schizophrenia ($MM)</t>
  </si>
  <si>
    <t>Gross ML-007C-MA Schizophrenia Sales ($MM)</t>
  </si>
  <si>
    <t>Risk-Adjusted WW ML-007C-MA Schizophrenia Sales ($MM)</t>
  </si>
  <si>
    <t>Key Assumptions</t>
  </si>
  <si>
    <t>Probability of Success</t>
  </si>
  <si>
    <t>ML-007C-MA Gross Annual WAC</t>
  </si>
  <si>
    <t xml:space="preserve">  Annual price increase, US</t>
  </si>
  <si>
    <t>Gross/net discount</t>
  </si>
  <si>
    <t>Alzheimer's Model: U.S.</t>
  </si>
  <si>
    <t>US Dementia Patients</t>
  </si>
  <si>
    <t>% with AD Dementia</t>
  </si>
  <si>
    <t>% with AD Psychosis</t>
  </si>
  <si>
    <t>% Diagnosed</t>
  </si>
  <si>
    <t>Total ADP Patients in US</t>
  </si>
  <si>
    <t>ML-007C-MA U.S. ADP ($MM), gross</t>
  </si>
  <si>
    <t xml:space="preserve">Risk-Adjusted ML-007C-MA U.S. ADP Sales ($MM) </t>
  </si>
  <si>
    <t>Gross ML-007C-MA ROW ADP ($MM)</t>
  </si>
  <si>
    <t>Risk-Adjusted ML-007C-MA ROW AD ($MM)</t>
  </si>
  <si>
    <t>Gross ML-007C-MA ADP Sales ($MM)</t>
  </si>
  <si>
    <t>Risk-Adjusted WW ML-007C-MA ADP Sales ($MM)</t>
  </si>
  <si>
    <t>Contineum Multiple Sclerosis Revenue Model</t>
  </si>
  <si>
    <t>Multiple Sclerosis Model: U.S.</t>
  </si>
  <si>
    <t>Estimated US Adults</t>
  </si>
  <si>
    <t>Multiple Sclerosis Prevalence</t>
  </si>
  <si>
    <t>Multiple Sclerosis Patient Population</t>
  </si>
  <si>
    <t>RRMS Prevalence</t>
  </si>
  <si>
    <t>SPMS Prevalence</t>
  </si>
  <si>
    <t>PPMS Prevalence</t>
  </si>
  <si>
    <t xml:space="preserve">Share of Addressable RRMS Patients </t>
  </si>
  <si>
    <t>PIPE-791</t>
  </si>
  <si>
    <t>Ocrevus/ocrelizumab</t>
  </si>
  <si>
    <t>Kesimpta/ofatumumab</t>
  </si>
  <si>
    <t>Tecfidera/dimethyl fumarate</t>
  </si>
  <si>
    <t>Vumerity/diroximel fumarate</t>
  </si>
  <si>
    <t>Briumvi/ublituximab-xiiy</t>
  </si>
  <si>
    <t>Zeposia/ozanimod</t>
  </si>
  <si>
    <t>Ponvory/ponesimod</t>
  </si>
  <si>
    <t>Tysabri/natalizumab</t>
  </si>
  <si>
    <t>Interferons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</si>
</sst>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 #,##0_);_(* \(#,##0\);_(* &quot;-&quot;??_);_(@_)"/>
    <numFmt numFmtId="166" formatCode="_(* #,##0.0_);_(* \(#,##0.0\);_(* &quot;-&quot;??_);_(@_)"/>
    <numFmt numFmtId="167" formatCode="_(&quot;$&quot;* #,##0_);_(&quot;$&quot;* \(#,##0\);_(&quot;$&quot;* &quot;-&quot;??_);_(@_)"/>
    <numFmt numFmtId="168" formatCode="0.0%"/>
    <numFmt numFmtId="169" formatCode="_(* #,##0;_(* \(#,##0\);_(* &quot;-&quot;??_);_(@_)"/>
    <numFmt numFmtId="170" formatCode="_(* #,##0.0_);_(* \(#,##0.0\);_(* &quot;-&quot;_);_(@_)"/>
    <numFmt numFmtId="171" formatCode="#,##0.0_);\(#,##0.0\)"/>
    <numFmt numFmtId="172" formatCode="&quot;$&quot;#,##0.00"/>
    <numFmt numFmtId="173" formatCode="_(&quot;$&quot;* #,##0_);_(&quot;$&quot;* \(#,##0\);_(&quot;$&quot;* &quot;-&quot;?_);_(@_)"/>
    <numFmt numFmtId="174" formatCode="0.0%_);\(0.0%\);0.0%_);@_)"/>
    <numFmt numFmtId="175" formatCode="_(* #,##0.00000_);_(* \(#,##0.00000\);_(* &quot;-&quot;?????_);_(@_)"/>
    <numFmt numFmtId="176" formatCode="_(* #,##0.0000_);_(* \(#,##0.0000\);_(* &quot;-&quot;????_);_(@_)"/>
    <numFmt numFmtId="177" formatCode="0.000%"/>
  </numFmts>
  <fonts count="37">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0"/>
      <name val="Arial"/>
      <family val="2"/>
    </font>
    <font>
      <sz val="10"/>
      <name val="Geneva"/>
      <family val="2"/>
    </font>
    <font>
      <sz val="9"/>
      <color theme="1"/>
      <name val="Calibri"/>
      <family val="2"/>
      <scheme val="minor"/>
    </font>
    <font>
      <sz val="10"/>
      <name val="Arial"/>
      <family val="2"/>
    </font>
    <font>
      <sz val="10"/>
      <name val="Arial"/>
      <family val="2"/>
    </font>
    <font>
      <i/>
      <sz val="9"/>
      <name val="Arial"/>
      <family val="2"/>
    </font>
    <font>
      <sz val="10"/>
      <name val="Arial"/>
      <family val="2"/>
    </font>
    <font>
      <sz val="14"/>
      <color theme="1"/>
      <name val="Arial"/>
      <family val="2"/>
    </font>
    <font>
      <b/>
      <sz val="14"/>
      <color theme="1"/>
      <name val="Arial"/>
      <family val="2"/>
    </font>
    <font>
      <b/>
      <sz val="9"/>
      <color rgb="FF000000"/>
      <name val="Calibri"/>
      <family val="2"/>
      <scheme val="minor"/>
    </font>
    <font>
      <i/>
      <sz val="9"/>
      <color theme="1"/>
      <name val="Calibri"/>
      <family val="2"/>
      <scheme val="minor"/>
    </font>
    <font>
      <sz val="9"/>
      <color rgb="FF000000"/>
      <name val="Calibri"/>
      <family val="2"/>
      <scheme val="minor"/>
    </font>
    <font>
      <i/>
      <sz val="9"/>
      <color rgb="FF0000FF"/>
      <name val="Calibri"/>
      <family val="2"/>
      <scheme val="minor"/>
    </font>
    <font>
      <sz val="9"/>
      <color rgb="FF0000FF"/>
      <name val="Calibri"/>
      <family val="2"/>
      <scheme val="minor"/>
    </font>
    <font>
      <b/>
      <sz val="9"/>
      <color theme="1"/>
      <name val="Calibri"/>
      <family val="2"/>
      <scheme val="minor"/>
    </font>
    <font>
      <b/>
      <sz val="9"/>
      <color rgb="FF0000FF"/>
      <name val="Calibri"/>
      <family val="2"/>
      <scheme val="minor"/>
    </font>
    <font>
      <i/>
      <sz val="9"/>
      <color rgb="FF000000"/>
      <name val="Calibri"/>
      <family val="2"/>
      <scheme val="minor"/>
    </font>
    <font>
      <b/>
      <sz val="9"/>
      <color theme="0"/>
      <name val="Calibri"/>
      <family val="2"/>
      <scheme val="minor"/>
    </font>
    <font>
      <sz val="9"/>
      <name val="Calibri"/>
      <family val="2"/>
      <scheme val="minor"/>
    </font>
    <font>
      <i/>
      <sz val="9"/>
      <color theme="0"/>
      <name val="Calibri"/>
      <family val="2"/>
    </font>
    <font>
      <b/>
      <sz val="9"/>
      <color rgb="FFFFFFFF"/>
      <name val="Calibri"/>
      <family val="2"/>
      <scheme val="minor"/>
    </font>
    <font>
      <b/>
      <sz val="9"/>
      <name val="Calibri"/>
      <family val="2"/>
      <scheme val="minor"/>
    </font>
    <font>
      <sz val="9"/>
      <color rgb="FFFF0000"/>
      <name val="Calibri"/>
      <family val="2"/>
      <scheme val="minor"/>
    </font>
    <font>
      <b/>
      <sz val="9"/>
      <color theme="1" tint="4.9989318521683403E-2"/>
      <name val="Calibri"/>
      <family val="2"/>
      <scheme val="minor"/>
    </font>
    <font>
      <sz val="9"/>
      <color rgb="FFFFFFFF"/>
      <name val="Calibri"/>
      <family val="2"/>
      <scheme val="minor"/>
    </font>
    <font>
      <b/>
      <sz val="9"/>
      <name val="Arial"/>
      <family val="2"/>
    </font>
    <font>
      <sz val="9"/>
      <name val="Arial"/>
      <family val="2"/>
    </font>
    <font>
      <i/>
      <sz val="8"/>
      <color theme="1"/>
      <name val="Calibri"/>
      <family val="2"/>
      <scheme val="minor"/>
    </font>
    <font>
      <i/>
      <sz val="9"/>
      <name val="Calibri"/>
      <family val="2"/>
      <scheme val="minor"/>
    </font>
    <font>
      <i/>
      <sz val="14"/>
      <color theme="1"/>
      <name val="Arial"/>
      <family val="2"/>
    </font>
    <font>
      <b/>
      <i/>
      <sz val="9"/>
      <color rgb="FF000000"/>
      <name val="Calibri"/>
      <family val="2"/>
      <scheme val="minor"/>
    </font>
    <font>
      <sz val="9"/>
      <color indexed="81"/>
      <name val="Tahoma"/>
      <charset val="1"/>
    </font>
    <font>
      <b/>
      <sz val="9"/>
      <color indexed="81"/>
      <name val="Tahoma"/>
      <charset val="1"/>
    </font>
  </fonts>
  <fills count="1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D9D9D9"/>
        <bgColor indexed="64"/>
      </patternFill>
    </fill>
    <fill>
      <patternFill patternType="solid">
        <fgColor theme="4"/>
        <bgColor indexed="64"/>
      </patternFill>
    </fill>
    <fill>
      <patternFill patternType="solid">
        <fgColor theme="1"/>
        <bgColor indexed="64"/>
      </patternFill>
    </fill>
    <fill>
      <patternFill patternType="solid">
        <fgColor theme="7" tint="-9.9978637043366805E-2"/>
        <bgColor indexed="64"/>
      </patternFill>
    </fill>
    <fill>
      <patternFill patternType="solid">
        <fgColor theme="5"/>
        <bgColor indexed="64"/>
      </patternFill>
    </fill>
    <fill>
      <patternFill patternType="solid">
        <fgColor rgb="FF003768"/>
        <bgColor indexed="64"/>
      </patternFill>
    </fill>
    <fill>
      <patternFill patternType="solid">
        <fgColor theme="9"/>
        <bgColor indexed="64"/>
      </patternFill>
    </fill>
    <fill>
      <patternFill patternType="solid">
        <fgColor theme="5" tint="0.59999389629810485"/>
        <bgColor indexed="64"/>
      </patternFill>
    </fill>
    <fill>
      <patternFill patternType="solid">
        <fgColor theme="7" tint="-0.499984740745262"/>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indexed="64"/>
      </right>
      <top style="thin">
        <color indexed="64"/>
      </top>
      <bottom style="hair">
        <color indexed="64"/>
      </bottom>
      <diagonal/>
    </border>
    <border>
      <left style="thin">
        <color auto="1"/>
      </left>
      <right style="thin">
        <color indexed="64"/>
      </right>
      <top style="hair">
        <color indexed="64"/>
      </top>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5" fillId="0" borderId="0" applyNumberFormat="0" applyFill="0" applyBorder="0" applyAlignment="0" applyProtection="0"/>
    <xf numFmtId="0" fontId="7"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8" fillId="0" borderId="0" applyNumberFormat="0" applyFill="0" applyBorder="0" applyAlignment="0" applyProtection="0"/>
    <xf numFmtId="0" fontId="10"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9" fontId="4" fillId="0" borderId="0" applyFont="0" applyFill="0" applyBorder="0" applyAlignment="0" applyProtection="0"/>
    <xf numFmtId="0" fontId="1" fillId="0" borderId="0"/>
  </cellStyleXfs>
  <cellXfs count="299">
    <xf numFmtId="0" fontId="0" fillId="0" borderId="0" xfId="0"/>
    <xf numFmtId="0" fontId="11" fillId="0" borderId="0" xfId="0" applyFont="1" applyAlignment="1">
      <alignment vertical="center" wrapText="1"/>
    </xf>
    <xf numFmtId="0" fontId="0" fillId="0" borderId="0" xfId="0" applyAlignment="1">
      <alignment vertical="center" wrapText="1"/>
    </xf>
    <xf numFmtId="0" fontId="12" fillId="0" borderId="0" xfId="0" applyFont="1"/>
    <xf numFmtId="0" fontId="11" fillId="0" borderId="0" xfId="0" applyFont="1"/>
    <xf numFmtId="0" fontId="6" fillId="3" borderId="0" xfId="0" applyFont="1" applyFill="1"/>
    <xf numFmtId="165" fontId="6" fillId="3" borderId="0" xfId="1" applyNumberFormat="1" applyFont="1" applyFill="1"/>
    <xf numFmtId="0" fontId="14" fillId="3" borderId="0" xfId="0" applyFont="1" applyFill="1"/>
    <xf numFmtId="0" fontId="18" fillId="4" borderId="9" xfId="0" applyFont="1" applyFill="1" applyBorder="1"/>
    <xf numFmtId="165" fontId="6" fillId="3" borderId="0" xfId="1" applyNumberFormat="1" applyFont="1" applyFill="1" applyBorder="1"/>
    <xf numFmtId="0" fontId="21" fillId="7" borderId="1" xfId="0" applyFont="1" applyFill="1" applyBorder="1" applyAlignment="1">
      <alignment horizontal="center"/>
    </xf>
    <xf numFmtId="0" fontId="6" fillId="0" borderId="0" xfId="0" applyFont="1"/>
    <xf numFmtId="0" fontId="18" fillId="3" borderId="4" xfId="0" applyFont="1" applyFill="1" applyBorder="1"/>
    <xf numFmtId="0" fontId="6" fillId="3" borderId="4" xfId="0" applyFont="1" applyFill="1" applyBorder="1"/>
    <xf numFmtId="0" fontId="18" fillId="2" borderId="1" xfId="0" applyFont="1" applyFill="1" applyBorder="1"/>
    <xf numFmtId="164" fontId="6" fillId="3" borderId="4" xfId="0" applyNumberFormat="1" applyFont="1" applyFill="1" applyBorder="1"/>
    <xf numFmtId="0" fontId="24" fillId="7" borderId="1" xfId="0" applyFont="1" applyFill="1" applyBorder="1" applyAlignment="1">
      <alignment horizontal="center"/>
    </xf>
    <xf numFmtId="0" fontId="15" fillId="0" borderId="4" xfId="0" applyFont="1" applyBorder="1"/>
    <xf numFmtId="0" fontId="17" fillId="0" borderId="4" xfId="0" applyFont="1" applyBorder="1"/>
    <xf numFmtId="164" fontId="6" fillId="0" borderId="0" xfId="0" applyNumberFormat="1" applyFont="1"/>
    <xf numFmtId="0" fontId="15" fillId="0" borderId="4" xfId="0" applyFont="1" applyBorder="1" applyAlignment="1">
      <alignment horizontal="left" indent="1"/>
    </xf>
    <xf numFmtId="164" fontId="15" fillId="3" borderId="4" xfId="0" applyNumberFormat="1" applyFont="1" applyFill="1" applyBorder="1"/>
    <xf numFmtId="0" fontId="13" fillId="0" borderId="6" xfId="0" applyFont="1" applyBorder="1"/>
    <xf numFmtId="164" fontId="13" fillId="3" borderId="6" xfId="0" applyNumberFormat="1" applyFont="1" applyFill="1" applyBorder="1"/>
    <xf numFmtId="166" fontId="15" fillId="3" borderId="4" xfId="0" applyNumberFormat="1" applyFont="1" applyFill="1" applyBorder="1"/>
    <xf numFmtId="0" fontId="13" fillId="0" borderId="4" xfId="0" applyFont="1" applyBorder="1"/>
    <xf numFmtId="164" fontId="13" fillId="3" borderId="4" xfId="0" applyNumberFormat="1" applyFont="1" applyFill="1" applyBorder="1"/>
    <xf numFmtId="0" fontId="6" fillId="0" borderId="4" xfId="0" applyFont="1" applyBorder="1" applyAlignment="1">
      <alignment horizontal="left" indent="1"/>
    </xf>
    <xf numFmtId="164" fontId="6" fillId="0" borderId="4" xfId="0" applyNumberFormat="1" applyFont="1" applyBorder="1"/>
    <xf numFmtId="164" fontId="15" fillId="0" borderId="4" xfId="0" applyNumberFormat="1" applyFont="1" applyBorder="1"/>
    <xf numFmtId="164" fontId="15" fillId="0" borderId="5" xfId="0" applyNumberFormat="1" applyFont="1" applyBorder="1"/>
    <xf numFmtId="0" fontId="13" fillId="2" borderId="1" xfId="0" applyFont="1" applyFill="1" applyBorder="1"/>
    <xf numFmtId="44" fontId="13" fillId="2" borderId="1" xfId="0" applyNumberFormat="1" applyFont="1" applyFill="1" applyBorder="1" applyAlignment="1">
      <alignment horizontal="right"/>
    </xf>
    <xf numFmtId="44" fontId="13" fillId="0" borderId="4" xfId="0" applyNumberFormat="1" applyFont="1" applyBorder="1" applyAlignment="1">
      <alignment horizontal="right"/>
    </xf>
    <xf numFmtId="44" fontId="13" fillId="0" borderId="7" xfId="0" applyNumberFormat="1" applyFont="1" applyBorder="1" applyAlignment="1">
      <alignment horizontal="right"/>
    </xf>
    <xf numFmtId="2" fontId="6" fillId="0" borderId="0" xfId="0" applyNumberFormat="1" applyFont="1"/>
    <xf numFmtId="166" fontId="15" fillId="0" borderId="4" xfId="0" applyNumberFormat="1" applyFont="1" applyBorder="1"/>
    <xf numFmtId="164" fontId="22" fillId="0" borderId="4" xfId="0" applyNumberFormat="1" applyFont="1" applyBorder="1"/>
    <xf numFmtId="0" fontId="15" fillId="0" borderId="5" xfId="0" applyFont="1" applyBorder="1"/>
    <xf numFmtId="0" fontId="20" fillId="3" borderId="0" xfId="0" applyFont="1" applyFill="1"/>
    <xf numFmtId="0" fontId="15" fillId="0" borderId="0" xfId="0" applyFont="1"/>
    <xf numFmtId="0" fontId="21" fillId="7" borderId="1" xfId="0" applyFont="1" applyFill="1" applyBorder="1" applyAlignment="1">
      <alignment horizontal="left"/>
    </xf>
    <xf numFmtId="0" fontId="6" fillId="0" borderId="6" xfId="0" applyFont="1" applyBorder="1"/>
    <xf numFmtId="0" fontId="6" fillId="0" borderId="4" xfId="0" applyFont="1" applyBorder="1"/>
    <xf numFmtId="0" fontId="18" fillId="0" borderId="4" xfId="0" applyFont="1" applyBorder="1"/>
    <xf numFmtId="164" fontId="18" fillId="0" borderId="4" xfId="0" applyNumberFormat="1" applyFont="1" applyBorder="1"/>
    <xf numFmtId="164" fontId="18" fillId="0" borderId="7" xfId="0" applyNumberFormat="1" applyFont="1" applyBorder="1"/>
    <xf numFmtId="43" fontId="6" fillId="0" borderId="0" xfId="0" applyNumberFormat="1" applyFont="1"/>
    <xf numFmtId="164" fontId="13" fillId="8" borderId="9" xfId="0" applyNumberFormat="1" applyFont="1" applyFill="1" applyBorder="1"/>
    <xf numFmtId="164" fontId="13" fillId="8" borderId="1" xfId="0" applyNumberFormat="1" applyFont="1" applyFill="1" applyBorder="1"/>
    <xf numFmtId="0" fontId="6" fillId="3" borderId="4" xfId="0" applyFont="1" applyFill="1" applyBorder="1" applyAlignment="1">
      <alignment horizontal="left" indent="1"/>
    </xf>
    <xf numFmtId="166" fontId="22" fillId="0" borderId="4" xfId="0" applyNumberFormat="1" applyFont="1" applyBorder="1"/>
    <xf numFmtId="164" fontId="15" fillId="0" borderId="7" xfId="0" applyNumberFormat="1" applyFont="1" applyBorder="1"/>
    <xf numFmtId="164" fontId="6" fillId="0" borderId="7" xfId="0" applyNumberFormat="1" applyFont="1" applyBorder="1"/>
    <xf numFmtId="0" fontId="6" fillId="0" borderId="5" xfId="0" applyFont="1" applyBorder="1"/>
    <xf numFmtId="0" fontId="14" fillId="3" borderId="15" xfId="0" applyFont="1" applyFill="1" applyBorder="1"/>
    <xf numFmtId="0" fontId="6" fillId="0" borderId="15" xfId="0" applyFont="1" applyBorder="1"/>
    <xf numFmtId="0" fontId="18" fillId="5" borderId="1" xfId="0" applyFont="1" applyFill="1" applyBorder="1"/>
    <xf numFmtId="0" fontId="18" fillId="5" borderId="1" xfId="0" applyFont="1" applyFill="1" applyBorder="1" applyAlignment="1">
      <alignment horizontal="right"/>
    </xf>
    <xf numFmtId="9" fontId="6" fillId="0" borderId="4" xfId="2" applyFont="1" applyBorder="1" applyAlignment="1">
      <alignment horizontal="right"/>
    </xf>
    <xf numFmtId="9" fontId="17" fillId="0" borderId="4" xfId="2" applyFont="1" applyBorder="1" applyAlignment="1">
      <alignment horizontal="right"/>
    </xf>
    <xf numFmtId="9" fontId="6" fillId="0" borderId="5" xfId="2" applyFont="1" applyBorder="1" applyAlignment="1">
      <alignment horizontal="right"/>
    </xf>
    <xf numFmtId="164" fontId="17" fillId="0" borderId="4" xfId="0" applyNumberFormat="1" applyFont="1" applyBorder="1"/>
    <xf numFmtId="164" fontId="17" fillId="0" borderId="7" xfId="0" applyNumberFormat="1" applyFont="1" applyBorder="1"/>
    <xf numFmtId="166" fontId="17" fillId="0" borderId="4" xfId="0" applyNumberFormat="1" applyFont="1" applyBorder="1"/>
    <xf numFmtId="166" fontId="17" fillId="0" borderId="7" xfId="0" applyNumberFormat="1" applyFont="1" applyBorder="1"/>
    <xf numFmtId="164" fontId="19" fillId="0" borderId="4" xfId="0" applyNumberFormat="1" applyFont="1" applyBorder="1"/>
    <xf numFmtId="164" fontId="19" fillId="0" borderId="7" xfId="0" applyNumberFormat="1" applyFont="1" applyBorder="1"/>
    <xf numFmtId="0" fontId="18" fillId="2" borderId="4" xfId="0" applyFont="1" applyFill="1" applyBorder="1"/>
    <xf numFmtId="164" fontId="17" fillId="2" borderId="4" xfId="0" applyNumberFormat="1" applyFont="1" applyFill="1" applyBorder="1"/>
    <xf numFmtId="164" fontId="17" fillId="2" borderId="7" xfId="0" applyNumberFormat="1" applyFont="1" applyFill="1" applyBorder="1"/>
    <xf numFmtId="0" fontId="6" fillId="2" borderId="4" xfId="0" applyFont="1" applyFill="1" applyBorder="1" applyAlignment="1">
      <alignment horizontal="left" indent="1"/>
    </xf>
    <xf numFmtId="0" fontId="6" fillId="2" borderId="4" xfId="0" applyFont="1" applyFill="1" applyBorder="1"/>
    <xf numFmtId="0" fontId="14" fillId="3" borderId="4" xfId="0" applyFont="1" applyFill="1" applyBorder="1"/>
    <xf numFmtId="164" fontId="16" fillId="0" borderId="4" xfId="0" applyNumberFormat="1" applyFont="1" applyBorder="1"/>
    <xf numFmtId="164" fontId="16" fillId="0" borderId="7" xfId="0" applyNumberFormat="1" applyFont="1" applyBorder="1"/>
    <xf numFmtId="0" fontId="14" fillId="0" borderId="0" xfId="0" applyFont="1"/>
    <xf numFmtId="0" fontId="14" fillId="3" borderId="5" xfId="0" applyFont="1" applyFill="1" applyBorder="1"/>
    <xf numFmtId="164" fontId="16" fillId="0" borderId="5" xfId="0" applyNumberFormat="1" applyFont="1" applyBorder="1"/>
    <xf numFmtId="164" fontId="16" fillId="0" borderId="11" xfId="0" applyNumberFormat="1" applyFont="1" applyBorder="1"/>
    <xf numFmtId="0" fontId="24" fillId="7" borderId="8" xfId="0" applyFont="1" applyFill="1" applyBorder="1" applyAlignment="1">
      <alignment horizontal="center"/>
    </xf>
    <xf numFmtId="0" fontId="24" fillId="9" borderId="3" xfId="0" applyFont="1" applyFill="1" applyBorder="1" applyAlignment="1">
      <alignment horizontal="center"/>
    </xf>
    <xf numFmtId="0" fontId="24" fillId="9" borderId="1" xfId="0" applyFont="1" applyFill="1" applyBorder="1" applyAlignment="1">
      <alignment horizontal="center"/>
    </xf>
    <xf numFmtId="0" fontId="6" fillId="10" borderId="0" xfId="0" applyFont="1" applyFill="1"/>
    <xf numFmtId="0" fontId="18" fillId="0" borderId="0" xfId="0" applyFont="1"/>
    <xf numFmtId="168" fontId="19" fillId="0" borderId="0" xfId="0" applyNumberFormat="1" applyFont="1"/>
    <xf numFmtId="0" fontId="6" fillId="0" borderId="0" xfId="0" applyFont="1" applyAlignment="1">
      <alignment horizontal="left" indent="1"/>
    </xf>
    <xf numFmtId="37" fontId="13" fillId="0" borderId="0" xfId="0" applyNumberFormat="1" applyFont="1"/>
    <xf numFmtId="9" fontId="19" fillId="0" borderId="0" xfId="0" applyNumberFormat="1" applyFont="1"/>
    <xf numFmtId="168" fontId="17" fillId="0" borderId="0" xfId="0" applyNumberFormat="1" applyFont="1"/>
    <xf numFmtId="37" fontId="15" fillId="0" borderId="0" xfId="0" applyNumberFormat="1" applyFont="1"/>
    <xf numFmtId="9" fontId="6" fillId="0" borderId="0" xfId="0" applyNumberFormat="1" applyFont="1"/>
    <xf numFmtId="0" fontId="24" fillId="9" borderId="3" xfId="0" applyFont="1" applyFill="1" applyBorder="1"/>
    <xf numFmtId="0" fontId="28" fillId="9" borderId="3" xfId="0" applyFont="1" applyFill="1" applyBorder="1"/>
    <xf numFmtId="169" fontId="28" fillId="9" borderId="3" xfId="0" applyNumberFormat="1" applyFont="1" applyFill="1" applyBorder="1"/>
    <xf numFmtId="9" fontId="16" fillId="0" borderId="0" xfId="0" applyNumberFormat="1" applyFont="1" applyAlignment="1">
      <alignment horizontal="left" indent="1"/>
    </xf>
    <xf numFmtId="9" fontId="16" fillId="0" borderId="0" xfId="0" applyNumberFormat="1" applyFont="1"/>
    <xf numFmtId="5" fontId="24" fillId="13" borderId="2" xfId="0" applyNumberFormat="1" applyFont="1" applyFill="1" applyBorder="1"/>
    <xf numFmtId="0" fontId="18" fillId="4" borderId="8" xfId="0" applyFont="1" applyFill="1" applyBorder="1"/>
    <xf numFmtId="0" fontId="6" fillId="0" borderId="7" xfId="0" applyFont="1" applyBorder="1"/>
    <xf numFmtId="9" fontId="17" fillId="0" borderId="10" xfId="0" applyNumberFormat="1" applyFont="1" applyBorder="1"/>
    <xf numFmtId="0" fontId="6" fillId="0" borderId="11" xfId="0" applyFont="1" applyBorder="1"/>
    <xf numFmtId="9" fontId="17" fillId="0" borderId="12" xfId="0" applyNumberFormat="1" applyFont="1" applyBorder="1"/>
    <xf numFmtId="0" fontId="29" fillId="3" borderId="0" xfId="15" applyFont="1" applyFill="1" applyAlignment="1">
      <alignment vertical="center"/>
    </xf>
    <xf numFmtId="0" fontId="30" fillId="3" borderId="0" xfId="15" applyFont="1" applyFill="1" applyAlignment="1">
      <alignment vertical="center"/>
    </xf>
    <xf numFmtId="170" fontId="30" fillId="3" borderId="4" xfId="15" applyNumberFormat="1" applyFont="1" applyFill="1" applyBorder="1" applyAlignment="1">
      <alignment vertical="center"/>
    </xf>
    <xf numFmtId="170" fontId="30" fillId="3" borderId="10" xfId="15" applyNumberFormat="1" applyFont="1" applyFill="1" applyBorder="1" applyAlignment="1">
      <alignment vertical="center"/>
    </xf>
    <xf numFmtId="9" fontId="9" fillId="3" borderId="0" xfId="16" applyFont="1" applyFill="1" applyAlignment="1">
      <alignment vertical="center"/>
    </xf>
    <xf numFmtId="0" fontId="30" fillId="3" borderId="4" xfId="15" applyFont="1" applyFill="1" applyBorder="1" applyAlignment="1">
      <alignment vertical="center"/>
    </xf>
    <xf numFmtId="41" fontId="30" fillId="3" borderId="0" xfId="15" applyNumberFormat="1" applyFont="1" applyFill="1"/>
    <xf numFmtId="0" fontId="30" fillId="3" borderId="0" xfId="15" applyFont="1" applyFill="1"/>
    <xf numFmtId="1" fontId="30" fillId="3" borderId="0" xfId="15" applyNumberFormat="1" applyFont="1" applyFill="1"/>
    <xf numFmtId="0" fontId="6" fillId="0" borderId="10" xfId="0" applyFont="1" applyBorder="1"/>
    <xf numFmtId="37" fontId="6" fillId="0" borderId="0" xfId="0" applyNumberFormat="1" applyFont="1"/>
    <xf numFmtId="37" fontId="15" fillId="0" borderId="10" xfId="0" applyNumberFormat="1" applyFont="1" applyBorder="1"/>
    <xf numFmtId="0" fontId="18" fillId="0" borderId="13" xfId="0" applyFont="1" applyBorder="1"/>
    <xf numFmtId="0" fontId="18" fillId="0" borderId="15" xfId="0" applyFont="1" applyBorder="1"/>
    <xf numFmtId="37" fontId="13" fillId="0" borderId="15" xfId="0" applyNumberFormat="1" applyFont="1" applyBorder="1"/>
    <xf numFmtId="37" fontId="13" fillId="0" borderId="14" xfId="0" applyNumberFormat="1" applyFont="1" applyBorder="1"/>
    <xf numFmtId="0" fontId="14" fillId="0" borderId="7" xfId="0" applyFont="1" applyBorder="1"/>
    <xf numFmtId="39" fontId="20" fillId="0" borderId="0" xfId="0" applyNumberFormat="1" applyFont="1" applyAlignment="1">
      <alignment horizontal="right"/>
    </xf>
    <xf numFmtId="39" fontId="20" fillId="0" borderId="10" xfId="0" applyNumberFormat="1" applyFont="1" applyBorder="1" applyAlignment="1">
      <alignment horizontal="right"/>
    </xf>
    <xf numFmtId="0" fontId="18" fillId="0" borderId="9" xfId="0" applyFont="1" applyBorder="1"/>
    <xf numFmtId="0" fontId="18" fillId="0" borderId="3" xfId="0" applyFont="1" applyBorder="1"/>
    <xf numFmtId="37" fontId="13" fillId="0" borderId="3" xfId="0" applyNumberFormat="1" applyFont="1" applyBorder="1"/>
    <xf numFmtId="37" fontId="13" fillId="0" borderId="8" xfId="0" applyNumberFormat="1" applyFont="1" applyBorder="1"/>
    <xf numFmtId="0" fontId="6" fillId="0" borderId="13" xfId="0" applyFont="1" applyBorder="1"/>
    <xf numFmtId="171" fontId="6" fillId="0" borderId="14" xfId="0" applyNumberFormat="1" applyFont="1" applyBorder="1"/>
    <xf numFmtId="171" fontId="6" fillId="0" borderId="10" xfId="0" applyNumberFormat="1" applyFont="1" applyBorder="1"/>
    <xf numFmtId="0" fontId="18" fillId="14" borderId="9" xfId="0" applyFont="1" applyFill="1" applyBorder="1"/>
    <xf numFmtId="0" fontId="18" fillId="14" borderId="3" xfId="0" applyFont="1" applyFill="1" applyBorder="1"/>
    <xf numFmtId="171" fontId="18" fillId="14" borderId="8" xfId="0" applyNumberFormat="1" applyFont="1" applyFill="1" applyBorder="1"/>
    <xf numFmtId="0" fontId="18" fillId="12" borderId="9" xfId="0" applyFont="1" applyFill="1" applyBorder="1"/>
    <xf numFmtId="0" fontId="18" fillId="12" borderId="3" xfId="0" applyFont="1" applyFill="1" applyBorder="1"/>
    <xf numFmtId="5" fontId="18" fillId="12" borderId="8" xfId="0" applyNumberFormat="1" applyFont="1" applyFill="1" applyBorder="1"/>
    <xf numFmtId="168" fontId="17" fillId="0" borderId="14" xfId="0" applyNumberFormat="1" applyFont="1" applyBorder="1"/>
    <xf numFmtId="0" fontId="18" fillId="0" borderId="11" xfId="0" applyFont="1" applyBorder="1"/>
    <xf numFmtId="0" fontId="6" fillId="0" borderId="2" xfId="0" applyFont="1" applyBorder="1"/>
    <xf numFmtId="168" fontId="17" fillId="0" borderId="12" xfId="0" applyNumberFormat="1" applyFont="1" applyBorder="1"/>
    <xf numFmtId="0" fontId="31" fillId="0" borderId="0" xfId="0" applyFont="1" applyAlignment="1">
      <alignment vertical="top"/>
    </xf>
    <xf numFmtId="172" fontId="6" fillId="0" borderId="0" xfId="0" applyNumberFormat="1" applyFont="1"/>
    <xf numFmtId="4" fontId="6" fillId="0" borderId="0" xfId="0" applyNumberFormat="1" applyFont="1"/>
    <xf numFmtId="172" fontId="18" fillId="0" borderId="0" xfId="0" applyNumberFormat="1" applyFont="1"/>
    <xf numFmtId="0" fontId="30" fillId="3" borderId="4" xfId="15" applyFont="1" applyFill="1" applyBorder="1" applyAlignment="1">
      <alignment horizontal="center" vertical="center"/>
    </xf>
    <xf numFmtId="0" fontId="15" fillId="0" borderId="7" xfId="0" applyFont="1" applyBorder="1"/>
    <xf numFmtId="164" fontId="15" fillId="3" borderId="10" xfId="0" applyNumberFormat="1" applyFont="1" applyFill="1" applyBorder="1"/>
    <xf numFmtId="164" fontId="13" fillId="3" borderId="14" xfId="0" applyNumberFormat="1" applyFont="1" applyFill="1" applyBorder="1"/>
    <xf numFmtId="0" fontId="15" fillId="0" borderId="10" xfId="0" applyFont="1" applyBorder="1"/>
    <xf numFmtId="0" fontId="26" fillId="0" borderId="10" xfId="0" applyFont="1" applyBorder="1"/>
    <xf numFmtId="164" fontId="13" fillId="3" borderId="10" xfId="0" applyNumberFormat="1" applyFont="1" applyFill="1" applyBorder="1"/>
    <xf numFmtId="164" fontId="6" fillId="0" borderId="10" xfId="0" applyNumberFormat="1" applyFont="1" applyBorder="1"/>
    <xf numFmtId="164" fontId="6" fillId="3" borderId="10" xfId="0" applyNumberFormat="1" applyFont="1" applyFill="1" applyBorder="1"/>
    <xf numFmtId="164" fontId="15" fillId="0" borderId="10" xfId="0" applyNumberFormat="1" applyFont="1" applyBorder="1"/>
    <xf numFmtId="164" fontId="15" fillId="0" borderId="12" xfId="0" applyNumberFormat="1" applyFont="1" applyBorder="1"/>
    <xf numFmtId="164" fontId="15" fillId="0" borderId="11" xfId="0" applyNumberFormat="1" applyFont="1" applyBorder="1"/>
    <xf numFmtId="0" fontId="15" fillId="0" borderId="11" xfId="0" applyFont="1" applyBorder="1"/>
    <xf numFmtId="44" fontId="13" fillId="2" borderId="8" xfId="0" applyNumberFormat="1" applyFont="1" applyFill="1" applyBorder="1" applyAlignment="1">
      <alignment horizontal="right"/>
    </xf>
    <xf numFmtId="44" fontId="13" fillId="2" borderId="9" xfId="0" applyNumberFormat="1" applyFont="1" applyFill="1" applyBorder="1" applyAlignment="1">
      <alignment horizontal="right"/>
    </xf>
    <xf numFmtId="44" fontId="13" fillId="0" borderId="10" xfId="0" applyNumberFormat="1" applyFont="1" applyBorder="1" applyAlignment="1">
      <alignment horizontal="right"/>
    </xf>
    <xf numFmtId="0" fontId="15" fillId="0" borderId="12" xfId="0" applyFont="1" applyBorder="1"/>
    <xf numFmtId="164" fontId="22" fillId="0" borderId="0" xfId="0" applyNumberFormat="1" applyFont="1"/>
    <xf numFmtId="0" fontId="18" fillId="5" borderId="8" xfId="0" applyFont="1" applyFill="1" applyBorder="1" applyAlignment="1">
      <alignment horizontal="right"/>
    </xf>
    <xf numFmtId="0" fontId="18" fillId="5" borderId="3" xfId="0" applyFont="1" applyFill="1" applyBorder="1" applyAlignment="1">
      <alignment horizontal="right"/>
    </xf>
    <xf numFmtId="9" fontId="6" fillId="0" borderId="10" xfId="2" applyFont="1" applyBorder="1" applyAlignment="1">
      <alignment horizontal="right"/>
    </xf>
    <xf numFmtId="9" fontId="6" fillId="0" borderId="0" xfId="2" applyFont="1" applyBorder="1" applyAlignment="1">
      <alignment horizontal="right"/>
    </xf>
    <xf numFmtId="9" fontId="17" fillId="0" borderId="10" xfId="2" applyFont="1" applyBorder="1" applyAlignment="1">
      <alignment horizontal="right"/>
    </xf>
    <xf numFmtId="9" fontId="17" fillId="0" borderId="0" xfId="2" applyFont="1" applyBorder="1" applyAlignment="1">
      <alignment horizontal="right"/>
    </xf>
    <xf numFmtId="9" fontId="6" fillId="0" borderId="12" xfId="2" applyFont="1" applyBorder="1" applyAlignment="1">
      <alignment horizontal="right"/>
    </xf>
    <xf numFmtId="9" fontId="6" fillId="0" borderId="2" xfId="2" applyFont="1" applyBorder="1" applyAlignment="1">
      <alignment horizontal="right"/>
    </xf>
    <xf numFmtId="0" fontId="21" fillId="7" borderId="6" xfId="0" applyFont="1" applyFill="1" applyBorder="1" applyAlignment="1">
      <alignment horizontal="left" wrapText="1"/>
    </xf>
    <xf numFmtId="0" fontId="13" fillId="0" borderId="1" xfId="0" applyFont="1" applyBorder="1"/>
    <xf numFmtId="164" fontId="13" fillId="0" borderId="1" xfId="0" applyNumberFormat="1" applyFont="1" applyBorder="1"/>
    <xf numFmtId="164" fontId="13" fillId="0" borderId="9" xfId="0" applyNumberFormat="1" applyFont="1" applyBorder="1"/>
    <xf numFmtId="164" fontId="13" fillId="0" borderId="8" xfId="0" applyNumberFormat="1" applyFont="1" applyBorder="1"/>
    <xf numFmtId="11" fontId="21" fillId="7" borderId="16" xfId="15" applyNumberFormat="1" applyFont="1" applyFill="1" applyBorder="1" applyAlignment="1">
      <alignment horizontal="center" vertical="center"/>
    </xf>
    <xf numFmtId="0" fontId="21" fillId="7" borderId="16" xfId="15" applyFont="1" applyFill="1" applyBorder="1" applyAlignment="1">
      <alignment horizontal="center" vertical="center"/>
    </xf>
    <xf numFmtId="0" fontId="22" fillId="3" borderId="0" xfId="15" applyFont="1" applyFill="1" applyAlignment="1">
      <alignment vertical="center"/>
    </xf>
    <xf numFmtId="9" fontId="22" fillId="3" borderId="15" xfId="15" applyNumberFormat="1" applyFont="1" applyFill="1" applyBorder="1" applyAlignment="1">
      <alignment horizontal="center" vertical="center"/>
    </xf>
    <xf numFmtId="170" fontId="22" fillId="3" borderId="10" xfId="15" applyNumberFormat="1" applyFont="1" applyFill="1" applyBorder="1"/>
    <xf numFmtId="170" fontId="22" fillId="3" borderId="4" xfId="15" applyNumberFormat="1" applyFont="1" applyFill="1" applyBorder="1"/>
    <xf numFmtId="170" fontId="22" fillId="3" borderId="7" xfId="15" applyNumberFormat="1" applyFont="1" applyFill="1" applyBorder="1"/>
    <xf numFmtId="170" fontId="22" fillId="3" borderId="0" xfId="15" applyNumberFormat="1" applyFont="1" applyFill="1"/>
    <xf numFmtId="9" fontId="22" fillId="3" borderId="0" xfId="15" applyNumberFormat="1" applyFont="1" applyFill="1" applyAlignment="1">
      <alignment horizontal="center" vertical="center"/>
    </xf>
    <xf numFmtId="0" fontId="22" fillId="3" borderId="0" xfId="15" applyFont="1" applyFill="1" applyAlignment="1">
      <alignment horizontal="left" vertical="center" indent="1"/>
    </xf>
    <xf numFmtId="9" fontId="17" fillId="3" borderId="0" xfId="15" applyNumberFormat="1" applyFont="1" applyFill="1" applyAlignment="1">
      <alignment horizontal="center" vertical="center"/>
    </xf>
    <xf numFmtId="42" fontId="22" fillId="3" borderId="0" xfId="15" applyNumberFormat="1" applyFont="1" applyFill="1" applyAlignment="1">
      <alignment vertical="center"/>
    </xf>
    <xf numFmtId="0" fontId="25" fillId="3" borderId="0" xfId="15" applyFont="1" applyFill="1" applyAlignment="1">
      <alignment vertical="center"/>
    </xf>
    <xf numFmtId="42" fontId="25" fillId="3" borderId="0" xfId="15" applyNumberFormat="1" applyFont="1" applyFill="1" applyAlignment="1">
      <alignment vertical="center"/>
    </xf>
    <xf numFmtId="42" fontId="25" fillId="3" borderId="0" xfId="16" applyNumberFormat="1" applyFont="1" applyFill="1" applyBorder="1" applyAlignment="1">
      <alignment vertical="center"/>
    </xf>
    <xf numFmtId="42" fontId="25" fillId="3" borderId="0" xfId="16" applyNumberFormat="1" applyFont="1" applyFill="1" applyAlignment="1">
      <alignment vertical="center"/>
    </xf>
    <xf numFmtId="0" fontId="32" fillId="3" borderId="7" xfId="15" applyFont="1" applyFill="1" applyBorder="1" applyAlignment="1">
      <alignment horizontal="left"/>
    </xf>
    <xf numFmtId="0" fontId="32" fillId="3" borderId="0" xfId="15" applyFont="1" applyFill="1" applyAlignment="1">
      <alignment horizontal="center"/>
    </xf>
    <xf numFmtId="41" fontId="22" fillId="3" borderId="0" xfId="15" applyNumberFormat="1" applyFont="1" applyFill="1"/>
    <xf numFmtId="0" fontId="30" fillId="3" borderId="0" xfId="15" applyFont="1" applyFill="1" applyAlignment="1">
      <alignment horizontal="center"/>
    </xf>
    <xf numFmtId="0" fontId="21" fillId="7" borderId="9" xfId="15" applyFont="1" applyFill="1" applyBorder="1" applyAlignment="1">
      <alignment vertical="center"/>
    </xf>
    <xf numFmtId="0" fontId="21" fillId="7" borderId="15" xfId="15" applyFont="1" applyFill="1" applyBorder="1" applyAlignment="1">
      <alignment horizontal="center" vertical="center"/>
    </xf>
    <xf numFmtId="0" fontId="21" fillId="7" borderId="3" xfId="15" applyFont="1" applyFill="1" applyBorder="1" applyAlignment="1">
      <alignment horizontal="center" vertical="center"/>
    </xf>
    <xf numFmtId="0" fontId="25" fillId="6" borderId="3" xfId="15" applyFont="1" applyFill="1" applyBorder="1" applyAlignment="1">
      <alignment horizontal="center" vertical="center"/>
    </xf>
    <xf numFmtId="0" fontId="13" fillId="15" borderId="3" xfId="0" applyFont="1" applyFill="1" applyBorder="1"/>
    <xf numFmtId="0" fontId="6" fillId="15" borderId="3" xfId="0" applyFont="1" applyFill="1" applyBorder="1"/>
    <xf numFmtId="5" fontId="18" fillId="15" borderId="3" xfId="0" applyNumberFormat="1" applyFont="1" applyFill="1" applyBorder="1"/>
    <xf numFmtId="0" fontId="21" fillId="16" borderId="2" xfId="15" applyFont="1" applyFill="1" applyBorder="1" applyAlignment="1">
      <alignment vertical="center"/>
    </xf>
    <xf numFmtId="9" fontId="21" fillId="16" borderId="2" xfId="15" applyNumberFormat="1" applyFont="1" applyFill="1" applyBorder="1" applyAlignment="1">
      <alignment horizontal="center" vertical="center"/>
    </xf>
    <xf numFmtId="42" fontId="21" fillId="16" borderId="5" xfId="15" applyNumberFormat="1" applyFont="1" applyFill="1" applyBorder="1" applyAlignment="1">
      <alignment vertical="center"/>
    </xf>
    <xf numFmtId="0" fontId="22" fillId="5" borderId="15" xfId="15" applyFont="1" applyFill="1" applyBorder="1" applyAlignment="1">
      <alignment vertical="center"/>
    </xf>
    <xf numFmtId="9" fontId="22" fillId="5" borderId="15" xfId="15" applyNumberFormat="1" applyFont="1" applyFill="1" applyBorder="1" applyAlignment="1">
      <alignment horizontal="center" vertical="center"/>
    </xf>
    <xf numFmtId="42" fontId="22" fillId="5" borderId="6" xfId="15" applyNumberFormat="1" applyFont="1" applyFill="1" applyBorder="1" applyAlignment="1">
      <alignment vertical="center"/>
    </xf>
    <xf numFmtId="173" fontId="22" fillId="3" borderId="4" xfId="15" applyNumberFormat="1" applyFont="1" applyFill="1" applyBorder="1" applyAlignment="1">
      <alignment vertical="center"/>
    </xf>
    <xf numFmtId="173" fontId="22" fillId="3" borderId="7" xfId="15" applyNumberFormat="1" applyFont="1" applyFill="1" applyBorder="1" applyAlignment="1">
      <alignment vertical="center"/>
    </xf>
    <xf numFmtId="173" fontId="22" fillId="3" borderId="0" xfId="15" applyNumberFormat="1" applyFont="1" applyFill="1" applyAlignment="1">
      <alignment vertical="center"/>
    </xf>
    <xf numFmtId="173" fontId="22" fillId="3" borderId="10" xfId="15" applyNumberFormat="1" applyFont="1" applyFill="1" applyBorder="1" applyAlignment="1">
      <alignment vertical="center"/>
    </xf>
    <xf numFmtId="173" fontId="9" fillId="3" borderId="4" xfId="16" applyNumberFormat="1" applyFont="1" applyFill="1" applyBorder="1" applyAlignment="1">
      <alignment vertical="center"/>
    </xf>
    <xf numFmtId="173" fontId="9" fillId="3" borderId="10" xfId="16" applyNumberFormat="1" applyFont="1" applyFill="1" applyBorder="1" applyAlignment="1">
      <alignment vertical="center"/>
    </xf>
    <xf numFmtId="173" fontId="17" fillId="3" borderId="7" xfId="15" applyNumberFormat="1" applyFont="1" applyFill="1" applyBorder="1" applyAlignment="1">
      <alignment vertical="center"/>
    </xf>
    <xf numFmtId="173" fontId="17" fillId="3" borderId="0" xfId="15" applyNumberFormat="1" applyFont="1" applyFill="1" applyAlignment="1">
      <alignment vertical="center"/>
    </xf>
    <xf numFmtId="173" fontId="17" fillId="3" borderId="10" xfId="15" applyNumberFormat="1" applyFont="1" applyFill="1" applyBorder="1" applyAlignment="1">
      <alignment vertical="center"/>
    </xf>
    <xf numFmtId="173" fontId="17" fillId="3" borderId="4" xfId="15" applyNumberFormat="1" applyFont="1" applyFill="1" applyBorder="1" applyAlignment="1">
      <alignment vertical="center"/>
    </xf>
    <xf numFmtId="173" fontId="22" fillId="3" borderId="4" xfId="16" applyNumberFormat="1" applyFont="1" applyFill="1" applyBorder="1" applyAlignment="1">
      <alignment vertical="center"/>
    </xf>
    <xf numFmtId="0" fontId="15" fillId="0" borderId="15" xfId="0" applyFont="1" applyBorder="1" applyAlignment="1">
      <alignment horizontal="left" indent="1"/>
    </xf>
    <xf numFmtId="164" fontId="15" fillId="0" borderId="6" xfId="0" applyNumberFormat="1" applyFont="1" applyBorder="1"/>
    <xf numFmtId="175" fontId="6" fillId="0" borderId="0" xfId="0" applyNumberFormat="1" applyFont="1" applyAlignment="1">
      <alignment horizontal="center"/>
    </xf>
    <xf numFmtId="176" fontId="6" fillId="0" borderId="0" xfId="0" applyNumberFormat="1" applyFont="1"/>
    <xf numFmtId="0" fontId="27" fillId="6" borderId="9" xfId="0" applyFont="1" applyFill="1" applyBorder="1" applyAlignment="1">
      <alignment horizontal="centerContinuous"/>
    </xf>
    <xf numFmtId="0" fontId="27" fillId="6" borderId="8" xfId="0" applyFont="1" applyFill="1" applyBorder="1" applyAlignment="1">
      <alignment horizontal="centerContinuous"/>
    </xf>
    <xf numFmtId="164" fontId="18" fillId="0" borderId="0" xfId="0" applyNumberFormat="1" applyFont="1"/>
    <xf numFmtId="164" fontId="13" fillId="8" borderId="3" xfId="0" applyNumberFormat="1" applyFont="1" applyFill="1" applyBorder="1"/>
    <xf numFmtId="164" fontId="15" fillId="0" borderId="0" xfId="0" applyNumberFormat="1" applyFont="1"/>
    <xf numFmtId="0" fontId="6" fillId="0" borderId="12" xfId="0" applyFont="1" applyBorder="1"/>
    <xf numFmtId="0" fontId="27" fillId="6" borderId="15" xfId="0" applyFont="1" applyFill="1" applyBorder="1" applyAlignment="1">
      <alignment horizontal="centerContinuous"/>
    </xf>
    <xf numFmtId="0" fontId="27" fillId="6" borderId="13" xfId="0" applyFont="1" applyFill="1" applyBorder="1" applyAlignment="1">
      <alignment horizontal="centerContinuous"/>
    </xf>
    <xf numFmtId="0" fontId="27" fillId="6" borderId="14" xfId="0" applyFont="1" applyFill="1" applyBorder="1" applyAlignment="1">
      <alignment horizontal="centerContinuous"/>
    </xf>
    <xf numFmtId="0" fontId="6" fillId="0" borderId="14" xfId="0" applyFont="1" applyBorder="1"/>
    <xf numFmtId="164" fontId="15" fillId="3" borderId="0" xfId="0" applyNumberFormat="1" applyFont="1" applyFill="1"/>
    <xf numFmtId="164" fontId="13" fillId="3" borderId="15" xfId="0" applyNumberFormat="1" applyFont="1" applyFill="1" applyBorder="1"/>
    <xf numFmtId="0" fontId="26" fillId="0" borderId="0" xfId="0" applyFont="1"/>
    <xf numFmtId="164" fontId="13" fillId="3" borderId="0" xfId="0" applyNumberFormat="1" applyFont="1" applyFill="1"/>
    <xf numFmtId="164" fontId="6" fillId="3" borderId="0" xfId="0" applyNumberFormat="1" applyFont="1" applyFill="1"/>
    <xf numFmtId="44" fontId="13" fillId="0" borderId="0" xfId="0" applyNumberFormat="1" applyFont="1" applyAlignment="1">
      <alignment horizontal="right"/>
    </xf>
    <xf numFmtId="164" fontId="13" fillId="0" borderId="3" xfId="0" applyNumberFormat="1" applyFont="1" applyBorder="1"/>
    <xf numFmtId="164" fontId="15" fillId="3" borderId="2" xfId="0" applyNumberFormat="1" applyFont="1" applyFill="1" applyBorder="1"/>
    <xf numFmtId="164" fontId="15" fillId="0" borderId="15" xfId="0" applyNumberFormat="1" applyFont="1" applyBorder="1"/>
    <xf numFmtId="0" fontId="15" fillId="0" borderId="2" xfId="0" applyFont="1" applyBorder="1"/>
    <xf numFmtId="44" fontId="13" fillId="2" borderId="3" xfId="0" applyNumberFormat="1" applyFont="1" applyFill="1" applyBorder="1" applyAlignment="1">
      <alignment horizontal="right"/>
    </xf>
    <xf numFmtId="9" fontId="6" fillId="0" borderId="7" xfId="2" applyFont="1" applyBorder="1" applyAlignment="1">
      <alignment horizontal="right"/>
    </xf>
    <xf numFmtId="9" fontId="17" fillId="0" borderId="7" xfId="2" applyFont="1" applyBorder="1" applyAlignment="1">
      <alignment horizontal="right"/>
    </xf>
    <xf numFmtId="9" fontId="6" fillId="0" borderId="11" xfId="2" applyFont="1" applyBorder="1" applyAlignment="1">
      <alignment horizontal="right"/>
    </xf>
    <xf numFmtId="0" fontId="18" fillId="5" borderId="9" xfId="0" applyFont="1" applyFill="1" applyBorder="1" applyAlignment="1">
      <alignment horizontal="right"/>
    </xf>
    <xf numFmtId="9" fontId="22" fillId="0" borderId="4" xfId="2" applyFont="1" applyBorder="1" applyAlignment="1">
      <alignment horizontal="right"/>
    </xf>
    <xf numFmtId="0" fontId="33" fillId="0" borderId="0" xfId="0" applyFont="1" applyAlignment="1">
      <alignment vertical="center" wrapText="1"/>
    </xf>
    <xf numFmtId="166" fontId="22" fillId="0" borderId="7" xfId="0" applyNumberFormat="1" applyFont="1" applyBorder="1"/>
    <xf numFmtId="166" fontId="22" fillId="0" borderId="10" xfId="0" applyNumberFormat="1" applyFont="1" applyBorder="1"/>
    <xf numFmtId="37" fontId="6" fillId="0" borderId="0" xfId="1" applyNumberFormat="1" applyFont="1"/>
    <xf numFmtId="177" fontId="19" fillId="0" borderId="0" xfId="0" applyNumberFormat="1" applyFont="1"/>
    <xf numFmtId="0" fontId="0" fillId="0" borderId="15" xfId="0" applyBorder="1"/>
    <xf numFmtId="0" fontId="28" fillId="9" borderId="9" xfId="0" applyFont="1" applyFill="1" applyBorder="1" applyAlignment="1">
      <alignment horizontal="center"/>
    </xf>
    <xf numFmtId="0" fontId="28" fillId="10" borderId="0" xfId="0" applyFont="1" applyFill="1"/>
    <xf numFmtId="168" fontId="22" fillId="3" borderId="0" xfId="2" applyNumberFormat="1" applyFont="1" applyFill="1" applyBorder="1"/>
    <xf numFmtId="1" fontId="22" fillId="3" borderId="0" xfId="2" applyNumberFormat="1" applyFont="1" applyFill="1" applyBorder="1"/>
    <xf numFmtId="9" fontId="22" fillId="3" borderId="0" xfId="2" applyFont="1" applyFill="1" applyBorder="1"/>
    <xf numFmtId="167" fontId="17" fillId="0" borderId="10" xfId="0" applyNumberFormat="1" applyFont="1" applyBorder="1"/>
    <xf numFmtId="0" fontId="30" fillId="3" borderId="17" xfId="15" applyFont="1" applyFill="1" applyBorder="1" applyAlignment="1">
      <alignment horizontal="center" vertical="center"/>
    </xf>
    <xf numFmtId="173" fontId="22" fillId="3" borderId="5" xfId="16" applyNumberFormat="1" applyFont="1" applyFill="1" applyBorder="1" applyAlignment="1">
      <alignment vertical="center"/>
    </xf>
    <xf numFmtId="0" fontId="15" fillId="0" borderId="0" xfId="0" applyFont="1" applyAlignment="1">
      <alignment horizontal="left" indent="1"/>
    </xf>
    <xf numFmtId="164" fontId="17" fillId="3" borderId="4" xfId="0" applyNumberFormat="1" applyFont="1" applyFill="1" applyBorder="1"/>
    <xf numFmtId="42" fontId="22" fillId="5" borderId="13" xfId="15" applyNumberFormat="1" applyFont="1" applyFill="1" applyBorder="1" applyAlignment="1">
      <alignment vertical="center"/>
    </xf>
    <xf numFmtId="42" fontId="21" fillId="16" borderId="11" xfId="15" applyNumberFormat="1" applyFont="1" applyFill="1" applyBorder="1" applyAlignment="1">
      <alignment vertical="center"/>
    </xf>
    <xf numFmtId="42" fontId="22" fillId="5" borderId="14" xfId="15" applyNumberFormat="1" applyFont="1" applyFill="1" applyBorder="1" applyAlignment="1">
      <alignment vertical="center"/>
    </xf>
    <xf numFmtId="42" fontId="21" fillId="16" borderId="12" xfId="15" applyNumberFormat="1" applyFont="1" applyFill="1" applyBorder="1" applyAlignment="1">
      <alignment vertical="center"/>
    </xf>
    <xf numFmtId="42" fontId="21" fillId="16" borderId="2" xfId="15" applyNumberFormat="1" applyFont="1" applyFill="1" applyBorder="1" applyAlignment="1">
      <alignment vertical="center"/>
    </xf>
    <xf numFmtId="42" fontId="22" fillId="5" borderId="15" xfId="15" applyNumberFormat="1" applyFont="1" applyFill="1" applyBorder="1" applyAlignment="1">
      <alignment vertical="center"/>
    </xf>
    <xf numFmtId="3" fontId="22" fillId="3" borderId="0" xfId="2" applyNumberFormat="1" applyFont="1" applyFill="1" applyBorder="1"/>
    <xf numFmtId="0" fontId="18" fillId="11" borderId="3" xfId="0" applyFont="1" applyFill="1" applyBorder="1"/>
    <xf numFmtId="0" fontId="6" fillId="11" borderId="3" xfId="0" applyFont="1" applyFill="1" applyBorder="1"/>
    <xf numFmtId="169" fontId="18" fillId="11" borderId="3" xfId="1" applyNumberFormat="1" applyFont="1" applyFill="1" applyBorder="1"/>
    <xf numFmtId="164" fontId="18" fillId="0" borderId="10" xfId="0" applyNumberFormat="1" applyFont="1" applyBorder="1"/>
    <xf numFmtId="168" fontId="18" fillId="0" borderId="0" xfId="0" applyNumberFormat="1" applyFont="1"/>
    <xf numFmtId="0" fontId="13" fillId="0" borderId="0" xfId="0" applyFont="1"/>
    <xf numFmtId="37" fontId="17" fillId="0" borderId="0" xfId="0" applyNumberFormat="1" applyFont="1"/>
    <xf numFmtId="0" fontId="20" fillId="0" borderId="0" xfId="0" applyFont="1" applyAlignment="1">
      <alignment horizontal="left" indent="2"/>
    </xf>
    <xf numFmtId="168" fontId="15" fillId="0" borderId="0" xfId="0" applyNumberFormat="1" applyFont="1"/>
    <xf numFmtId="9" fontId="15" fillId="0" borderId="0" xfId="0" applyNumberFormat="1" applyFont="1"/>
    <xf numFmtId="9" fontId="17" fillId="0" borderId="0" xfId="0" applyNumberFormat="1" applyFont="1"/>
    <xf numFmtId="9" fontId="17" fillId="0" borderId="0" xfId="2" applyFont="1"/>
    <xf numFmtId="168" fontId="17" fillId="0" borderId="0" xfId="2" applyNumberFormat="1" applyFont="1"/>
    <xf numFmtId="0" fontId="13" fillId="0" borderId="0" xfId="0" applyFont="1" applyAlignment="1">
      <alignment horizontal="left" indent="1"/>
    </xf>
    <xf numFmtId="0" fontId="17" fillId="0" borderId="0" xfId="0" applyFont="1"/>
    <xf numFmtId="168" fontId="17" fillId="0" borderId="0" xfId="2" applyNumberFormat="1" applyFont="1" applyFill="1" applyBorder="1"/>
    <xf numFmtId="0" fontId="34" fillId="0" borderId="0" xfId="0" applyFont="1" applyAlignment="1">
      <alignment horizontal="left" indent="2"/>
    </xf>
    <xf numFmtId="174" fontId="34" fillId="0" borderId="0" xfId="0" applyNumberFormat="1" applyFont="1"/>
    <xf numFmtId="5" fontId="17" fillId="0" borderId="0" xfId="0" applyNumberFormat="1" applyFont="1"/>
    <xf numFmtId="5" fontId="13" fillId="0" borderId="0" xfId="0" applyNumberFormat="1" applyFont="1"/>
    <xf numFmtId="5" fontId="15" fillId="0" borderId="0" xfId="0" applyNumberFormat="1" applyFont="1"/>
    <xf numFmtId="168" fontId="15" fillId="0" borderId="0" xfId="2" applyNumberFormat="1" applyFont="1"/>
    <xf numFmtId="165" fontId="34" fillId="0" borderId="0" xfId="1" applyNumberFormat="1" applyFont="1"/>
    <xf numFmtId="167" fontId="17" fillId="0" borderId="0" xfId="0" applyNumberFormat="1" applyFont="1"/>
    <xf numFmtId="9" fontId="22" fillId="0" borderId="7" xfId="2" applyFont="1" applyBorder="1" applyAlignment="1">
      <alignment horizontal="right"/>
    </xf>
    <xf numFmtId="166" fontId="22" fillId="0" borderId="0" xfId="0" applyNumberFormat="1" applyFont="1"/>
    <xf numFmtId="174" fontId="15" fillId="0" borderId="0" xfId="0" applyNumberFormat="1" applyFont="1"/>
    <xf numFmtId="171" fontId="6" fillId="0" borderId="0" xfId="0" applyNumberFormat="1" applyFont="1"/>
  </cellXfs>
  <cellStyles count="18">
    <cellStyle name="******************************************" xfId="3" xr:uid="{00000000-0005-0000-0000-000000000000}"/>
    <cellStyle name="****************************************** 2" xfId="4" xr:uid="{00000000-0005-0000-0000-000001000000}"/>
    <cellStyle name="****************************************** 2 2" xfId="9" xr:uid="{00000000-0005-0000-0000-000002000000}"/>
    <cellStyle name="****************************************** 3" xfId="6" xr:uid="{00000000-0005-0000-0000-000003000000}"/>
    <cellStyle name="****************************************** 4" xfId="10" xr:uid="{00000000-0005-0000-0000-000004000000}"/>
    <cellStyle name="Comma" xfId="1" builtinId="3"/>
    <cellStyle name="Normal" xfId="0" builtinId="0"/>
    <cellStyle name="Normal 12" xfId="5" xr:uid="{00000000-0005-0000-0000-000007000000}"/>
    <cellStyle name="Normal 12 2" xfId="8" xr:uid="{00000000-0005-0000-0000-000008000000}"/>
    <cellStyle name="Normal 2" xfId="7" xr:uid="{00000000-0005-0000-0000-000009000000}"/>
    <cellStyle name="Normal 2 2" xfId="14" xr:uid="{00000000-0005-0000-0000-00000A000000}"/>
    <cellStyle name="Normal 23" xfId="17" xr:uid="{00000000-0005-0000-0000-00000B000000}"/>
    <cellStyle name="Normal 3" xfId="11" xr:uid="{00000000-0005-0000-0000-00000C000000}"/>
    <cellStyle name="Normal 4" xfId="12" xr:uid="{00000000-0005-0000-0000-00000D000000}"/>
    <cellStyle name="Normal 5" xfId="13" xr:uid="{00000000-0005-0000-0000-00000E000000}"/>
    <cellStyle name="Normal 6" xfId="15" xr:uid="{00000000-0005-0000-0000-00000F000000}"/>
    <cellStyle name="Percent" xfId="2" builtinId="5"/>
    <cellStyle name="Percent 2" xfId="16" xr:uid="{00000000-0005-0000-0000-00001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FALCR01\HOSP%20Models\TR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ternal.leerink.com\nyc\Users\joshua\Downloads\AUX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FALCR01\Nursing%20Homes\Nursing%20Home%20Models\HC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FALCR01\HOSP%20Models\OC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FALCR01\HOSP%20Models\HC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michaels\Desktop\OC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ternal.leerink.com\Documents%20and%20Settings\seamusf\Desktop\Models\bmyQ2-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michaels\Desktop\UH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FALCR01\HOSP%20Models\HM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ternal.leerink.com\Documents%20and%20Settings\susannam\Local%20Settings\Temp\apo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ternal.leerink.com\Phamra%20Share\Models\LLY\LLY-post1Q07worki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ROIC%2010-K's\llyQ1-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mrk1-05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ternal.leerink.com\Research\Research%20Reports\Research%20Notes%20For%20Editor\Models\M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michaels\Desktop\LPN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nternal.leerink.com\Documents%20and%20Settings\FernandS\Desktop\ROIC%2010-K's\TA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ternal.leerink.com\Phamra%20Share\Seamus'%20Stuff\USB%20Disk%201\ROIC%2010-K's\WYEQ2-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FALCR01\HOSP%20Models\CY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Rev. Model"/>
      <sheetName val="Sheet2"/>
      <sheetName val="Receivables"/>
      <sheetName val="UCA"/>
      <sheetName val="Trends"/>
      <sheetName val="Q pre"/>
      <sheetName val="Exhibits"/>
      <sheetName val="EX2"/>
      <sheetName val="EX3"/>
      <sheetName val="stats"/>
      <sheetName val="Sheet1"/>
      <sheetName val="Q Anal"/>
      <sheetName val="Guidance"/>
      <sheetName val="Same"/>
      <sheetName val="Portfolio"/>
      <sheetName val="Acq,"/>
      <sheetName val="4Q06"/>
      <sheetName val="3Q06"/>
      <sheetName val="2Q06"/>
      <sheetName val="1Q06"/>
      <sheetName val="4Q05"/>
      <sheetName val="3Q05"/>
      <sheetName val="2Q05"/>
      <sheetName val="Qpreview"/>
      <sheetName val="Qreview"/>
      <sheetName val="preview format"/>
      <sheetName val="TRI"/>
      <sheetName val="new 2Q05"/>
      <sheetName val="2Q05 - old format"/>
      <sheetName val="Cover Page"/>
      <sheetName val="4Q04"/>
      <sheetName val="Sheet3"/>
      <sheetName val="var"/>
      <sheetName val="Scenario"/>
      <sheetName val="Variance"/>
      <sheetName val="sensitivity"/>
      <sheetName val="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L"/>
      <sheetName val="Sheet1"/>
      <sheetName val="Sheet2"/>
      <sheetName val="Sheet3"/>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REV"/>
      <sheetName val="__FDSCACHE__"/>
      <sheetName val="BS"/>
      <sheetName val="CF"/>
      <sheetName val="Segment"/>
      <sheetName val="Sheet1"/>
      <sheetName val="Q pre"/>
      <sheetName val="stats"/>
      <sheetName val="guidance"/>
      <sheetName val="Exhibits"/>
      <sheetName val="Ex GRO"/>
      <sheetName val="Per Diems"/>
      <sheetName val="EX3"/>
      <sheetName val="Sum Parts"/>
      <sheetName val="4Q06"/>
      <sheetName val="3Q06"/>
      <sheetName val="H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CR"/>
      <sheetName val="BS"/>
      <sheetName val="CF"/>
      <sheetName val="Revenue"/>
      <sheetName val="Long-term"/>
      <sheetName val="stats"/>
      <sheetName val="Q pre"/>
      <sheetName val="EX"/>
      <sheetName val="EX2"/>
      <sheetName val="EX3"/>
      <sheetName val="CF-NI"/>
      <sheetName val="NCRX"/>
      <sheetName val="Historical"/>
      <sheetName val="Pharma"/>
      <sheetName val="CRO"/>
      <sheetName val="historical guidance"/>
      <sheetName val="Pro forma"/>
      <sheetName val="Val"/>
      <sheetName val="NCSacquisition"/>
      <sheetName val="New CF"/>
      <sheetName val="4Q06"/>
      <sheetName val="Exhibits"/>
      <sheetName val="3Q06"/>
      <sheetName val="test"/>
      <sheetName val="Trends"/>
      <sheetName val="Guidance"/>
      <sheetName val="Sheet3"/>
      <sheetName val="2Q06"/>
      <sheetName val="Sheet1"/>
      <sheetName val="AR"/>
      <sheetName val="2Q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A"/>
      <sheetName val="BS"/>
      <sheetName val="CF"/>
      <sheetName val="Revenue"/>
      <sheetName val="Sheet4"/>
      <sheetName val="Q Analysis"/>
      <sheetName val="stats"/>
      <sheetName val="1Q06"/>
      <sheetName val="Exhibits"/>
      <sheetName val="trends"/>
      <sheetName val="divestitures"/>
      <sheetName val="old preview"/>
      <sheetName val="New Q"/>
      <sheetName val="Sheet3"/>
      <sheetName val="Charity"/>
      <sheetName val="Sheet2"/>
      <sheetName val="Guidance"/>
      <sheetName val="Sheet1"/>
      <sheetName val="pre-announce"/>
      <sheetName val="3Q05"/>
      <sheetName val="2Q05"/>
      <sheetName val="Qpreview"/>
      <sheetName val="QReview"/>
      <sheetName val="1Q05"/>
      <sheetName val="4Q05"/>
      <sheetName val="2Q06"/>
      <sheetName val="3Q06"/>
      <sheetName val="EX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bt"/>
      <sheetName val="OCR"/>
      <sheetName val="BS"/>
      <sheetName val="CF"/>
      <sheetName val="generics"/>
      <sheetName val="Revenue"/>
      <sheetName val="AR"/>
      <sheetName val="Qtr Review"/>
      <sheetName val="Risperdal"/>
      <sheetName val="Comp"/>
      <sheetName val="EX"/>
      <sheetName val="EX3"/>
      <sheetName val="stats"/>
      <sheetName val="Pharma"/>
      <sheetName val="CRO"/>
      <sheetName val="Pro forma"/>
      <sheetName val="Val"/>
      <sheetName val="NCSacquisition"/>
      <sheetName val="Top 20 Branded"/>
      <sheetName val="Earning"/>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Y"/>
      <sheetName val="ROIC"/>
      <sheetName val="DCF"/>
      <sheetName val="WACC"/>
      <sheetName val="EPS changes"/>
      <sheetName val="Abilify Share"/>
      <sheetName val="jongrossmargin"/>
      <sheetName val="Orzel"/>
      <sheetName val="valuation"/>
      <sheetName val="Glucophage Franchise"/>
      <sheetName val="AMETE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sheetName val="BS"/>
      <sheetName val="Debt"/>
      <sheetName val="CF"/>
      <sheetName val="Assumptions"/>
      <sheetName val="__FDSCACHE__"/>
      <sheetName val="Qtr Review"/>
      <sheetName val="LS vs FC"/>
      <sheetName val="Revenue"/>
      <sheetName val="Segment"/>
      <sheetName val="Exhibits"/>
      <sheetName val="EX3"/>
      <sheetName val="stats"/>
      <sheetName val="Behave Build"/>
      <sheetName val="Acute Build"/>
      <sheetName val="Same"/>
      <sheetName val="Deals"/>
      <sheetName val="Ear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Long-term"/>
      <sheetName val="Ratios"/>
      <sheetName val="__FDSCACHE__"/>
      <sheetName val="Sheet2"/>
      <sheetName val="Rev. Model"/>
      <sheetName val="Sheet1"/>
      <sheetName val="Q pre"/>
      <sheetName val="stats"/>
      <sheetName val="Recap Analysis"/>
      <sheetName val="more recap"/>
      <sheetName val="EX"/>
      <sheetName val="Charity"/>
      <sheetName val="EX2"/>
      <sheetName val="EX3"/>
      <sheetName val="Q Analysis"/>
      <sheetName val="Guidance"/>
      <sheetName val="Same"/>
      <sheetName val="Acq."/>
      <sheetName val="Exhibits"/>
      <sheetName val="3Q06"/>
      <sheetName val="Calendar"/>
      <sheetName val="2Q06"/>
      <sheetName val="1Q06"/>
      <sheetName val="F1Q06"/>
      <sheetName val="4Q06"/>
      <sheetName val="HMA"/>
      <sheetName val="HCA"/>
      <sheetName val="Qpreview"/>
      <sheetName val="Qreview"/>
      <sheetName val="Consolidated"/>
      <sheetName val="F2Q05"/>
      <sheetName val="_x0000_ឮ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METEK"/>
      <sheetName val="AME cash flow"/>
      <sheetName val="AMEBS"/>
      <sheetName val="AME Units"/>
      <sheetName val="AME Units Q"/>
      <sheetName val="Acquisitions"/>
      <sheetName val="AME-MULT"/>
      <sheetName val="Hedge Clause"/>
      <sheetName val="UPDATE"/>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mp;L"/>
      <sheetName val="QTR"/>
      <sheetName val="KEY"/>
      <sheetName val="SALES"/>
      <sheetName val="Changes"/>
      <sheetName val="QTR SUM"/>
      <sheetName val="QTR PRES Page"/>
      <sheetName val="BSCF"/>
      <sheetName val="P&amp;L2007"/>
      <sheetName val="P&amp;L2008"/>
      <sheetName val="Contribution"/>
      <sheetName val="MEDICARE"/>
      <sheetName val="PIPE"/>
      <sheetName val="EVENTS"/>
      <sheetName val="GUIDE"/>
      <sheetName val="ANN SUM"/>
      <sheetName val="PATENTS"/>
      <sheetName val="PR CTG"/>
      <sheetName val="Cialis P&amp;L"/>
      <sheetName val="GM"/>
      <sheetName val="FIGURES"/>
      <sheetName val="VAL ANALYSIS"/>
      <sheetName val="LEGAL"/>
      <sheetName val="Disclosures"/>
      <sheetName val="PrasugrelChart"/>
      <sheetName val="PrasugrelOu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Y"/>
      <sheetName val="ROIC"/>
      <sheetName val="DCF"/>
      <sheetName val="WACC"/>
      <sheetName val="Scenarios"/>
      <sheetName val="EPS Sensitivity"/>
      <sheetName val="MRK2-25"/>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K2-25"/>
      <sheetName val="MRK ex Medco"/>
      <sheetName val="Cozaar Gross PM Analysis"/>
      <sheetName val="New Drugs"/>
      <sheetName val="WACC"/>
      <sheetName val="DCF"/>
      <sheetName val="BM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s"/>
      <sheetName val="Share Repurchase"/>
      <sheetName val="P&amp;L"/>
      <sheetName val="QTR"/>
      <sheetName val="SPMSD..."/>
      <sheetName val="Januvia-scenario"/>
      <sheetName val="SALES"/>
      <sheetName val="GUIDE08"/>
      <sheetName val="PIPE"/>
      <sheetName val="EVENTS"/>
      <sheetName val="ZETIA P&amp;L (2)"/>
      <sheetName val="Cholesterol Matrix"/>
      <sheetName val="Cholesterol Matrix (2)"/>
      <sheetName val="QTR SUM"/>
      <sheetName val="QTR PRES PAGE"/>
      <sheetName val="Total Sales Analysis"/>
      <sheetName val="GM"/>
      <sheetName val="AZLP P&amp;L"/>
      <sheetName val="BSCF"/>
      <sheetName val="DCF"/>
      <sheetName val="__FDSCACHE__"/>
      <sheetName val="WACC 1"/>
      <sheetName val="MEDICARE"/>
      <sheetName val="KEY"/>
      <sheetName val="ANN SUM"/>
      <sheetName val="GUIDE06"/>
      <sheetName val="Sheet1"/>
      <sheetName val="PR CTG"/>
      <sheetName val="Fig 1"/>
      <sheetName val="PRO KEY"/>
      <sheetName val="VAL ANALYSIS"/>
      <sheetName val="GUIDE"/>
      <sheetName val="Currency Analysis"/>
      <sheetName val="SPM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sheetName val="BS"/>
      <sheetName val="CF"/>
      <sheetName val="Revenue Build"/>
      <sheetName val="Qtr Review"/>
      <sheetName val="Debt"/>
      <sheetName val="LS vs FC"/>
      <sheetName val="__FDSCACHE__"/>
      <sheetName val="Bad Debt"/>
      <sheetName val="stats"/>
      <sheetName val="Exhibits"/>
      <sheetName val="EX3"/>
      <sheetName val="Aqs."/>
      <sheetName val="Buyback"/>
      <sheetName val="Q pre"/>
      <sheetName val="cmi surg"/>
      <sheetName val="LPNT"/>
      <sheetName val="Exp"/>
      <sheetName val="Inputs"/>
      <sheetName val="Q Anal"/>
      <sheetName val="EX2"/>
      <sheetName val="Sheet1"/>
      <sheetName val="Long-term"/>
      <sheetName val="Pot. Accretion"/>
      <sheetName val="Same"/>
      <sheetName val="Sheet2"/>
      <sheetName val="Sheet3"/>
      <sheetName val="Guidance"/>
      <sheetName val="Physicians"/>
      <sheetName val="Consolidated"/>
      <sheetName val="Same Store"/>
      <sheetName val="4Q06"/>
      <sheetName val="3Q06"/>
      <sheetName val="2Q06"/>
      <sheetName val="1Q06"/>
      <sheetName val="Medicare"/>
      <sheetName val="4Q05"/>
      <sheetName val="4Q04"/>
      <sheetName val="Variance"/>
      <sheetName val="3Q05"/>
      <sheetName val="Trends"/>
      <sheetName val="2Q05"/>
      <sheetName val="Disc Op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Revsum"/>
      <sheetName val="Quarterly"/>
      <sheetName val="U.S. Generics"/>
      <sheetName val="bs-cf-wc"/>
      <sheetName val="epsrpt"/>
      <sheetName val="WACC"/>
      <sheetName val="DCF"/>
      <sheetName val="ROIC"/>
      <sheetName val="Warfarin"/>
      <sheetName val="Ovide"/>
      <sheetName val="L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YEProd"/>
      <sheetName val="QtrlySum"/>
      <sheetName val="DCF"/>
      <sheetName val="WACC"/>
      <sheetName val="ROIC"/>
      <sheetName val="NSAIDs"/>
      <sheetName val="Valuation"/>
      <sheetName val="Prdts_Quart"/>
      <sheetName val="Segments"/>
      <sheetName val="AHP"/>
      <sheetName val="ACY"/>
      <sheetName val="Balance"/>
      <sheetName val="AHP-G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Inputs"/>
      <sheetName val="IS"/>
      <sheetName val="BS"/>
      <sheetName val="__FDSCACHE__"/>
      <sheetName val="CF"/>
      <sheetName val="Pro Forma"/>
      <sheetName val="Rev. Model"/>
      <sheetName val="UCA"/>
      <sheetName val="Old CYH"/>
      <sheetName val="Same"/>
      <sheetName val="Q pre"/>
      <sheetName val="EX"/>
      <sheetName val="EX2"/>
      <sheetName val="EX3"/>
      <sheetName val="stats"/>
      <sheetName val="Q Anal"/>
      <sheetName val="Source"/>
      <sheetName val="Guidance"/>
      <sheetName val="Deals"/>
      <sheetName val="Exhibits"/>
      <sheetName val="4Q06"/>
      <sheetName val="3Q06"/>
      <sheetName val="Sheet1"/>
      <sheetName val="LTM"/>
      <sheetName val="2Q06"/>
      <sheetName val="CYH"/>
      <sheetName val="1Q06"/>
      <sheetName val="Medicare"/>
      <sheetName val="Sheet2"/>
      <sheetName val="4Q05"/>
      <sheetName val="3Q05"/>
      <sheetName val="2Q05"/>
      <sheetName val="Debt"/>
      <sheetName val="1Q05"/>
      <sheetName val="4Q04"/>
      <sheetName val="Acq."/>
      <sheetName val="var"/>
      <sheetName val="Val"/>
      <sheetName val="Exp"/>
      <sheetName val="Dives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03768"/>
      </a:accent1>
      <a:accent2>
        <a:srgbClr val="89C7FF"/>
      </a:accent2>
      <a:accent3>
        <a:srgbClr val="BFBFBF"/>
      </a:accent3>
      <a:accent4>
        <a:srgbClr val="C7EAE4"/>
      </a:accent4>
      <a:accent5>
        <a:srgbClr val="5C9EAD"/>
      </a:accent5>
      <a:accent6>
        <a:srgbClr val="FFA630"/>
      </a:accent6>
      <a:hlink>
        <a:srgbClr val="0563C1"/>
      </a:hlink>
      <a:folHlink>
        <a:srgbClr val="954F72"/>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9"/>
  <sheetViews>
    <sheetView workbookViewId="0">
      <selection activeCell="A14" sqref="A14"/>
    </sheetView>
  </sheetViews>
  <sheetFormatPr defaultRowHeight="15"/>
  <cols>
    <col min="1" max="1" width="118" style="2" customWidth="1"/>
  </cols>
  <sheetData>
    <row r="1" spans="1:1" ht="18">
      <c r="A1" s="1"/>
    </row>
    <row r="2" spans="1:1" ht="18">
      <c r="A2" s="1"/>
    </row>
    <row r="3" spans="1:1" ht="18">
      <c r="A3" s="1"/>
    </row>
    <row r="4" spans="1:1" ht="18">
      <c r="A4" s="1"/>
    </row>
    <row r="5" spans="1:1" ht="54">
      <c r="A5" s="1" t="s">
        <v>0</v>
      </c>
    </row>
    <row r="9" spans="1:1">
      <c r="A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15" sqref="A15"/>
    </sheetView>
  </sheetViews>
  <sheetFormatPr defaultRowHeight="15"/>
  <cols>
    <col min="1" max="1" width="103.5703125" customWidth="1"/>
  </cols>
  <sheetData>
    <row r="1" spans="1:1" ht="112.5">
      <c r="A1" s="248" t="s">
        <v>1</v>
      </c>
    </row>
    <row r="2" spans="1:1" ht="18">
      <c r="A2" s="3" t="s">
        <v>2</v>
      </c>
    </row>
    <row r="3" spans="1:1" ht="18">
      <c r="A3" s="4" t="s">
        <v>3</v>
      </c>
    </row>
    <row r="4" spans="1:1" ht="18">
      <c r="A4" s="4" t="s">
        <v>4</v>
      </c>
    </row>
    <row r="5" spans="1:1" ht="18">
      <c r="A5" s="4"/>
    </row>
    <row r="6" spans="1:1" ht="18">
      <c r="A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102"/>
  <sheetViews>
    <sheetView showGridLines="0" view="pageBreakPreview" zoomScale="110" zoomScaleNormal="120" zoomScaleSheetLayoutView="110" workbookViewId="0">
      <selection activeCell="A10" sqref="A10"/>
    </sheetView>
  </sheetViews>
  <sheetFormatPr defaultColWidth="9.140625" defaultRowHeight="12" outlineLevelRow="3"/>
  <cols>
    <col min="1" max="1" width="37.85546875" style="11" customWidth="1"/>
    <col min="2" max="17" width="9.140625" style="11" customWidth="1"/>
    <col min="18" max="16384" width="9.140625" style="11"/>
  </cols>
  <sheetData>
    <row r="1" spans="1:21" s="5" customFormat="1" ht="24">
      <c r="A1" s="169" t="s">
        <v>5</v>
      </c>
      <c r="B1" s="80">
        <v>2023</v>
      </c>
      <c r="C1" s="16">
        <v>2024</v>
      </c>
      <c r="D1" s="222" t="s">
        <v>6</v>
      </c>
      <c r="E1" s="228" t="s">
        <v>7</v>
      </c>
      <c r="F1" s="223" t="s">
        <v>8</v>
      </c>
      <c r="G1" s="16" t="s">
        <v>9</v>
      </c>
      <c r="H1" s="16" t="s">
        <v>10</v>
      </c>
      <c r="I1" s="16" t="s">
        <v>11</v>
      </c>
      <c r="J1" s="16" t="s">
        <v>12</v>
      </c>
      <c r="K1" s="16" t="s">
        <v>13</v>
      </c>
      <c r="L1" s="16" t="s">
        <v>14</v>
      </c>
      <c r="M1" s="16" t="s">
        <v>15</v>
      </c>
      <c r="N1" s="16" t="s">
        <v>16</v>
      </c>
      <c r="O1" s="16" t="s">
        <v>17</v>
      </c>
      <c r="P1" s="16" t="s">
        <v>18</v>
      </c>
      <c r="Q1" s="16" t="s">
        <v>19</v>
      </c>
      <c r="R1" s="16" t="s">
        <v>20</v>
      </c>
      <c r="S1" s="16" t="s">
        <v>21</v>
      </c>
      <c r="T1" s="16" t="s">
        <v>22</v>
      </c>
    </row>
    <row r="2" spans="1:21">
      <c r="A2" s="218" t="s">
        <v>23</v>
      </c>
      <c r="B2" s="219">
        <f>Revenue!E15</f>
        <v>0</v>
      </c>
      <c r="C2" s="219">
        <f>Revenue!F15</f>
        <v>0</v>
      </c>
      <c r="D2" s="52">
        <f>Revenue!G15</f>
        <v>0</v>
      </c>
      <c r="E2" s="240">
        <f>Revenue!H15</f>
        <v>0</v>
      </c>
      <c r="F2" s="152">
        <f>Revenue!I15</f>
        <v>0</v>
      </c>
      <c r="G2" s="219">
        <f>Revenue!J15</f>
        <v>0</v>
      </c>
      <c r="H2" s="219">
        <f>Revenue!K15</f>
        <v>0</v>
      </c>
      <c r="I2" s="219">
        <f>Revenue!L15</f>
        <v>0</v>
      </c>
      <c r="J2" s="219">
        <f>Revenue!M15</f>
        <v>0</v>
      </c>
      <c r="K2" s="219">
        <f>Revenue!N15</f>
        <v>0</v>
      </c>
      <c r="L2" s="219">
        <f>Revenue!O15</f>
        <v>0</v>
      </c>
      <c r="M2" s="219">
        <f>Revenue!P15</f>
        <v>15.528704937526461</v>
      </c>
      <c r="N2" s="219">
        <f>Revenue!Q15</f>
        <v>81.048604173977196</v>
      </c>
      <c r="O2" s="219">
        <f>Revenue!R15</f>
        <v>191.65083618477618</v>
      </c>
      <c r="P2" s="219">
        <f>Revenue!S15</f>
        <v>348.30754343947308</v>
      </c>
      <c r="Q2" s="219">
        <f>Revenue!T15</f>
        <v>509.27377951210235</v>
      </c>
      <c r="R2" s="219">
        <f>Revenue!U15</f>
        <v>657.91865876131715</v>
      </c>
      <c r="S2" s="219">
        <f>Revenue!V15</f>
        <v>851.4556932966334</v>
      </c>
      <c r="T2" s="219">
        <f>Revenue!W15</f>
        <v>1002.8360217071257</v>
      </c>
    </row>
    <row r="3" spans="1:21" hidden="1" outlineLevel="1">
      <c r="A3" s="262" t="s">
        <v>24</v>
      </c>
      <c r="B3" s="152">
        <v>0</v>
      </c>
      <c r="C3" s="29">
        <v>0</v>
      </c>
      <c r="D3" s="226">
        <v>0</v>
      </c>
      <c r="E3" s="226">
        <v>0</v>
      </c>
      <c r="F3" s="152">
        <v>0</v>
      </c>
      <c r="G3" s="29">
        <v>0</v>
      </c>
      <c r="H3" s="29">
        <v>0</v>
      </c>
      <c r="I3" s="29">
        <v>0</v>
      </c>
      <c r="J3" s="29">
        <v>0</v>
      </c>
      <c r="K3" s="29">
        <v>0</v>
      </c>
      <c r="L3" s="29">
        <v>0</v>
      </c>
      <c r="M3" s="29">
        <v>0</v>
      </c>
      <c r="N3" s="29">
        <v>0</v>
      </c>
      <c r="O3" s="29">
        <v>0</v>
      </c>
      <c r="P3" s="29">
        <v>0</v>
      </c>
      <c r="Q3" s="29">
        <v>0</v>
      </c>
      <c r="R3" s="29">
        <v>0</v>
      </c>
      <c r="S3" s="29">
        <v>0</v>
      </c>
      <c r="T3" s="29">
        <v>0</v>
      </c>
    </row>
    <row r="4" spans="1:21" hidden="1" outlineLevel="1">
      <c r="A4" s="20" t="s">
        <v>25</v>
      </c>
      <c r="B4" s="145"/>
      <c r="C4" s="21">
        <v>0</v>
      </c>
      <c r="D4" s="232">
        <v>0</v>
      </c>
      <c r="E4" s="239">
        <v>0</v>
      </c>
      <c r="F4" s="145">
        <v>0</v>
      </c>
      <c r="G4" s="21">
        <v>0</v>
      </c>
      <c r="H4" s="21">
        <v>0</v>
      </c>
      <c r="I4" s="21">
        <v>0</v>
      </c>
      <c r="J4" s="21">
        <v>0</v>
      </c>
      <c r="K4" s="21">
        <v>0</v>
      </c>
      <c r="L4" s="21">
        <v>0</v>
      </c>
      <c r="M4" s="263">
        <v>0</v>
      </c>
      <c r="N4" s="263">
        <v>0</v>
      </c>
      <c r="O4" s="263">
        <v>0</v>
      </c>
      <c r="P4" s="263">
        <v>0</v>
      </c>
      <c r="Q4" s="263">
        <v>0</v>
      </c>
      <c r="R4" s="263">
        <v>0</v>
      </c>
      <c r="S4" s="263">
        <v>0</v>
      </c>
      <c r="T4" s="263">
        <v>0</v>
      </c>
    </row>
    <row r="5" spans="1:21" collapsed="1">
      <c r="A5" s="22" t="s">
        <v>26</v>
      </c>
      <c r="B5" s="146">
        <f>SUM(B2,B4)</f>
        <v>0</v>
      </c>
      <c r="C5" s="23">
        <f t="shared" ref="C5:L5" si="0">SUM(C2,C4)</f>
        <v>0</v>
      </c>
      <c r="D5" s="233">
        <f t="shared" si="0"/>
        <v>0</v>
      </c>
      <c r="E5" s="233">
        <f t="shared" si="0"/>
        <v>0</v>
      </c>
      <c r="F5" s="146">
        <f t="shared" si="0"/>
        <v>0</v>
      </c>
      <c r="G5" s="23">
        <f t="shared" si="0"/>
        <v>0</v>
      </c>
      <c r="H5" s="23">
        <f t="shared" si="0"/>
        <v>0</v>
      </c>
      <c r="I5" s="23">
        <f t="shared" si="0"/>
        <v>0</v>
      </c>
      <c r="J5" s="23">
        <f t="shared" si="0"/>
        <v>0</v>
      </c>
      <c r="K5" s="23">
        <f t="shared" si="0"/>
        <v>0</v>
      </c>
      <c r="L5" s="23">
        <f t="shared" si="0"/>
        <v>0</v>
      </c>
      <c r="M5" s="23">
        <f>SUM(M2:M4)</f>
        <v>15.528704937526461</v>
      </c>
      <c r="N5" s="23">
        <f t="shared" ref="N5:T5" si="1">SUM(N2:N4)</f>
        <v>81.048604173977196</v>
      </c>
      <c r="O5" s="23">
        <f t="shared" si="1"/>
        <v>191.65083618477618</v>
      </c>
      <c r="P5" s="23">
        <f t="shared" si="1"/>
        <v>348.30754343947308</v>
      </c>
      <c r="Q5" s="23">
        <f t="shared" si="1"/>
        <v>509.27377951210235</v>
      </c>
      <c r="R5" s="23">
        <f t="shared" si="1"/>
        <v>657.91865876131715</v>
      </c>
      <c r="S5" s="23">
        <f t="shared" si="1"/>
        <v>851.4556932966334</v>
      </c>
      <c r="T5" s="23">
        <f t="shared" si="1"/>
        <v>1002.8360217071257</v>
      </c>
    </row>
    <row r="6" spans="1:21">
      <c r="A6" s="17"/>
      <c r="B6" s="147"/>
      <c r="C6" s="17"/>
      <c r="D6" s="40"/>
      <c r="E6" s="40"/>
      <c r="F6" s="147"/>
      <c r="G6" s="17"/>
      <c r="H6" s="17"/>
      <c r="I6" s="17"/>
      <c r="J6" s="17"/>
      <c r="K6" s="17"/>
      <c r="L6" s="17"/>
      <c r="M6" s="17"/>
      <c r="N6" s="17"/>
      <c r="O6" s="17"/>
      <c r="P6" s="17"/>
      <c r="Q6" s="17"/>
      <c r="R6" s="17"/>
      <c r="S6" s="17"/>
      <c r="T6" s="17"/>
    </row>
    <row r="7" spans="1:21">
      <c r="A7" s="20" t="s">
        <v>27</v>
      </c>
      <c r="B7" s="145">
        <v>0</v>
      </c>
      <c r="C7" s="21">
        <v>0</v>
      </c>
      <c r="D7" s="232">
        <v>0</v>
      </c>
      <c r="E7" s="232">
        <v>0</v>
      </c>
      <c r="F7" s="145">
        <v>0</v>
      </c>
      <c r="G7" s="21">
        <f>SUM(D7:F7)</f>
        <v>0</v>
      </c>
      <c r="H7" s="21">
        <v>0</v>
      </c>
      <c r="I7" s="21">
        <v>0</v>
      </c>
      <c r="J7" s="21">
        <v>0</v>
      </c>
      <c r="K7" s="21">
        <v>0</v>
      </c>
      <c r="L7" s="21">
        <v>0</v>
      </c>
      <c r="M7" s="21">
        <f t="shared" ref="M7:T7" si="2">M2*M64</f>
        <v>1.2422963950021169</v>
      </c>
      <c r="N7" s="21">
        <f t="shared" si="2"/>
        <v>6.4838883339181761</v>
      </c>
      <c r="O7" s="21">
        <f t="shared" si="2"/>
        <v>15.332066894782095</v>
      </c>
      <c r="P7" s="21">
        <f t="shared" si="2"/>
        <v>27.864603475157846</v>
      </c>
      <c r="Q7" s="21">
        <f t="shared" si="2"/>
        <v>40.74190236096819</v>
      </c>
      <c r="R7" s="21">
        <f t="shared" si="2"/>
        <v>52.633492700905371</v>
      </c>
      <c r="S7" s="21">
        <f t="shared" si="2"/>
        <v>68.116455463730674</v>
      </c>
      <c r="T7" s="21">
        <f t="shared" si="2"/>
        <v>80.226881736570064</v>
      </c>
    </row>
    <row r="8" spans="1:21">
      <c r="A8" s="20" t="s">
        <v>28</v>
      </c>
      <c r="B8" s="145">
        <v>49.686</v>
      </c>
      <c r="C8" s="24">
        <v>68.522999999999996</v>
      </c>
      <c r="D8" s="232">
        <v>46.633000000000003</v>
      </c>
      <c r="E8" s="232">
        <v>27.094000000000001</v>
      </c>
      <c r="F8" s="145">
        <v>30</v>
      </c>
      <c r="G8" s="21">
        <f>SUM(D8:F8)</f>
        <v>103.727</v>
      </c>
      <c r="H8" s="24">
        <v>120</v>
      </c>
      <c r="I8" s="24">
        <v>120</v>
      </c>
      <c r="J8" s="24">
        <v>120</v>
      </c>
      <c r="K8" s="24">
        <v>130</v>
      </c>
      <c r="L8" s="24">
        <v>140</v>
      </c>
      <c r="M8" s="24">
        <v>90</v>
      </c>
      <c r="N8" s="24">
        <v>90</v>
      </c>
      <c r="O8" s="24">
        <v>95</v>
      </c>
      <c r="P8" s="24">
        <f>P2*P65</f>
        <v>104.49226303184192</v>
      </c>
      <c r="Q8" s="24">
        <f>Q2*Q65</f>
        <v>91.669280312178415</v>
      </c>
      <c r="R8" s="24">
        <f>R2*R65</f>
        <v>78.950239051358054</v>
      </c>
      <c r="S8" s="24">
        <f>S2*S65</f>
        <v>85.145569329663346</v>
      </c>
      <c r="T8" s="24">
        <f>T2*T65</f>
        <v>90.255241953641317</v>
      </c>
    </row>
    <row r="9" spans="1:21">
      <c r="A9" s="20" t="s">
        <v>29</v>
      </c>
      <c r="B9" s="145">
        <v>7.6070000000000002</v>
      </c>
      <c r="C9" s="24">
        <v>14.423</v>
      </c>
      <c r="D9" s="232">
        <v>7.5730000000000004</v>
      </c>
      <c r="E9" s="232">
        <v>4.4039999999999999</v>
      </c>
      <c r="F9" s="145">
        <v>5</v>
      </c>
      <c r="G9" s="21">
        <f>SUM(D9:F9)</f>
        <v>16.977</v>
      </c>
      <c r="H9" s="21">
        <v>20</v>
      </c>
      <c r="I9" s="24">
        <v>30</v>
      </c>
      <c r="J9" s="21">
        <v>40</v>
      </c>
      <c r="K9" s="21">
        <v>50</v>
      </c>
      <c r="L9" s="21">
        <v>60</v>
      </c>
      <c r="M9" s="21">
        <v>85</v>
      </c>
      <c r="N9" s="21">
        <v>120</v>
      </c>
      <c r="O9" s="24">
        <f t="shared" ref="O9:T9" si="3">O66*O2</f>
        <v>95.825418092388091</v>
      </c>
      <c r="P9" s="24">
        <f t="shared" si="3"/>
        <v>104.49226303184192</v>
      </c>
      <c r="Q9" s="24">
        <f t="shared" si="3"/>
        <v>101.85475590242048</v>
      </c>
      <c r="R9" s="24">
        <f t="shared" si="3"/>
        <v>131.58373175226345</v>
      </c>
      <c r="S9" s="24">
        <f t="shared" si="3"/>
        <v>170.29113865932669</v>
      </c>
      <c r="T9" s="24">
        <f t="shared" si="3"/>
        <v>200.56720434142517</v>
      </c>
    </row>
    <row r="10" spans="1:21">
      <c r="A10" s="20" t="s">
        <v>30</v>
      </c>
      <c r="B10" s="145">
        <v>0</v>
      </c>
      <c r="C10" s="21">
        <v>0</v>
      </c>
      <c r="D10" s="232">
        <v>0</v>
      </c>
      <c r="E10" s="232">
        <v>0</v>
      </c>
      <c r="F10" s="145">
        <v>0</v>
      </c>
      <c r="G10" s="21">
        <f>SUM(D10:F10)</f>
        <v>0</v>
      </c>
      <c r="H10" s="21">
        <v>0</v>
      </c>
      <c r="I10" s="21">
        <v>0</v>
      </c>
      <c r="J10" s="21">
        <v>0</v>
      </c>
      <c r="K10" s="21">
        <v>0</v>
      </c>
      <c r="L10" s="21">
        <v>0</v>
      </c>
      <c r="M10" s="21">
        <v>0</v>
      </c>
      <c r="N10" s="21">
        <v>0</v>
      </c>
      <c r="O10" s="21">
        <v>0</v>
      </c>
      <c r="P10" s="21">
        <v>0</v>
      </c>
      <c r="Q10" s="21">
        <v>0</v>
      </c>
      <c r="R10" s="21">
        <v>0</v>
      </c>
      <c r="S10" s="21">
        <v>0</v>
      </c>
      <c r="T10" s="21">
        <v>0</v>
      </c>
    </row>
    <row r="11" spans="1:21">
      <c r="A11" s="22" t="s">
        <v>31</v>
      </c>
      <c r="B11" s="146">
        <f t="shared" ref="B11:T11" si="4">SUM(B9,B8,B7,B10)</f>
        <v>57.292999999999999</v>
      </c>
      <c r="C11" s="23">
        <f t="shared" si="4"/>
        <v>82.945999999999998</v>
      </c>
      <c r="D11" s="233">
        <f t="shared" si="4"/>
        <v>54.206000000000003</v>
      </c>
      <c r="E11" s="233">
        <f t="shared" si="4"/>
        <v>31.498000000000001</v>
      </c>
      <c r="F11" s="146">
        <f t="shared" si="4"/>
        <v>35</v>
      </c>
      <c r="G11" s="23">
        <f t="shared" si="4"/>
        <v>120.70400000000001</v>
      </c>
      <c r="H11" s="23">
        <f t="shared" si="4"/>
        <v>140</v>
      </c>
      <c r="I11" s="23">
        <f t="shared" si="4"/>
        <v>150</v>
      </c>
      <c r="J11" s="23">
        <f t="shared" si="4"/>
        <v>160</v>
      </c>
      <c r="K11" s="23">
        <f t="shared" si="4"/>
        <v>180</v>
      </c>
      <c r="L11" s="23">
        <f t="shared" si="4"/>
        <v>200</v>
      </c>
      <c r="M11" s="23">
        <f t="shared" si="4"/>
        <v>176.24229639500211</v>
      </c>
      <c r="N11" s="23">
        <f t="shared" si="4"/>
        <v>216.48388833391817</v>
      </c>
      <c r="O11" s="23">
        <f t="shared" si="4"/>
        <v>206.15748498717016</v>
      </c>
      <c r="P11" s="23">
        <f t="shared" si="4"/>
        <v>236.84912953884168</v>
      </c>
      <c r="Q11" s="23">
        <f t="shared" si="4"/>
        <v>234.26593857556708</v>
      </c>
      <c r="R11" s="23">
        <f t="shared" si="4"/>
        <v>263.16746350452689</v>
      </c>
      <c r="S11" s="23">
        <f t="shared" si="4"/>
        <v>323.5531634527207</v>
      </c>
      <c r="T11" s="23">
        <f t="shared" si="4"/>
        <v>371.04932803163655</v>
      </c>
      <c r="U11" s="220"/>
    </row>
    <row r="12" spans="1:21">
      <c r="A12" s="25"/>
      <c r="B12" s="148"/>
      <c r="C12" s="17"/>
      <c r="D12" s="234"/>
      <c r="E12" s="234"/>
      <c r="F12" s="148"/>
      <c r="G12" s="17"/>
      <c r="H12" s="17"/>
      <c r="I12" s="17"/>
      <c r="J12" s="17"/>
      <c r="K12" s="17"/>
      <c r="L12" s="17"/>
      <c r="M12" s="17"/>
      <c r="N12" s="17"/>
      <c r="O12" s="17"/>
      <c r="P12" s="17"/>
      <c r="Q12" s="17"/>
      <c r="R12" s="17"/>
      <c r="S12" s="17"/>
      <c r="T12" s="17"/>
      <c r="U12" s="221"/>
    </row>
    <row r="13" spans="1:21">
      <c r="A13" s="25" t="s">
        <v>32</v>
      </c>
      <c r="B13" s="149">
        <f t="shared" ref="B13:T13" si="5">B5-B11</f>
        <v>-57.292999999999999</v>
      </c>
      <c r="C13" s="26">
        <f t="shared" si="5"/>
        <v>-82.945999999999998</v>
      </c>
      <c r="D13" s="235">
        <f t="shared" si="5"/>
        <v>-54.206000000000003</v>
      </c>
      <c r="E13" s="235">
        <f t="shared" si="5"/>
        <v>-31.498000000000001</v>
      </c>
      <c r="F13" s="149">
        <f t="shared" si="5"/>
        <v>-35</v>
      </c>
      <c r="G13" s="26">
        <f t="shared" si="5"/>
        <v>-120.70400000000001</v>
      </c>
      <c r="H13" s="26">
        <f t="shared" si="5"/>
        <v>-140</v>
      </c>
      <c r="I13" s="26">
        <f t="shared" si="5"/>
        <v>-150</v>
      </c>
      <c r="J13" s="26">
        <f t="shared" si="5"/>
        <v>-160</v>
      </c>
      <c r="K13" s="26">
        <f t="shared" si="5"/>
        <v>-180</v>
      </c>
      <c r="L13" s="26">
        <f t="shared" si="5"/>
        <v>-200</v>
      </c>
      <c r="M13" s="26">
        <f t="shared" si="5"/>
        <v>-160.71359145747564</v>
      </c>
      <c r="N13" s="26">
        <f t="shared" si="5"/>
        <v>-135.43528415994098</v>
      </c>
      <c r="O13" s="26">
        <f t="shared" si="5"/>
        <v>-14.506648802393983</v>
      </c>
      <c r="P13" s="26">
        <f t="shared" si="5"/>
        <v>111.4584139006314</v>
      </c>
      <c r="Q13" s="26">
        <f t="shared" si="5"/>
        <v>275.00784093653527</v>
      </c>
      <c r="R13" s="26">
        <f t="shared" si="5"/>
        <v>394.75119525679025</v>
      </c>
      <c r="S13" s="26">
        <f t="shared" si="5"/>
        <v>527.9025298439127</v>
      </c>
      <c r="T13" s="26">
        <f t="shared" si="5"/>
        <v>631.78669367548923</v>
      </c>
      <c r="U13" s="221"/>
    </row>
    <row r="14" spans="1:21">
      <c r="A14" s="17"/>
      <c r="B14" s="147"/>
      <c r="C14" s="17"/>
      <c r="D14" s="40"/>
      <c r="E14" s="40"/>
      <c r="F14" s="147"/>
      <c r="G14" s="17"/>
      <c r="H14" s="17"/>
      <c r="I14" s="17"/>
      <c r="J14" s="17"/>
      <c r="K14" s="17"/>
      <c r="L14" s="17"/>
      <c r="M14" s="17"/>
      <c r="N14" s="17"/>
      <c r="O14" s="17"/>
      <c r="P14" s="17"/>
      <c r="Q14" s="17"/>
      <c r="R14" s="17"/>
      <c r="S14" s="17"/>
      <c r="T14" s="17"/>
    </row>
    <row r="15" spans="1:21" outlineLevel="1">
      <c r="A15" s="27" t="s">
        <v>33</v>
      </c>
      <c r="B15" s="150">
        <v>1.099</v>
      </c>
      <c r="C15" s="28">
        <v>4.5039999999999996</v>
      </c>
      <c r="D15" s="19">
        <v>1.4990000000000001</v>
      </c>
      <c r="E15" s="19">
        <v>1.5489999999999999</v>
      </c>
      <c r="F15" s="150">
        <v>1.5</v>
      </c>
      <c r="G15" s="28">
        <f>SUM(D15:F15)</f>
        <v>4.548</v>
      </c>
      <c r="H15" s="28">
        <v>0</v>
      </c>
      <c r="I15" s="28">
        <v>0</v>
      </c>
      <c r="J15" s="28">
        <v>0</v>
      </c>
      <c r="K15" s="28">
        <v>0</v>
      </c>
      <c r="L15" s="28">
        <v>0</v>
      </c>
      <c r="M15" s="28">
        <v>0</v>
      </c>
      <c r="N15" s="28">
        <v>0</v>
      </c>
      <c r="O15" s="28">
        <v>0</v>
      </c>
      <c r="P15" s="28">
        <v>0</v>
      </c>
      <c r="Q15" s="28">
        <v>0</v>
      </c>
      <c r="R15" s="28">
        <v>0</v>
      </c>
      <c r="S15" s="28">
        <v>0</v>
      </c>
      <c r="T15" s="28">
        <v>0</v>
      </c>
    </row>
    <row r="16" spans="1:21" outlineLevel="1">
      <c r="A16" s="27" t="s">
        <v>34</v>
      </c>
      <c r="B16" s="150">
        <v>0</v>
      </c>
      <c r="C16" s="28">
        <v>0</v>
      </c>
      <c r="D16" s="19">
        <v>0</v>
      </c>
      <c r="E16" s="19">
        <v>0</v>
      </c>
      <c r="F16" s="19">
        <v>0</v>
      </c>
      <c r="G16" s="28">
        <v>0</v>
      </c>
      <c r="H16" s="28">
        <v>0</v>
      </c>
      <c r="I16" s="28">
        <v>0</v>
      </c>
      <c r="J16" s="28">
        <v>0</v>
      </c>
      <c r="K16" s="28">
        <v>0</v>
      </c>
      <c r="L16" s="28">
        <v>0</v>
      </c>
      <c r="M16" s="28">
        <v>0</v>
      </c>
      <c r="N16" s="28">
        <v>0</v>
      </c>
      <c r="O16" s="28">
        <v>0</v>
      </c>
      <c r="P16" s="28">
        <v>0</v>
      </c>
      <c r="Q16" s="28">
        <v>0</v>
      </c>
      <c r="R16" s="28">
        <v>0</v>
      </c>
      <c r="S16" s="28">
        <v>0</v>
      </c>
      <c r="T16" s="28">
        <v>0</v>
      </c>
    </row>
    <row r="17" spans="1:22" hidden="1" outlineLevel="3">
      <c r="A17" s="27" t="s">
        <v>35</v>
      </c>
      <c r="B17" s="151">
        <v>-0.51400000000000001</v>
      </c>
      <c r="C17" s="28">
        <v>0</v>
      </c>
      <c r="D17" s="236">
        <v>0</v>
      </c>
      <c r="E17" s="236">
        <v>0</v>
      </c>
      <c r="F17" s="236">
        <v>0</v>
      </c>
      <c r="G17" s="15">
        <v>0</v>
      </c>
      <c r="H17" s="15">
        <v>0</v>
      </c>
      <c r="I17" s="15">
        <v>0</v>
      </c>
      <c r="J17" s="15">
        <v>0</v>
      </c>
      <c r="K17" s="15">
        <v>0</v>
      </c>
      <c r="L17" s="15">
        <v>0</v>
      </c>
      <c r="M17" s="15">
        <v>0</v>
      </c>
      <c r="N17" s="15">
        <v>0</v>
      </c>
      <c r="O17" s="15">
        <v>0</v>
      </c>
      <c r="P17" s="15">
        <v>0</v>
      </c>
      <c r="Q17" s="15">
        <v>0</v>
      </c>
      <c r="R17" s="15">
        <v>0</v>
      </c>
      <c r="S17" s="15">
        <v>0</v>
      </c>
      <c r="T17" s="15">
        <v>0</v>
      </c>
    </row>
    <row r="18" spans="1:22" hidden="1" outlineLevel="3">
      <c r="A18" s="27" t="s">
        <v>36</v>
      </c>
      <c r="B18" s="151">
        <v>0.98599999999999999</v>
      </c>
      <c r="C18" s="28">
        <v>-0.98599999999999999</v>
      </c>
      <c r="D18" s="236">
        <v>0</v>
      </c>
      <c r="E18" s="236">
        <v>0</v>
      </c>
      <c r="F18" s="236">
        <v>0</v>
      </c>
      <c r="G18" s="15">
        <v>0</v>
      </c>
      <c r="H18" s="15">
        <v>0</v>
      </c>
      <c r="I18" s="15">
        <v>0</v>
      </c>
      <c r="J18" s="15">
        <v>0</v>
      </c>
      <c r="K18" s="15">
        <v>0</v>
      </c>
      <c r="L18" s="15">
        <v>0</v>
      </c>
      <c r="M18" s="15">
        <v>0</v>
      </c>
      <c r="N18" s="15">
        <v>0</v>
      </c>
      <c r="O18" s="15">
        <v>0</v>
      </c>
      <c r="P18" s="15">
        <v>0</v>
      </c>
      <c r="Q18" s="15">
        <v>0</v>
      </c>
      <c r="R18" s="15">
        <v>0</v>
      </c>
      <c r="S18" s="15">
        <v>0</v>
      </c>
      <c r="T18" s="15">
        <v>0</v>
      </c>
    </row>
    <row r="19" spans="1:22" outlineLevel="1" collapsed="1">
      <c r="A19" s="27" t="s">
        <v>37</v>
      </c>
      <c r="B19" s="151">
        <v>2E-3</v>
      </c>
      <c r="C19" s="28">
        <v>1.8480000000000001</v>
      </c>
      <c r="D19" s="236">
        <v>0.52200000000000002</v>
      </c>
      <c r="E19" s="236">
        <v>0.53100000000000003</v>
      </c>
      <c r="F19" s="151">
        <v>0</v>
      </c>
      <c r="G19" s="15">
        <v>0</v>
      </c>
      <c r="H19" s="15">
        <v>0</v>
      </c>
      <c r="I19" s="15">
        <v>0</v>
      </c>
      <c r="J19" s="15">
        <v>0</v>
      </c>
      <c r="K19" s="15">
        <v>0</v>
      </c>
      <c r="L19" s="15">
        <v>0</v>
      </c>
      <c r="M19" s="15">
        <v>0</v>
      </c>
      <c r="N19" s="15">
        <v>0</v>
      </c>
      <c r="O19" s="15">
        <v>0</v>
      </c>
      <c r="P19" s="15">
        <v>0</v>
      </c>
      <c r="Q19" s="15">
        <v>0</v>
      </c>
      <c r="R19" s="15">
        <v>0</v>
      </c>
      <c r="S19" s="15">
        <v>0</v>
      </c>
      <c r="T19" s="15">
        <v>0</v>
      </c>
    </row>
    <row r="20" spans="1:22">
      <c r="A20" s="17" t="s">
        <v>38</v>
      </c>
      <c r="B20" s="145">
        <f>SUM(B15,B16,B19,B17,B18)</f>
        <v>1.573</v>
      </c>
      <c r="C20" s="21">
        <f>SUM(C15,C16,C19,C17,C18)</f>
        <v>5.3659999999999997</v>
      </c>
      <c r="D20" s="232">
        <f>SUM(D15,D16,D19)</f>
        <v>2.0209999999999999</v>
      </c>
      <c r="E20" s="232">
        <f>SUM(E15,E16,E19)</f>
        <v>2.08</v>
      </c>
      <c r="F20" s="145">
        <f>SUM(F15,F16,F19)</f>
        <v>1.5</v>
      </c>
      <c r="G20" s="21">
        <f t="shared" ref="G20:T20" si="6">SUM(G15,G16,G19)</f>
        <v>4.548</v>
      </c>
      <c r="H20" s="21">
        <f t="shared" si="6"/>
        <v>0</v>
      </c>
      <c r="I20" s="21">
        <f t="shared" si="6"/>
        <v>0</v>
      </c>
      <c r="J20" s="21">
        <f t="shared" si="6"/>
        <v>0</v>
      </c>
      <c r="K20" s="21">
        <f t="shared" si="6"/>
        <v>0</v>
      </c>
      <c r="L20" s="21">
        <f t="shared" si="6"/>
        <v>0</v>
      </c>
      <c r="M20" s="21">
        <f t="shared" si="6"/>
        <v>0</v>
      </c>
      <c r="N20" s="21">
        <f t="shared" si="6"/>
        <v>0</v>
      </c>
      <c r="O20" s="21">
        <f t="shared" si="6"/>
        <v>0</v>
      </c>
      <c r="P20" s="21">
        <f t="shared" si="6"/>
        <v>0</v>
      </c>
      <c r="Q20" s="21">
        <f t="shared" si="6"/>
        <v>0</v>
      </c>
      <c r="R20" s="21">
        <f t="shared" si="6"/>
        <v>0</v>
      </c>
      <c r="S20" s="21">
        <f t="shared" si="6"/>
        <v>0</v>
      </c>
      <c r="T20" s="21">
        <f t="shared" si="6"/>
        <v>0</v>
      </c>
    </row>
    <row r="21" spans="1:22">
      <c r="A21" s="17"/>
      <c r="B21" s="147"/>
      <c r="C21" s="17"/>
      <c r="D21" s="40"/>
      <c r="E21" s="40"/>
      <c r="F21" s="147"/>
      <c r="G21" s="17"/>
      <c r="H21" s="17"/>
      <c r="I21" s="17"/>
      <c r="J21" s="17"/>
      <c r="K21" s="17"/>
      <c r="L21" s="17"/>
      <c r="M21" s="17"/>
      <c r="N21" s="17"/>
      <c r="O21" s="17"/>
      <c r="P21" s="17"/>
      <c r="Q21" s="17"/>
      <c r="R21" s="17"/>
      <c r="S21" s="17"/>
      <c r="T21" s="17"/>
    </row>
    <row r="22" spans="1:22">
      <c r="A22" s="17" t="s">
        <v>39</v>
      </c>
      <c r="B22" s="152">
        <f>B13+B20</f>
        <v>-55.72</v>
      </c>
      <c r="C22" s="29">
        <f t="shared" ref="C22:T22" si="7">C13+C19</f>
        <v>-81.097999999999999</v>
      </c>
      <c r="D22" s="226">
        <f>D13+D20</f>
        <v>-52.185000000000002</v>
      </c>
      <c r="E22" s="226">
        <f>E13+E19</f>
        <v>-30.967000000000002</v>
      </c>
      <c r="F22" s="152">
        <f>F13+F19</f>
        <v>-35</v>
      </c>
      <c r="G22" s="29">
        <f t="shared" si="7"/>
        <v>-120.70400000000001</v>
      </c>
      <c r="H22" s="29">
        <f t="shared" si="7"/>
        <v>-140</v>
      </c>
      <c r="I22" s="29">
        <f t="shared" si="7"/>
        <v>-150</v>
      </c>
      <c r="J22" s="29">
        <f t="shared" si="7"/>
        <v>-160</v>
      </c>
      <c r="K22" s="29">
        <f t="shared" si="7"/>
        <v>-180</v>
      </c>
      <c r="L22" s="29">
        <f t="shared" si="7"/>
        <v>-200</v>
      </c>
      <c r="M22" s="29">
        <f t="shared" si="7"/>
        <v>-160.71359145747564</v>
      </c>
      <c r="N22" s="29">
        <f t="shared" si="7"/>
        <v>-135.43528415994098</v>
      </c>
      <c r="O22" s="29">
        <f t="shared" si="7"/>
        <v>-14.506648802393983</v>
      </c>
      <c r="P22" s="29">
        <f t="shared" si="7"/>
        <v>111.4584139006314</v>
      </c>
      <c r="Q22" s="29">
        <f t="shared" si="7"/>
        <v>275.00784093653527</v>
      </c>
      <c r="R22" s="29">
        <f t="shared" si="7"/>
        <v>394.75119525679025</v>
      </c>
      <c r="S22" s="29">
        <f t="shared" si="7"/>
        <v>527.9025298439127</v>
      </c>
      <c r="T22" s="29">
        <f t="shared" si="7"/>
        <v>631.78669367548923</v>
      </c>
    </row>
    <row r="23" spans="1:22">
      <c r="A23" s="27"/>
      <c r="B23" s="147"/>
      <c r="C23" s="17"/>
      <c r="D23" s="40"/>
      <c r="E23" s="40"/>
      <c r="F23" s="147"/>
      <c r="G23" s="17"/>
      <c r="H23" s="17"/>
      <c r="I23" s="17"/>
      <c r="J23" s="17"/>
      <c r="K23" s="17"/>
      <c r="L23" s="17"/>
      <c r="M23" s="17"/>
      <c r="N23" s="17"/>
      <c r="O23" s="17"/>
      <c r="P23" s="17"/>
      <c r="Q23" s="17"/>
      <c r="R23" s="17"/>
      <c r="S23" s="17"/>
      <c r="T23" s="17"/>
    </row>
    <row r="24" spans="1:22">
      <c r="A24" s="17" t="s">
        <v>40</v>
      </c>
      <c r="B24" s="145">
        <f t="shared" ref="B24:T24" si="8">B13+B20</f>
        <v>-55.72</v>
      </c>
      <c r="C24" s="21">
        <f t="shared" si="8"/>
        <v>-77.58</v>
      </c>
      <c r="D24" s="232">
        <f>D13+D20</f>
        <v>-52.185000000000002</v>
      </c>
      <c r="E24" s="232">
        <f>E13+E20</f>
        <v>-29.417999999999999</v>
      </c>
      <c r="F24" s="145">
        <f>F13+F20</f>
        <v>-33.5</v>
      </c>
      <c r="G24" s="21">
        <f t="shared" si="8"/>
        <v>-116.15600000000001</v>
      </c>
      <c r="H24" s="21">
        <f t="shared" si="8"/>
        <v>-140</v>
      </c>
      <c r="I24" s="21">
        <f t="shared" si="8"/>
        <v>-150</v>
      </c>
      <c r="J24" s="21">
        <f t="shared" si="8"/>
        <v>-160</v>
      </c>
      <c r="K24" s="21">
        <f t="shared" si="8"/>
        <v>-180</v>
      </c>
      <c r="L24" s="21">
        <f t="shared" si="8"/>
        <v>-200</v>
      </c>
      <c r="M24" s="21">
        <f t="shared" si="8"/>
        <v>-160.71359145747564</v>
      </c>
      <c r="N24" s="21">
        <f t="shared" si="8"/>
        <v>-135.43528415994098</v>
      </c>
      <c r="O24" s="21">
        <f t="shared" si="8"/>
        <v>-14.506648802393983</v>
      </c>
      <c r="P24" s="21">
        <f t="shared" si="8"/>
        <v>111.4584139006314</v>
      </c>
      <c r="Q24" s="21">
        <f t="shared" si="8"/>
        <v>275.00784093653527</v>
      </c>
      <c r="R24" s="21">
        <f t="shared" si="8"/>
        <v>394.75119525679025</v>
      </c>
      <c r="S24" s="21">
        <f t="shared" si="8"/>
        <v>527.9025298439127</v>
      </c>
      <c r="T24" s="21">
        <f t="shared" si="8"/>
        <v>631.78669367548923</v>
      </c>
    </row>
    <row r="25" spans="1:22">
      <c r="A25" s="20" t="s">
        <v>41</v>
      </c>
      <c r="B25" s="153">
        <v>0.45</v>
      </c>
      <c r="C25" s="30">
        <f>C24*C69</f>
        <v>0</v>
      </c>
      <c r="D25" s="154">
        <f>D24*D69</f>
        <v>0</v>
      </c>
      <c r="E25" s="226">
        <f>E24*E69</f>
        <v>0</v>
      </c>
      <c r="F25" s="153">
        <f>F24*F69</f>
        <v>0</v>
      </c>
      <c r="G25" s="30">
        <f t="shared" ref="G25:Q25" si="9">G24*G69</f>
        <v>0</v>
      </c>
      <c r="H25" s="30">
        <f t="shared" si="9"/>
        <v>0</v>
      </c>
      <c r="I25" s="30">
        <f t="shared" si="9"/>
        <v>0</v>
      </c>
      <c r="J25" s="30">
        <f t="shared" si="9"/>
        <v>0</v>
      </c>
      <c r="K25" s="30">
        <f t="shared" si="9"/>
        <v>0</v>
      </c>
      <c r="L25" s="30">
        <f t="shared" si="9"/>
        <v>0</v>
      </c>
      <c r="M25" s="30">
        <f t="shared" si="9"/>
        <v>0</v>
      </c>
      <c r="N25" s="30">
        <f t="shared" si="9"/>
        <v>0</v>
      </c>
      <c r="O25" s="30">
        <f t="shared" si="9"/>
        <v>0</v>
      </c>
      <c r="P25" s="30">
        <f t="shared" si="9"/>
        <v>0</v>
      </c>
      <c r="Q25" s="30">
        <f t="shared" si="9"/>
        <v>0</v>
      </c>
      <c r="R25" s="30">
        <f>R24*R69</f>
        <v>19.737559762839513</v>
      </c>
      <c r="S25" s="30">
        <f>S24*S69</f>
        <v>79.185379476586903</v>
      </c>
      <c r="T25" s="30">
        <f>T24*T69</f>
        <v>138.99307260860763</v>
      </c>
    </row>
    <row r="26" spans="1:22">
      <c r="A26" s="170" t="s">
        <v>42</v>
      </c>
      <c r="B26" s="173">
        <f>B24-B25</f>
        <v>-56.17</v>
      </c>
      <c r="C26" s="171">
        <f t="shared" ref="C26:Q26" si="10">C24-C25</f>
        <v>-77.58</v>
      </c>
      <c r="D26" s="172">
        <f>D24-D25</f>
        <v>-52.185000000000002</v>
      </c>
      <c r="E26" s="238">
        <f>E24-E25</f>
        <v>-29.417999999999999</v>
      </c>
      <c r="F26" s="173">
        <f>F24-F25</f>
        <v>-33.5</v>
      </c>
      <c r="G26" s="171">
        <f t="shared" si="10"/>
        <v>-116.15600000000001</v>
      </c>
      <c r="H26" s="171">
        <f t="shared" si="10"/>
        <v>-140</v>
      </c>
      <c r="I26" s="171">
        <f t="shared" si="10"/>
        <v>-150</v>
      </c>
      <c r="J26" s="171">
        <f t="shared" si="10"/>
        <v>-160</v>
      </c>
      <c r="K26" s="171">
        <f t="shared" si="10"/>
        <v>-180</v>
      </c>
      <c r="L26" s="171">
        <f t="shared" si="10"/>
        <v>-200</v>
      </c>
      <c r="M26" s="171">
        <f t="shared" si="10"/>
        <v>-160.71359145747564</v>
      </c>
      <c r="N26" s="171">
        <f t="shared" si="10"/>
        <v>-135.43528415994098</v>
      </c>
      <c r="O26" s="171">
        <f t="shared" si="10"/>
        <v>-14.506648802393983</v>
      </c>
      <c r="P26" s="171">
        <f t="shared" si="10"/>
        <v>111.4584139006314</v>
      </c>
      <c r="Q26" s="171">
        <f t="shared" si="10"/>
        <v>275.00784093653527</v>
      </c>
      <c r="R26" s="171">
        <f>R24-R25</f>
        <v>375.01363549395074</v>
      </c>
      <c r="S26" s="171">
        <f>S24-S25</f>
        <v>448.71715036732581</v>
      </c>
      <c r="T26" s="171">
        <f>T24-T25</f>
        <v>492.7936210668816</v>
      </c>
    </row>
    <row r="27" spans="1:22" ht="12" customHeight="1">
      <c r="A27" s="17"/>
      <c r="B27" s="17"/>
      <c r="C27" s="17"/>
      <c r="D27" s="144"/>
      <c r="E27" s="40"/>
      <c r="F27" s="147"/>
      <c r="G27" s="17"/>
      <c r="H27" s="17"/>
      <c r="I27" s="17"/>
      <c r="J27" s="17"/>
      <c r="K27" s="17"/>
      <c r="L27" s="17"/>
      <c r="M27" s="17"/>
      <c r="N27" s="17"/>
      <c r="O27" s="17"/>
      <c r="P27" s="17"/>
      <c r="Q27" s="17"/>
      <c r="R27" s="17"/>
      <c r="S27" s="17"/>
      <c r="T27" s="17"/>
    </row>
    <row r="28" spans="1:22">
      <c r="A28" s="31" t="s">
        <v>43</v>
      </c>
      <c r="B28" s="157">
        <f t="shared" ref="B28:Q28" si="11">IFERROR((B26)/B32,"--")</f>
        <v>-5.0683697544019788</v>
      </c>
      <c r="C28" s="32">
        <f t="shared" si="11"/>
        <v>-6.2725092365487907</v>
      </c>
      <c r="D28" s="157">
        <f t="shared" si="11"/>
        <v>-4.0744409774848194</v>
      </c>
      <c r="E28" s="242">
        <f t="shared" si="11"/>
        <v>-37.184927325195574</v>
      </c>
      <c r="F28" s="156">
        <f t="shared" si="11"/>
        <v>-0.73832401726373464</v>
      </c>
      <c r="G28" s="32">
        <f t="shared" si="11"/>
        <v>-6.472894434133301</v>
      </c>
      <c r="H28" s="32">
        <f t="shared" si="11"/>
        <v>-2.7792648499049086</v>
      </c>
      <c r="I28" s="32">
        <f t="shared" si="11"/>
        <v>-2.9198198206440331</v>
      </c>
      <c r="J28" s="32">
        <f t="shared" si="11"/>
        <v>-3.0550073355499574</v>
      </c>
      <c r="K28" s="32">
        <f t="shared" si="11"/>
        <v>-3.3724896241141105</v>
      </c>
      <c r="L28" s="32">
        <f t="shared" si="11"/>
        <v>-3.3685326467994319</v>
      </c>
      <c r="M28" s="32">
        <f t="shared" si="11"/>
        <v>-2.6620095673754811</v>
      </c>
      <c r="N28" s="32">
        <f t="shared" si="11"/>
        <v>-2.2067555983413918</v>
      </c>
      <c r="O28" s="32">
        <f t="shared" si="11"/>
        <v>-0.23257885827668479</v>
      </c>
      <c r="P28" s="32">
        <f t="shared" si="11"/>
        <v>1.7587672330694888</v>
      </c>
      <c r="Q28" s="32">
        <f t="shared" si="11"/>
        <v>4.2720969965254749</v>
      </c>
      <c r="R28" s="32">
        <f>IFERROR((R26)/R32,"--")</f>
        <v>5.7365188409408931</v>
      </c>
      <c r="S28" s="32">
        <f>IFERROR((S26)/S32,"--")</f>
        <v>6.7605340615868172</v>
      </c>
      <c r="T28" s="32">
        <f>IFERROR((T26)/T32,"--")</f>
        <v>7.3144045788599374</v>
      </c>
    </row>
    <row r="29" spans="1:22">
      <c r="A29" s="17" t="s">
        <v>44</v>
      </c>
      <c r="B29" s="34">
        <f>IFERROR(B26/B31,"--")</f>
        <v>-5.0683697544019788</v>
      </c>
      <c r="C29" s="33">
        <f t="shared" ref="C29:Q29" si="12">IFERROR(C26/C31,"--")</f>
        <v>-6.2725092365487907</v>
      </c>
      <c r="D29" s="34">
        <f>IFERROR(D26/D31,"--")</f>
        <v>-4.0744409774848194</v>
      </c>
      <c r="E29" s="237">
        <f>IFERROR(E26/E31,"--")</f>
        <v>-37.184927325195574</v>
      </c>
      <c r="F29" s="158">
        <f>IFERROR(F26/F31,"--")</f>
        <v>-0.73832401726373464</v>
      </c>
      <c r="G29" s="33">
        <f t="shared" si="12"/>
        <v>-6.472894434133301</v>
      </c>
      <c r="H29" s="34">
        <f t="shared" si="12"/>
        <v>-2.7792648499049086</v>
      </c>
      <c r="I29" s="34">
        <f t="shared" si="12"/>
        <v>-2.9198198206440331</v>
      </c>
      <c r="J29" s="34">
        <f t="shared" si="12"/>
        <v>-3.0550073355499574</v>
      </c>
      <c r="K29" s="34">
        <f t="shared" si="12"/>
        <v>-3.3724896241141105</v>
      </c>
      <c r="L29" s="34">
        <f t="shared" si="12"/>
        <v>-3.3685326467994319</v>
      </c>
      <c r="M29" s="33">
        <f t="shared" si="12"/>
        <v>-2.6620095673754811</v>
      </c>
      <c r="N29" s="33">
        <f t="shared" si="12"/>
        <v>-2.2067555983413918</v>
      </c>
      <c r="O29" s="33">
        <f t="shared" si="12"/>
        <v>-0.23257885827668479</v>
      </c>
      <c r="P29" s="33">
        <f t="shared" si="12"/>
        <v>1.7587672330694888</v>
      </c>
      <c r="Q29" s="33">
        <f t="shared" si="12"/>
        <v>4.2720969965254749</v>
      </c>
      <c r="R29" s="33">
        <f>IFERROR(R26/R31,"--")</f>
        <v>5.7365188409408931</v>
      </c>
      <c r="S29" s="33">
        <f>IFERROR(S26/S31,"--")</f>
        <v>6.7605340615868172</v>
      </c>
      <c r="T29" s="33">
        <f>IFERROR(T26/T31,"--")</f>
        <v>7.3144045788599374</v>
      </c>
      <c r="U29" s="35"/>
      <c r="V29" s="35"/>
    </row>
    <row r="30" spans="1:22">
      <c r="A30" s="25"/>
      <c r="B30" s="17"/>
      <c r="C30" s="17"/>
      <c r="D30" s="144"/>
      <c r="E30" s="40"/>
      <c r="F30" s="147"/>
      <c r="G30" s="17"/>
      <c r="H30" s="17"/>
      <c r="I30" s="17"/>
      <c r="J30" s="17"/>
      <c r="K30" s="17"/>
      <c r="L30" s="17"/>
      <c r="M30" s="17"/>
      <c r="N30" s="17"/>
      <c r="O30" s="17"/>
      <c r="P30" s="17"/>
      <c r="Q30" s="17"/>
      <c r="R30" s="17"/>
      <c r="S30" s="17"/>
      <c r="T30" s="17"/>
      <c r="U30" s="35"/>
      <c r="V30" s="35"/>
    </row>
    <row r="31" spans="1:22">
      <c r="A31" s="17" t="s">
        <v>45</v>
      </c>
      <c r="B31" s="36">
        <v>11.082459</v>
      </c>
      <c r="C31" s="36">
        <v>12.368256000000001</v>
      </c>
      <c r="D31" s="52">
        <v>12.807892000000001</v>
      </c>
      <c r="E31" s="226">
        <v>0.79112700000000002</v>
      </c>
      <c r="F31" s="226">
        <v>45.373033</v>
      </c>
      <c r="G31" s="36">
        <f>(D31*2+E31+F31)/4</f>
        <v>17.944986</v>
      </c>
      <c r="H31" s="36">
        <f>F31+H55/40</f>
        <v>50.373033</v>
      </c>
      <c r="I31" s="36">
        <f>H31+1</f>
        <v>51.373033</v>
      </c>
      <c r="J31" s="36">
        <f>I31+1</f>
        <v>52.373033</v>
      </c>
      <c r="K31" s="36">
        <f t="shared" ref="K31:T31" si="13">J31+1</f>
        <v>53.373033</v>
      </c>
      <c r="L31" s="36">
        <f>K31+L55/50</f>
        <v>59.373033</v>
      </c>
      <c r="M31" s="36">
        <f t="shared" si="13"/>
        <v>60.373033</v>
      </c>
      <c r="N31" s="36">
        <f t="shared" si="13"/>
        <v>61.373033</v>
      </c>
      <c r="O31" s="36">
        <f t="shared" si="13"/>
        <v>62.373033</v>
      </c>
      <c r="P31" s="36">
        <f t="shared" si="13"/>
        <v>63.373033</v>
      </c>
      <c r="Q31" s="36">
        <f t="shared" si="13"/>
        <v>64.373032999999992</v>
      </c>
      <c r="R31" s="36">
        <f t="shared" si="13"/>
        <v>65.373032999999992</v>
      </c>
      <c r="S31" s="36">
        <f t="shared" si="13"/>
        <v>66.373032999999992</v>
      </c>
      <c r="T31" s="36">
        <f t="shared" si="13"/>
        <v>67.373032999999992</v>
      </c>
    </row>
    <row r="32" spans="1:22">
      <c r="A32" s="17" t="s">
        <v>46</v>
      </c>
      <c r="B32" s="29">
        <f t="shared" ref="B32:Q32" si="14">B31</f>
        <v>11.082459</v>
      </c>
      <c r="C32" s="36">
        <f t="shared" si="14"/>
        <v>12.368256000000001</v>
      </c>
      <c r="D32" s="52">
        <f>D31</f>
        <v>12.807892000000001</v>
      </c>
      <c r="E32" s="226">
        <f>E31</f>
        <v>0.79112700000000002</v>
      </c>
      <c r="F32" s="152">
        <f>F31</f>
        <v>45.373033</v>
      </c>
      <c r="G32" s="29">
        <f t="shared" si="14"/>
        <v>17.944986</v>
      </c>
      <c r="H32" s="29">
        <f t="shared" si="14"/>
        <v>50.373033</v>
      </c>
      <c r="I32" s="29">
        <f t="shared" si="14"/>
        <v>51.373033</v>
      </c>
      <c r="J32" s="29">
        <f t="shared" si="14"/>
        <v>52.373033</v>
      </c>
      <c r="K32" s="29">
        <f t="shared" si="14"/>
        <v>53.373033</v>
      </c>
      <c r="L32" s="29">
        <f t="shared" si="14"/>
        <v>59.373033</v>
      </c>
      <c r="M32" s="29">
        <f t="shared" si="14"/>
        <v>60.373033</v>
      </c>
      <c r="N32" s="29">
        <f t="shared" si="14"/>
        <v>61.373033</v>
      </c>
      <c r="O32" s="29">
        <f t="shared" si="14"/>
        <v>62.373033</v>
      </c>
      <c r="P32" s="29">
        <f t="shared" si="14"/>
        <v>63.373033</v>
      </c>
      <c r="Q32" s="29">
        <f t="shared" si="14"/>
        <v>64.373032999999992</v>
      </c>
      <c r="R32" s="29">
        <f>R31</f>
        <v>65.373032999999992</v>
      </c>
      <c r="S32" s="29">
        <f>S31</f>
        <v>66.373032999999992</v>
      </c>
      <c r="T32" s="29">
        <f>T31</f>
        <v>67.373032999999992</v>
      </c>
    </row>
    <row r="33" spans="1:22">
      <c r="A33" s="38"/>
      <c r="B33" s="38"/>
      <c r="C33" s="38"/>
      <c r="D33" s="155"/>
      <c r="E33" s="241"/>
      <c r="F33" s="159"/>
      <c r="G33" s="38"/>
      <c r="H33" s="38"/>
      <c r="I33" s="38"/>
      <c r="J33" s="38"/>
      <c r="K33" s="38"/>
      <c r="L33" s="38"/>
      <c r="M33" s="38"/>
      <c r="N33" s="38"/>
      <c r="O33" s="38"/>
      <c r="P33" s="38"/>
      <c r="Q33" s="38"/>
      <c r="R33" s="38"/>
      <c r="S33" s="38"/>
      <c r="T33" s="38"/>
    </row>
    <row r="34" spans="1:22">
      <c r="A34" s="39" t="s">
        <v>47</v>
      </c>
      <c r="B34" s="40"/>
      <c r="C34" s="40"/>
      <c r="D34" s="40"/>
      <c r="E34" s="40"/>
      <c r="F34" s="40"/>
      <c r="G34" s="40"/>
      <c r="H34" s="40"/>
      <c r="I34" s="40"/>
      <c r="J34" s="40"/>
      <c r="K34" s="40"/>
      <c r="L34" s="40"/>
      <c r="M34" s="40"/>
      <c r="N34" s="40"/>
      <c r="O34" s="40"/>
      <c r="P34" s="40"/>
      <c r="Q34" s="40"/>
      <c r="R34" s="40"/>
      <c r="S34" s="40"/>
      <c r="T34" s="40"/>
    </row>
    <row r="36" spans="1:22" s="5" customFormat="1">
      <c r="A36" s="41" t="s">
        <v>48</v>
      </c>
      <c r="B36" s="10">
        <f t="shared" ref="B36:T36" si="15">B1</f>
        <v>2023</v>
      </c>
      <c r="C36" s="10">
        <f t="shared" si="15"/>
        <v>2024</v>
      </c>
      <c r="D36" s="229" t="str">
        <f t="shared" si="15"/>
        <v>1H25</v>
      </c>
      <c r="E36" s="228" t="str">
        <f t="shared" si="15"/>
        <v>3Q25</v>
      </c>
      <c r="F36" s="230" t="str">
        <f t="shared" si="15"/>
        <v>4Q25E</v>
      </c>
      <c r="G36" s="10" t="str">
        <f t="shared" si="15"/>
        <v>2025E</v>
      </c>
      <c r="H36" s="10" t="str">
        <f t="shared" si="15"/>
        <v>2026E</v>
      </c>
      <c r="I36" s="10" t="str">
        <f t="shared" si="15"/>
        <v>2027E</v>
      </c>
      <c r="J36" s="10" t="str">
        <f t="shared" si="15"/>
        <v>2028E</v>
      </c>
      <c r="K36" s="10" t="str">
        <f t="shared" si="15"/>
        <v>2029E</v>
      </c>
      <c r="L36" s="10" t="str">
        <f t="shared" si="15"/>
        <v>2030E</v>
      </c>
      <c r="M36" s="10" t="str">
        <f t="shared" si="15"/>
        <v>2031E</v>
      </c>
      <c r="N36" s="10" t="str">
        <f t="shared" si="15"/>
        <v>2032E</v>
      </c>
      <c r="O36" s="10" t="str">
        <f t="shared" si="15"/>
        <v>2033E</v>
      </c>
      <c r="P36" s="10" t="str">
        <f t="shared" si="15"/>
        <v>2034E</v>
      </c>
      <c r="Q36" s="10" t="str">
        <f t="shared" si="15"/>
        <v>2035E</v>
      </c>
      <c r="R36" s="10" t="str">
        <f t="shared" si="15"/>
        <v>2036E</v>
      </c>
      <c r="S36" s="10" t="str">
        <f t="shared" si="15"/>
        <v>2037E</v>
      </c>
      <c r="T36" s="10" t="str">
        <f t="shared" si="15"/>
        <v>2038E</v>
      </c>
    </row>
    <row r="37" spans="1:22" ht="5.0999999999999996" customHeight="1">
      <c r="A37" s="42"/>
      <c r="B37" s="43"/>
      <c r="C37" s="43"/>
      <c r="D37" s="126"/>
      <c r="E37" s="56"/>
      <c r="F37" s="231"/>
      <c r="G37" s="43"/>
      <c r="H37" s="43"/>
      <c r="I37" s="43"/>
      <c r="J37" s="43"/>
      <c r="K37" s="43"/>
      <c r="L37" s="43"/>
      <c r="M37" s="42"/>
      <c r="N37" s="42"/>
      <c r="O37" s="42"/>
      <c r="P37" s="42"/>
      <c r="Q37" s="42"/>
      <c r="R37" s="42"/>
      <c r="S37" s="42"/>
      <c r="T37" s="42"/>
    </row>
    <row r="38" spans="1:22">
      <c r="A38" s="44" t="s">
        <v>49</v>
      </c>
      <c r="B38" s="274">
        <f>SUM(B39,B40,B41,B42)</f>
        <v>158.93299999999996</v>
      </c>
      <c r="C38" s="46">
        <f t="shared" ref="C38:Q38" si="16">C39-C40</f>
        <v>65.286000000000001</v>
      </c>
      <c r="D38" s="46">
        <f t="shared" si="16"/>
        <v>60.5</v>
      </c>
      <c r="E38" s="224">
        <f t="shared" si="16"/>
        <v>227.19999999999996</v>
      </c>
      <c r="F38" s="224">
        <f t="shared" si="16"/>
        <v>456.4</v>
      </c>
      <c r="G38" s="46">
        <f t="shared" si="16"/>
        <v>456.4</v>
      </c>
      <c r="H38" s="46">
        <f t="shared" si="16"/>
        <v>526.5</v>
      </c>
      <c r="I38" s="46">
        <f t="shared" si="16"/>
        <v>391.6</v>
      </c>
      <c r="J38" s="46">
        <f t="shared" si="16"/>
        <v>250.70000000000002</v>
      </c>
      <c r="K38" s="46">
        <f t="shared" si="16"/>
        <v>91.800000000000011</v>
      </c>
      <c r="L38" s="46">
        <f t="shared" si="16"/>
        <v>214.9</v>
      </c>
      <c r="M38" s="45">
        <f t="shared" si="16"/>
        <v>74.786408542524356</v>
      </c>
      <c r="N38" s="45">
        <f t="shared" si="16"/>
        <v>-36.548875617416613</v>
      </c>
      <c r="O38" s="45">
        <f t="shared" si="16"/>
        <v>-28.872982610571786</v>
      </c>
      <c r="P38" s="45">
        <f t="shared" si="16"/>
        <v>106.58388389642799</v>
      </c>
      <c r="Q38" s="45">
        <f t="shared" si="16"/>
        <v>404.04412845442312</v>
      </c>
      <c r="R38" s="45">
        <f>R39-R40</f>
        <v>803.211161028736</v>
      </c>
      <c r="S38" s="45">
        <f>S39-S40</f>
        <v>1280.5719821949608</v>
      </c>
      <c r="T38" s="45">
        <f>T39-T40</f>
        <v>1805.5478478913492</v>
      </c>
    </row>
    <row r="39" spans="1:22">
      <c r="A39" s="27" t="s">
        <v>50</v>
      </c>
      <c r="B39" s="152">
        <v>106.82899999999995</v>
      </c>
      <c r="C39" s="29">
        <f>B39+C42</f>
        <v>65.286000000000001</v>
      </c>
      <c r="D39" s="52">
        <f>C39+D42</f>
        <v>60.5</v>
      </c>
      <c r="E39" s="226">
        <f>D39+E42</f>
        <v>227.19999999999996</v>
      </c>
      <c r="F39" s="152">
        <f>E39+F42</f>
        <v>456.4</v>
      </c>
      <c r="G39" s="29">
        <f>C39+G42</f>
        <v>456.4</v>
      </c>
      <c r="H39" s="29">
        <f>G39+H42</f>
        <v>526.5</v>
      </c>
      <c r="I39" s="29">
        <f t="shared" ref="I39:T39" si="17">H39+I42</f>
        <v>391.6</v>
      </c>
      <c r="J39" s="29">
        <f t="shared" si="17"/>
        <v>250.70000000000002</v>
      </c>
      <c r="K39" s="29">
        <f t="shared" si="17"/>
        <v>91.800000000000011</v>
      </c>
      <c r="L39" s="29">
        <f t="shared" si="17"/>
        <v>214.9</v>
      </c>
      <c r="M39" s="29">
        <f t="shared" si="17"/>
        <v>74.786408542524356</v>
      </c>
      <c r="N39" s="29">
        <f t="shared" si="17"/>
        <v>-36.548875617416613</v>
      </c>
      <c r="O39" s="29">
        <f t="shared" si="17"/>
        <v>-28.872982610571786</v>
      </c>
      <c r="P39" s="29">
        <f t="shared" si="17"/>
        <v>106.58388389642799</v>
      </c>
      <c r="Q39" s="29">
        <f t="shared" si="17"/>
        <v>404.04412845442312</v>
      </c>
      <c r="R39" s="29">
        <f t="shared" si="17"/>
        <v>803.211161028736</v>
      </c>
      <c r="S39" s="29">
        <f t="shared" si="17"/>
        <v>1280.5719821949608</v>
      </c>
      <c r="T39" s="29">
        <f t="shared" si="17"/>
        <v>1805.5478478913492</v>
      </c>
    </row>
    <row r="40" spans="1:22">
      <c r="A40" s="27" t="s">
        <v>51</v>
      </c>
      <c r="B40" s="160">
        <v>0</v>
      </c>
      <c r="C40" s="37">
        <f>B40+C56</f>
        <v>0</v>
      </c>
      <c r="D40" s="249">
        <f>C40+D56</f>
        <v>0</v>
      </c>
      <c r="E40" s="296">
        <f>D40+E56</f>
        <v>0</v>
      </c>
      <c r="F40" s="250">
        <f>E40+F56</f>
        <v>0</v>
      </c>
      <c r="G40" s="37">
        <f>C40+G56</f>
        <v>0</v>
      </c>
      <c r="H40" s="37">
        <f t="shared" ref="H40:T40" si="18">G40+H56</f>
        <v>0</v>
      </c>
      <c r="I40" s="37">
        <v>0</v>
      </c>
      <c r="J40" s="37">
        <f t="shared" si="18"/>
        <v>0</v>
      </c>
      <c r="K40" s="37">
        <f t="shared" si="18"/>
        <v>0</v>
      </c>
      <c r="L40" s="37">
        <f t="shared" si="18"/>
        <v>0</v>
      </c>
      <c r="M40" s="37">
        <f t="shared" si="18"/>
        <v>0</v>
      </c>
      <c r="N40" s="37">
        <f t="shared" si="18"/>
        <v>0</v>
      </c>
      <c r="O40" s="37">
        <f t="shared" si="18"/>
        <v>0</v>
      </c>
      <c r="P40" s="37">
        <f t="shared" si="18"/>
        <v>0</v>
      </c>
      <c r="Q40" s="37">
        <f t="shared" si="18"/>
        <v>0</v>
      </c>
      <c r="R40" s="37">
        <f t="shared" si="18"/>
        <v>0</v>
      </c>
      <c r="S40" s="37">
        <f t="shared" si="18"/>
        <v>0</v>
      </c>
      <c r="T40" s="37">
        <f t="shared" si="18"/>
        <v>0</v>
      </c>
    </row>
    <row r="41" spans="1:22">
      <c r="A41" s="43"/>
      <c r="B41" s="112"/>
      <c r="C41" s="43"/>
      <c r="D41" s="99"/>
      <c r="E41" s="137"/>
      <c r="F41" s="112"/>
      <c r="G41" s="43"/>
      <c r="H41" s="43"/>
      <c r="I41" s="43"/>
      <c r="J41" s="43"/>
      <c r="K41" s="43"/>
      <c r="L41" s="43"/>
      <c r="M41" s="43"/>
      <c r="N41" s="43"/>
      <c r="O41" s="43"/>
      <c r="P41" s="43"/>
      <c r="Q41" s="43"/>
      <c r="R41" s="43"/>
      <c r="S41" s="43"/>
      <c r="T41" s="43"/>
    </row>
    <row r="42" spans="1:22" ht="12" customHeight="1">
      <c r="A42" s="14" t="s">
        <v>52</v>
      </c>
      <c r="B42" s="225">
        <f>SUM(B44,B50,B54)</f>
        <v>52.104000000000006</v>
      </c>
      <c r="C42" s="48">
        <f t="shared" ref="C42:Q42" si="19">SUM(C44,C50,C54)</f>
        <v>-41.54299999999995</v>
      </c>
      <c r="D42" s="48">
        <f>SUM(D44,D50,D54)</f>
        <v>-4.7859999999999987</v>
      </c>
      <c r="E42" s="225">
        <f>SUM(E44,E50,E54)</f>
        <v>166.69999999999996</v>
      </c>
      <c r="F42" s="225">
        <f>SUM(F44,F50,F54)</f>
        <v>229.20000000000002</v>
      </c>
      <c r="G42" s="48">
        <f t="shared" si="19"/>
        <v>391.11399999999998</v>
      </c>
      <c r="H42" s="48">
        <f t="shared" si="19"/>
        <v>70.099999999999994</v>
      </c>
      <c r="I42" s="48">
        <f t="shared" si="19"/>
        <v>-134.9</v>
      </c>
      <c r="J42" s="48">
        <f t="shared" si="19"/>
        <v>-140.9</v>
      </c>
      <c r="K42" s="48">
        <f t="shared" si="19"/>
        <v>-158.9</v>
      </c>
      <c r="L42" s="48">
        <f t="shared" si="19"/>
        <v>123.1</v>
      </c>
      <c r="M42" s="48">
        <f t="shared" si="19"/>
        <v>-140.11359145747565</v>
      </c>
      <c r="N42" s="48">
        <f t="shared" si="19"/>
        <v>-111.33528415994097</v>
      </c>
      <c r="O42" s="48">
        <f t="shared" si="19"/>
        <v>7.6758930068448263</v>
      </c>
      <c r="P42" s="48">
        <f t="shared" si="19"/>
        <v>135.45686650699977</v>
      </c>
      <c r="Q42" s="49">
        <f t="shared" si="19"/>
        <v>297.46024455799511</v>
      </c>
      <c r="R42" s="49">
        <f>SUM(R44,R50,R54)</f>
        <v>399.16703257431288</v>
      </c>
      <c r="S42" s="49">
        <f>SUM(S44,S50,S54)</f>
        <v>477.36082116622481</v>
      </c>
      <c r="T42" s="49">
        <f>SUM(T44,T50,T54)</f>
        <v>524.97586569638827</v>
      </c>
    </row>
    <row r="43" spans="1:22" ht="5.0999999999999996" customHeight="1">
      <c r="A43" s="43"/>
      <c r="B43" s="112"/>
      <c r="C43" s="43"/>
      <c r="D43" s="99"/>
      <c r="F43" s="112"/>
      <c r="G43" s="43"/>
      <c r="H43" s="43"/>
      <c r="I43" s="43"/>
      <c r="J43" s="43"/>
      <c r="K43" s="43"/>
      <c r="L43" s="43"/>
      <c r="M43" s="43"/>
      <c r="N43" s="43"/>
      <c r="O43" s="43"/>
      <c r="P43" s="43"/>
      <c r="Q43" s="43"/>
      <c r="R43" s="43"/>
      <c r="S43" s="43"/>
      <c r="T43" s="43"/>
    </row>
    <row r="44" spans="1:22">
      <c r="A44" s="12" t="s">
        <v>53</v>
      </c>
      <c r="B44" s="274">
        <f>SUM(B45,B46,B47,B48)</f>
        <v>-52.005999999999993</v>
      </c>
      <c r="C44" s="46">
        <f t="shared" ref="C44:Q44" si="20">SUM(C45,C46,C47,C48)</f>
        <v>-78.814999999999969</v>
      </c>
      <c r="D44" s="46">
        <f>SUM(D45,D46,D47,D48)</f>
        <v>-59.516999999999996</v>
      </c>
      <c r="E44" s="224">
        <f>SUM(E45,E46,E47,E48)</f>
        <v>-31.791000000000015</v>
      </c>
      <c r="F44" s="224">
        <f>SUM(F45,F46,F47,F48)</f>
        <v>-33</v>
      </c>
      <c r="G44" s="46">
        <f t="shared" si="20"/>
        <v>-124.30800000000004</v>
      </c>
      <c r="H44" s="46">
        <f t="shared" si="20"/>
        <v>-130.1</v>
      </c>
      <c r="I44" s="46">
        <f t="shared" si="20"/>
        <v>-135.1</v>
      </c>
      <c r="J44" s="46">
        <f t="shared" si="20"/>
        <v>-141.1</v>
      </c>
      <c r="K44" s="46">
        <f t="shared" si="20"/>
        <v>-159.1</v>
      </c>
      <c r="L44" s="46">
        <f t="shared" si="20"/>
        <v>-177.1</v>
      </c>
      <c r="M44" s="45">
        <f t="shared" si="20"/>
        <v>-140.31359145747564</v>
      </c>
      <c r="N44" s="45">
        <f t="shared" si="20"/>
        <v>-111.53528415994097</v>
      </c>
      <c r="O44" s="45">
        <f t="shared" si="20"/>
        <v>7.4758930068448262</v>
      </c>
      <c r="P44" s="45">
        <f t="shared" si="20"/>
        <v>135.25686650699978</v>
      </c>
      <c r="Q44" s="45">
        <f t="shared" si="20"/>
        <v>297.26024455799512</v>
      </c>
      <c r="R44" s="45">
        <f>SUM(R45,R46,R47,R48)</f>
        <v>398.9670325743129</v>
      </c>
      <c r="S44" s="45">
        <f>SUM(S45,S46,S47,S48)</f>
        <v>477.16082116622482</v>
      </c>
      <c r="T44" s="45">
        <f>SUM(T45,T46,T47,T48)</f>
        <v>524.77586569638822</v>
      </c>
    </row>
    <row r="45" spans="1:22">
      <c r="A45" s="50" t="s">
        <v>54</v>
      </c>
      <c r="B45" s="152">
        <f>B26</f>
        <v>-56.17</v>
      </c>
      <c r="C45" s="52">
        <f t="shared" ref="C45:Q45" si="21">C26</f>
        <v>-77.58</v>
      </c>
      <c r="D45" s="52">
        <f t="shared" si="21"/>
        <v>-52.185000000000002</v>
      </c>
      <c r="E45" s="226">
        <f t="shared" si="21"/>
        <v>-29.417999999999999</v>
      </c>
      <c r="F45" s="226">
        <f t="shared" si="21"/>
        <v>-33.5</v>
      </c>
      <c r="G45" s="52">
        <f>SUM(D45:F45)</f>
        <v>-115.10300000000001</v>
      </c>
      <c r="H45" s="52">
        <f t="shared" si="21"/>
        <v>-140</v>
      </c>
      <c r="I45" s="52">
        <f t="shared" si="21"/>
        <v>-150</v>
      </c>
      <c r="J45" s="52">
        <f t="shared" si="21"/>
        <v>-160</v>
      </c>
      <c r="K45" s="52">
        <f t="shared" si="21"/>
        <v>-180</v>
      </c>
      <c r="L45" s="52">
        <f t="shared" si="21"/>
        <v>-200</v>
      </c>
      <c r="M45" s="29">
        <f t="shared" si="21"/>
        <v>-160.71359145747564</v>
      </c>
      <c r="N45" s="29">
        <f t="shared" si="21"/>
        <v>-135.43528415994098</v>
      </c>
      <c r="O45" s="29">
        <f t="shared" si="21"/>
        <v>-14.506648802393983</v>
      </c>
      <c r="P45" s="29">
        <f t="shared" si="21"/>
        <v>111.4584139006314</v>
      </c>
      <c r="Q45" s="29">
        <f t="shared" si="21"/>
        <v>275.00784093653527</v>
      </c>
      <c r="R45" s="29">
        <f>R26</f>
        <v>375.01363549395074</v>
      </c>
      <c r="S45" s="29">
        <f>S26</f>
        <v>448.71715036732581</v>
      </c>
      <c r="T45" s="29">
        <f>T26</f>
        <v>492.7936210668816</v>
      </c>
    </row>
    <row r="46" spans="1:22">
      <c r="A46" s="50" t="s">
        <v>55</v>
      </c>
      <c r="B46" s="152">
        <v>1.0449999999999999</v>
      </c>
      <c r="C46" s="51">
        <v>1.08</v>
      </c>
      <c r="D46" s="52">
        <v>0.36</v>
      </c>
      <c r="E46" s="226">
        <f>0.485-D46</f>
        <v>0.125</v>
      </c>
      <c r="F46" s="152">
        <f>F67*SUM(F8,F9)</f>
        <v>0.35000000000000003</v>
      </c>
      <c r="G46" s="51">
        <f>SUM(D46:F46)</f>
        <v>0.83499999999999996</v>
      </c>
      <c r="H46" s="51">
        <f t="shared" ref="H46:T46" si="22">H67*SUM(H8,H9)</f>
        <v>7</v>
      </c>
      <c r="I46" s="51">
        <f t="shared" si="22"/>
        <v>12</v>
      </c>
      <c r="J46" s="51">
        <f t="shared" si="22"/>
        <v>16</v>
      </c>
      <c r="K46" s="51">
        <f t="shared" si="22"/>
        <v>18</v>
      </c>
      <c r="L46" s="51">
        <f t="shared" si="22"/>
        <v>20</v>
      </c>
      <c r="M46" s="51">
        <f t="shared" si="22"/>
        <v>17.5</v>
      </c>
      <c r="N46" s="51">
        <f t="shared" si="22"/>
        <v>21</v>
      </c>
      <c r="O46" s="51">
        <f t="shared" si="22"/>
        <v>19.082541809238808</v>
      </c>
      <c r="P46" s="51">
        <f t="shared" si="22"/>
        <v>20.898452606368384</v>
      </c>
      <c r="Q46" s="51">
        <f t="shared" si="22"/>
        <v>19.352403621459889</v>
      </c>
      <c r="R46" s="51">
        <f t="shared" si="22"/>
        <v>21.053397080362153</v>
      </c>
      <c r="S46" s="51">
        <f t="shared" si="22"/>
        <v>25.543670798899004</v>
      </c>
      <c r="T46" s="51">
        <f t="shared" si="22"/>
        <v>29.082244629506647</v>
      </c>
    </row>
    <row r="47" spans="1:22">
      <c r="A47" s="50" t="s">
        <v>56</v>
      </c>
      <c r="B47" s="152">
        <v>0.55600000000000005</v>
      </c>
      <c r="C47" s="51">
        <v>0.70099999999999996</v>
      </c>
      <c r="D47" s="52">
        <v>0.30199999999999999</v>
      </c>
      <c r="E47" s="226">
        <f>0.438-D47</f>
        <v>0.13600000000000001</v>
      </c>
      <c r="F47" s="226">
        <f>0.6/4</f>
        <v>0.15</v>
      </c>
      <c r="G47" s="52">
        <f>SUM(D47:F47)</f>
        <v>0.58799999999999997</v>
      </c>
      <c r="H47" s="52">
        <v>2.9</v>
      </c>
      <c r="I47" s="52">
        <f t="shared" ref="I47:T47" si="23">H47</f>
        <v>2.9</v>
      </c>
      <c r="J47" s="52">
        <f t="shared" si="23"/>
        <v>2.9</v>
      </c>
      <c r="K47" s="52">
        <f t="shared" si="23"/>
        <v>2.9</v>
      </c>
      <c r="L47" s="52">
        <f t="shared" si="23"/>
        <v>2.9</v>
      </c>
      <c r="M47" s="29">
        <f t="shared" si="23"/>
        <v>2.9</v>
      </c>
      <c r="N47" s="29">
        <f t="shared" si="23"/>
        <v>2.9</v>
      </c>
      <c r="O47" s="29">
        <f t="shared" si="23"/>
        <v>2.9</v>
      </c>
      <c r="P47" s="29">
        <f t="shared" si="23"/>
        <v>2.9</v>
      </c>
      <c r="Q47" s="29">
        <f t="shared" si="23"/>
        <v>2.9</v>
      </c>
      <c r="R47" s="29">
        <f t="shared" si="23"/>
        <v>2.9</v>
      </c>
      <c r="S47" s="29">
        <f t="shared" si="23"/>
        <v>2.9</v>
      </c>
      <c r="T47" s="29">
        <f t="shared" si="23"/>
        <v>2.9</v>
      </c>
      <c r="V47" s="19"/>
    </row>
    <row r="48" spans="1:22">
      <c r="A48" s="50" t="s">
        <v>57</v>
      </c>
      <c r="B48" s="152">
        <v>2.5630000000000082</v>
      </c>
      <c r="C48" s="51">
        <v>-3.0159999999999645</v>
      </c>
      <c r="D48" s="52">
        <v>-7.9939999999999962</v>
      </c>
      <c r="E48" s="226">
        <v>-2.6340000000000137</v>
      </c>
      <c r="F48" s="152">
        <v>0</v>
      </c>
      <c r="G48" s="28">
        <f>SUM(D48:F48)</f>
        <v>-10.628000000000011</v>
      </c>
      <c r="H48" s="28">
        <v>0</v>
      </c>
      <c r="I48" s="28">
        <v>0</v>
      </c>
      <c r="J48" s="28">
        <v>0</v>
      </c>
      <c r="K48" s="28">
        <v>0</v>
      </c>
      <c r="L48" s="28">
        <v>0</v>
      </c>
      <c r="M48" s="28">
        <v>0</v>
      </c>
      <c r="N48" s="28">
        <v>0</v>
      </c>
      <c r="O48" s="28">
        <v>0</v>
      </c>
      <c r="P48" s="28">
        <v>0</v>
      </c>
      <c r="Q48" s="28">
        <v>0</v>
      </c>
      <c r="R48" s="28">
        <v>0</v>
      </c>
      <c r="S48" s="28">
        <v>0</v>
      </c>
      <c r="T48" s="28">
        <v>0</v>
      </c>
    </row>
    <row r="49" spans="1:20" ht="5.0999999999999996" customHeight="1">
      <c r="A49" s="13"/>
      <c r="B49" s="112"/>
      <c r="C49" s="43"/>
      <c r="D49" s="99"/>
      <c r="F49" s="112"/>
      <c r="G49" s="43"/>
      <c r="H49" s="43"/>
      <c r="I49" s="43"/>
      <c r="J49" s="43"/>
      <c r="K49" s="43"/>
      <c r="L49" s="43"/>
      <c r="M49" s="43"/>
      <c r="N49" s="43"/>
      <c r="O49" s="43"/>
      <c r="P49" s="43"/>
      <c r="Q49" s="43"/>
      <c r="R49" s="43"/>
      <c r="S49" s="43"/>
      <c r="T49" s="43"/>
    </row>
    <row r="50" spans="1:20">
      <c r="A50" s="12" t="s">
        <v>58</v>
      </c>
      <c r="B50" s="274">
        <f>SUM(B51,B52)</f>
        <v>-0.46200000000000002</v>
      </c>
      <c r="C50" s="46">
        <f t="shared" ref="C50:Q50" si="24">SUM(C51,C52)</f>
        <v>-80.787999999999997</v>
      </c>
      <c r="D50" s="46">
        <f>SUM(D51,D52)</f>
        <v>54.933999999999997</v>
      </c>
      <c r="E50" s="224">
        <f>SUM(E51,E52)</f>
        <v>0.43299999999998318</v>
      </c>
      <c r="F50" s="224">
        <f>SUM(F51,F52)</f>
        <v>-0.1</v>
      </c>
      <c r="G50" s="46">
        <f t="shared" si="24"/>
        <v>55.266999999999982</v>
      </c>
      <c r="H50" s="46">
        <f t="shared" si="24"/>
        <v>0.2</v>
      </c>
      <c r="I50" s="46">
        <f t="shared" si="24"/>
        <v>0.2</v>
      </c>
      <c r="J50" s="46">
        <f t="shared" si="24"/>
        <v>0.2</v>
      </c>
      <c r="K50" s="46">
        <f t="shared" si="24"/>
        <v>0.2</v>
      </c>
      <c r="L50" s="46">
        <f t="shared" si="24"/>
        <v>0.2</v>
      </c>
      <c r="M50" s="45">
        <f t="shared" si="24"/>
        <v>0.2</v>
      </c>
      <c r="N50" s="45">
        <f t="shared" si="24"/>
        <v>0.2</v>
      </c>
      <c r="O50" s="45">
        <f t="shared" si="24"/>
        <v>0.2</v>
      </c>
      <c r="P50" s="45">
        <f t="shared" si="24"/>
        <v>0.2</v>
      </c>
      <c r="Q50" s="45">
        <f t="shared" si="24"/>
        <v>0.2</v>
      </c>
      <c r="R50" s="45">
        <f>SUM(R51,R52)</f>
        <v>0.2</v>
      </c>
      <c r="S50" s="45">
        <f>SUM(S51,S52)</f>
        <v>0.2</v>
      </c>
      <c r="T50" s="45">
        <f>SUM(T51,T52)</f>
        <v>0.2</v>
      </c>
    </row>
    <row r="51" spans="1:20">
      <c r="A51" s="50" t="s">
        <v>59</v>
      </c>
      <c r="B51" s="152">
        <v>-0.46200000000000002</v>
      </c>
      <c r="C51" s="53">
        <v>-0.77</v>
      </c>
      <c r="D51" s="52">
        <v>-6.6000000000000003E-2</v>
      </c>
      <c r="E51" s="226">
        <f>-0.097-D51</f>
        <v>-3.1E-2</v>
      </c>
      <c r="F51" s="226">
        <v>-0.1</v>
      </c>
      <c r="G51" s="53">
        <f>SUM(D51:F51)</f>
        <v>-0.19700000000000001</v>
      </c>
      <c r="H51" s="53">
        <v>0.2</v>
      </c>
      <c r="I51" s="53">
        <f t="shared" ref="I51:T51" si="25">H51</f>
        <v>0.2</v>
      </c>
      <c r="J51" s="53">
        <f t="shared" si="25"/>
        <v>0.2</v>
      </c>
      <c r="K51" s="53">
        <f t="shared" si="25"/>
        <v>0.2</v>
      </c>
      <c r="L51" s="53">
        <f t="shared" si="25"/>
        <v>0.2</v>
      </c>
      <c r="M51" s="28">
        <f t="shared" si="25"/>
        <v>0.2</v>
      </c>
      <c r="N51" s="28">
        <f t="shared" si="25"/>
        <v>0.2</v>
      </c>
      <c r="O51" s="28">
        <f t="shared" si="25"/>
        <v>0.2</v>
      </c>
      <c r="P51" s="28">
        <f t="shared" si="25"/>
        <v>0.2</v>
      </c>
      <c r="Q51" s="28">
        <f t="shared" si="25"/>
        <v>0.2</v>
      </c>
      <c r="R51" s="28">
        <f t="shared" si="25"/>
        <v>0.2</v>
      </c>
      <c r="S51" s="28">
        <f t="shared" si="25"/>
        <v>0.2</v>
      </c>
      <c r="T51" s="28">
        <f t="shared" si="25"/>
        <v>0.2</v>
      </c>
    </row>
    <row r="52" spans="1:20">
      <c r="A52" s="50" t="s">
        <v>57</v>
      </c>
      <c r="B52" s="152">
        <v>0</v>
      </c>
      <c r="C52" s="53">
        <f>45-125.018</f>
        <v>-80.018000000000001</v>
      </c>
      <c r="D52" s="53">
        <v>55</v>
      </c>
      <c r="E52" s="226">
        <v>0.4639999999999832</v>
      </c>
      <c r="F52" s="226">
        <v>0</v>
      </c>
      <c r="G52" s="53">
        <f>SUM(D52:F52)</f>
        <v>55.463999999999984</v>
      </c>
      <c r="H52" s="53">
        <v>0</v>
      </c>
      <c r="I52" s="53">
        <v>0</v>
      </c>
      <c r="J52" s="53">
        <v>0</v>
      </c>
      <c r="K52" s="53">
        <v>0</v>
      </c>
      <c r="L52" s="53">
        <v>0</v>
      </c>
      <c r="M52" s="28">
        <v>0</v>
      </c>
      <c r="N52" s="28">
        <v>0</v>
      </c>
      <c r="O52" s="28">
        <v>0</v>
      </c>
      <c r="P52" s="28">
        <v>0</v>
      </c>
      <c r="Q52" s="28">
        <v>0</v>
      </c>
      <c r="R52" s="28">
        <v>0</v>
      </c>
      <c r="S52" s="28">
        <v>0</v>
      </c>
      <c r="T52" s="28">
        <v>0</v>
      </c>
    </row>
    <row r="53" spans="1:20" ht="5.0999999999999996" customHeight="1">
      <c r="A53" s="13"/>
      <c r="B53" s="112"/>
      <c r="C53" s="43"/>
      <c r="D53" s="99"/>
      <c r="F53" s="112"/>
      <c r="G53" s="43"/>
      <c r="H53" s="43"/>
      <c r="I53" s="43"/>
      <c r="J53" s="43"/>
      <c r="K53" s="43"/>
      <c r="L53" s="43"/>
      <c r="M53" s="43"/>
      <c r="N53" s="43"/>
      <c r="O53" s="43"/>
      <c r="P53" s="43"/>
      <c r="Q53" s="43"/>
      <c r="R53" s="43"/>
      <c r="S53" s="43"/>
      <c r="T53" s="43"/>
    </row>
    <row r="54" spans="1:20">
      <c r="A54" s="12" t="s">
        <v>60</v>
      </c>
      <c r="B54" s="274">
        <f>SUM(B56,B57,B58,B55)</f>
        <v>104.572</v>
      </c>
      <c r="C54" s="46">
        <f t="shared" ref="C54:Q54" si="26">SUM(C56,C57,C58,C55)</f>
        <v>118.06</v>
      </c>
      <c r="D54" s="46">
        <f>SUM(D56,D57,D58,D55)</f>
        <v>-0.20299999999999999</v>
      </c>
      <c r="E54" s="224">
        <f>SUM(E56,E57,E58,E55)</f>
        <v>198.05799999999999</v>
      </c>
      <c r="F54" s="224">
        <f>SUM(F56,F57,F58,F55)</f>
        <v>262.3</v>
      </c>
      <c r="G54" s="46">
        <f t="shared" si="26"/>
        <v>460.15500000000003</v>
      </c>
      <c r="H54" s="46">
        <f t="shared" si="26"/>
        <v>200</v>
      </c>
      <c r="I54" s="46">
        <f t="shared" si="26"/>
        <v>0</v>
      </c>
      <c r="J54" s="46">
        <f t="shared" si="26"/>
        <v>0</v>
      </c>
      <c r="K54" s="46">
        <f t="shared" si="26"/>
        <v>0</v>
      </c>
      <c r="L54" s="46">
        <f t="shared" si="26"/>
        <v>300</v>
      </c>
      <c r="M54" s="45">
        <f t="shared" si="26"/>
        <v>0</v>
      </c>
      <c r="N54" s="45">
        <f t="shared" si="26"/>
        <v>0</v>
      </c>
      <c r="O54" s="45">
        <f t="shared" si="26"/>
        <v>0</v>
      </c>
      <c r="P54" s="45">
        <f t="shared" si="26"/>
        <v>0</v>
      </c>
      <c r="Q54" s="45">
        <f t="shared" si="26"/>
        <v>0</v>
      </c>
      <c r="R54" s="45">
        <f>SUM(R56,R57,R58,R55)</f>
        <v>0</v>
      </c>
      <c r="S54" s="45">
        <f>SUM(S56,S57,S58,S55)</f>
        <v>0</v>
      </c>
      <c r="T54" s="45">
        <f>SUM(T56,T57,T58,T55)</f>
        <v>0</v>
      </c>
    </row>
    <row r="55" spans="1:20">
      <c r="A55" s="50" t="s">
        <v>61</v>
      </c>
      <c r="B55" s="152">
        <v>0</v>
      </c>
      <c r="C55" s="53">
        <v>0</v>
      </c>
      <c r="D55" s="52">
        <v>0</v>
      </c>
      <c r="E55" s="226">
        <v>0</v>
      </c>
      <c r="F55" s="226">
        <v>262.3</v>
      </c>
      <c r="G55" s="53">
        <f>SUM(D55:F55)</f>
        <v>262.3</v>
      </c>
      <c r="H55" s="53">
        <v>200</v>
      </c>
      <c r="I55" s="53">
        <v>0</v>
      </c>
      <c r="J55" s="53"/>
      <c r="K55" s="53">
        <v>0</v>
      </c>
      <c r="L55" s="53">
        <v>300</v>
      </c>
      <c r="M55" s="28"/>
      <c r="N55" s="28">
        <v>0</v>
      </c>
      <c r="O55" s="28">
        <v>0</v>
      </c>
      <c r="P55" s="28">
        <v>0</v>
      </c>
      <c r="Q55" s="28">
        <v>0</v>
      </c>
      <c r="R55" s="28">
        <v>0</v>
      </c>
      <c r="S55" s="28">
        <v>0</v>
      </c>
      <c r="T55" s="28">
        <v>0</v>
      </c>
    </row>
    <row r="56" spans="1:20">
      <c r="A56" s="50" t="s">
        <v>62</v>
      </c>
      <c r="B56" s="152">
        <v>0</v>
      </c>
      <c r="C56" s="53">
        <v>0</v>
      </c>
      <c r="D56" s="52">
        <v>0</v>
      </c>
      <c r="E56" s="226">
        <v>0</v>
      </c>
      <c r="F56" s="226">
        <v>0</v>
      </c>
      <c r="G56" s="53">
        <f>SUM(D56:F56)</f>
        <v>0</v>
      </c>
      <c r="H56" s="53">
        <v>0</v>
      </c>
      <c r="I56" s="53">
        <v>0</v>
      </c>
      <c r="J56" s="53">
        <v>0</v>
      </c>
      <c r="K56" s="53">
        <v>0</v>
      </c>
      <c r="L56" s="53">
        <v>0</v>
      </c>
      <c r="M56" s="28">
        <v>0</v>
      </c>
      <c r="N56" s="28">
        <v>0</v>
      </c>
      <c r="O56" s="28">
        <v>0</v>
      </c>
      <c r="P56" s="28">
        <v>0</v>
      </c>
      <c r="Q56" s="28">
        <v>0</v>
      </c>
      <c r="R56" s="28">
        <v>0</v>
      </c>
      <c r="S56" s="28">
        <v>0</v>
      </c>
      <c r="T56" s="28">
        <v>0</v>
      </c>
    </row>
    <row r="57" spans="1:20">
      <c r="A57" s="50" t="s">
        <v>63</v>
      </c>
      <c r="B57" s="152">
        <v>104.532</v>
      </c>
      <c r="C57" s="53">
        <v>119.956</v>
      </c>
      <c r="D57" s="52">
        <v>0</v>
      </c>
      <c r="E57" s="226">
        <f>198.87-D57</f>
        <v>198.87</v>
      </c>
      <c r="F57" s="226">
        <v>0</v>
      </c>
      <c r="G57" s="53">
        <f>SUM(D57:F57)</f>
        <v>198.87</v>
      </c>
      <c r="H57" s="53">
        <v>0</v>
      </c>
      <c r="I57" s="53">
        <v>0</v>
      </c>
      <c r="J57" s="53">
        <v>0</v>
      </c>
      <c r="K57" s="53">
        <v>0</v>
      </c>
      <c r="L57" s="53">
        <v>0</v>
      </c>
      <c r="M57" s="28">
        <v>0</v>
      </c>
      <c r="N57" s="28">
        <v>0</v>
      </c>
      <c r="O57" s="28">
        <v>0</v>
      </c>
      <c r="P57" s="28">
        <v>0</v>
      </c>
      <c r="Q57" s="28">
        <v>0</v>
      </c>
      <c r="R57" s="28">
        <v>0</v>
      </c>
      <c r="S57" s="28">
        <v>0</v>
      </c>
      <c r="T57" s="28">
        <v>0</v>
      </c>
    </row>
    <row r="58" spans="1:20">
      <c r="A58" s="50" t="s">
        <v>57</v>
      </c>
      <c r="B58" s="152">
        <v>0.04</v>
      </c>
      <c r="C58" s="53">
        <f>-2.19+0.294</f>
        <v>-1.8959999999999999</v>
      </c>
      <c r="D58" s="52">
        <f>-0.211+0.008</f>
        <v>-0.20299999999999999</v>
      </c>
      <c r="E58" s="226">
        <f>-1.127+0.112-D58</f>
        <v>-0.81199999999999994</v>
      </c>
      <c r="F58" s="226">
        <v>0</v>
      </c>
      <c r="G58" s="53">
        <f>SUM(D58:F58)</f>
        <v>-1.0149999999999999</v>
      </c>
      <c r="H58" s="53">
        <v>0</v>
      </c>
      <c r="I58" s="53">
        <v>0</v>
      </c>
      <c r="J58" s="53">
        <v>0</v>
      </c>
      <c r="K58" s="53">
        <v>0</v>
      </c>
      <c r="L58" s="53">
        <v>0</v>
      </c>
      <c r="M58" s="28">
        <v>0</v>
      </c>
      <c r="N58" s="28">
        <v>0</v>
      </c>
      <c r="O58" s="28">
        <v>0</v>
      </c>
      <c r="P58" s="28">
        <v>0</v>
      </c>
      <c r="Q58" s="28">
        <v>0</v>
      </c>
      <c r="R58" s="28">
        <v>0</v>
      </c>
      <c r="S58" s="28">
        <v>0</v>
      </c>
      <c r="T58" s="28">
        <v>0</v>
      </c>
    </row>
    <row r="59" spans="1:20" ht="6.75" customHeight="1">
      <c r="A59" s="54"/>
      <c r="B59" s="54"/>
      <c r="C59" s="54"/>
      <c r="D59" s="101"/>
      <c r="E59" s="137"/>
      <c r="F59" s="227"/>
      <c r="G59" s="54"/>
      <c r="H59" s="54"/>
      <c r="I59" s="54"/>
      <c r="J59" s="54"/>
      <c r="K59" s="54"/>
      <c r="L59" s="54"/>
      <c r="M59" s="54"/>
      <c r="N59" s="54"/>
      <c r="O59" s="54"/>
      <c r="P59" s="54"/>
      <c r="Q59" s="54"/>
      <c r="R59" s="54"/>
      <c r="S59" s="54"/>
      <c r="T59" s="54"/>
    </row>
    <row r="60" spans="1:20">
      <c r="A60" s="55" t="s">
        <v>47</v>
      </c>
      <c r="B60" s="56"/>
      <c r="C60" s="56"/>
      <c r="F60" s="56"/>
      <c r="G60" s="56"/>
      <c r="H60" s="56"/>
      <c r="I60" s="56"/>
      <c r="J60" s="56"/>
      <c r="K60" s="56"/>
      <c r="L60" s="56"/>
      <c r="M60" s="56"/>
      <c r="N60" s="56"/>
      <c r="O60" s="56"/>
      <c r="P60" s="56"/>
      <c r="Q60" s="56"/>
      <c r="R60" s="56"/>
      <c r="S60" s="56"/>
      <c r="T60" s="56"/>
    </row>
    <row r="61" spans="1:20">
      <c r="A61" s="7"/>
    </row>
    <row r="63" spans="1:20">
      <c r="A63" s="57" t="s">
        <v>64</v>
      </c>
      <c r="B63" s="58">
        <f t="shared" ref="B63:T63" si="27">B$1</f>
        <v>2023</v>
      </c>
      <c r="C63" s="58">
        <f t="shared" si="27"/>
        <v>2024</v>
      </c>
      <c r="D63" s="246" t="str">
        <f>D1</f>
        <v>1H25</v>
      </c>
      <c r="E63" s="162" t="str">
        <f>E1</f>
        <v>3Q25</v>
      </c>
      <c r="F63" s="161" t="str">
        <f>F1</f>
        <v>4Q25E</v>
      </c>
      <c r="G63" s="58" t="str">
        <f t="shared" si="27"/>
        <v>2025E</v>
      </c>
      <c r="H63" s="58" t="str">
        <f t="shared" si="27"/>
        <v>2026E</v>
      </c>
      <c r="I63" s="58" t="str">
        <f t="shared" si="27"/>
        <v>2027E</v>
      </c>
      <c r="J63" s="58" t="str">
        <f t="shared" si="27"/>
        <v>2028E</v>
      </c>
      <c r="K63" s="58" t="str">
        <f t="shared" si="27"/>
        <v>2029E</v>
      </c>
      <c r="L63" s="58" t="str">
        <f t="shared" si="27"/>
        <v>2030E</v>
      </c>
      <c r="M63" s="58" t="str">
        <f t="shared" si="27"/>
        <v>2031E</v>
      </c>
      <c r="N63" s="58" t="str">
        <f t="shared" si="27"/>
        <v>2032E</v>
      </c>
      <c r="O63" s="58" t="str">
        <f t="shared" si="27"/>
        <v>2033E</v>
      </c>
      <c r="P63" s="58" t="str">
        <f t="shared" si="27"/>
        <v>2034E</v>
      </c>
      <c r="Q63" s="58" t="str">
        <f t="shared" si="27"/>
        <v>2035E</v>
      </c>
      <c r="R63" s="58" t="str">
        <f t="shared" si="27"/>
        <v>2036E</v>
      </c>
      <c r="S63" s="58" t="str">
        <f t="shared" si="27"/>
        <v>2037E</v>
      </c>
      <c r="T63" s="58" t="str">
        <f t="shared" si="27"/>
        <v>2038E</v>
      </c>
    </row>
    <row r="64" spans="1:20">
      <c r="A64" s="42" t="str">
        <f>A7&amp;" - % of product revenue"</f>
        <v>COGS - % of product revenue</v>
      </c>
      <c r="B64" s="59" t="str">
        <f t="shared" ref="B64:C66" si="28">IF(B$2&gt;0,IFERROR(B7/B$2,"--"),"--")</f>
        <v>--</v>
      </c>
      <c r="C64" s="59" t="str">
        <f t="shared" si="28"/>
        <v>--</v>
      </c>
      <c r="D64" s="243"/>
      <c r="E64" s="164"/>
      <c r="F64" s="163"/>
      <c r="G64" s="59" t="str">
        <f t="shared" ref="G64:L65" si="29">IF(G$2&gt;0,IFERROR(G7/G$2,"--"),"--")</f>
        <v>--</v>
      </c>
      <c r="H64" s="59" t="str">
        <f t="shared" si="29"/>
        <v>--</v>
      </c>
      <c r="I64" s="59" t="str">
        <f t="shared" si="29"/>
        <v>--</v>
      </c>
      <c r="J64" s="59" t="str">
        <f t="shared" si="29"/>
        <v>--</v>
      </c>
      <c r="K64" s="247" t="str">
        <f t="shared" si="29"/>
        <v>--</v>
      </c>
      <c r="L64" s="247" t="str">
        <f t="shared" si="29"/>
        <v>--</v>
      </c>
      <c r="M64" s="60">
        <v>0.08</v>
      </c>
      <c r="N64" s="60">
        <v>0.08</v>
      </c>
      <c r="O64" s="60">
        <v>0.08</v>
      </c>
      <c r="P64" s="60">
        <v>0.08</v>
      </c>
      <c r="Q64" s="60">
        <v>0.08</v>
      </c>
      <c r="R64" s="60">
        <v>0.08</v>
      </c>
      <c r="S64" s="60">
        <v>0.08</v>
      </c>
      <c r="T64" s="60">
        <v>0.08</v>
      </c>
    </row>
    <row r="65" spans="1:21">
      <c r="A65" s="43" t="str">
        <f>A8&amp;" - % of product revenue"</f>
        <v>R&amp;D - % of product revenue</v>
      </c>
      <c r="B65" s="59" t="str">
        <f t="shared" si="28"/>
        <v>--</v>
      </c>
      <c r="C65" s="59" t="str">
        <f t="shared" si="28"/>
        <v>--</v>
      </c>
      <c r="D65" s="243"/>
      <c r="E65" s="164"/>
      <c r="F65" s="163"/>
      <c r="G65" s="59" t="str">
        <f t="shared" si="29"/>
        <v>--</v>
      </c>
      <c r="H65" s="59" t="str">
        <f t="shared" si="29"/>
        <v>--</v>
      </c>
      <c r="I65" s="59" t="str">
        <f t="shared" si="29"/>
        <v>--</v>
      </c>
      <c r="J65" s="59" t="str">
        <f t="shared" si="29"/>
        <v>--</v>
      </c>
      <c r="K65" s="59" t="str">
        <f t="shared" si="29"/>
        <v>--</v>
      </c>
      <c r="L65" s="59" t="str">
        <f t="shared" si="29"/>
        <v>--</v>
      </c>
      <c r="M65" s="59">
        <f>IF(M$2&gt;0,IFERROR(M8/M$2,"--"),"--")</f>
        <v>5.7957183398151377</v>
      </c>
      <c r="N65" s="59">
        <f>IF(N$2&gt;0,IFERROR(N8/N$2,"--"),"--")</f>
        <v>1.110444787017034</v>
      </c>
      <c r="O65" s="59">
        <f>IF(O$2&gt;0,IFERROR(O8/O$2,"--"),"--")</f>
        <v>0.49569311510025305</v>
      </c>
      <c r="P65" s="60">
        <v>0.3</v>
      </c>
      <c r="Q65" s="60">
        <v>0.18</v>
      </c>
      <c r="R65" s="60">
        <v>0.12</v>
      </c>
      <c r="S65" s="60">
        <v>0.1</v>
      </c>
      <c r="T65" s="60">
        <v>0.09</v>
      </c>
    </row>
    <row r="66" spans="1:21">
      <c r="A66" s="43" t="str">
        <f>A9&amp;" - % of product revenue"</f>
        <v>SG&amp;A - % of product revenue</v>
      </c>
      <c r="B66" s="59" t="str">
        <f t="shared" si="28"/>
        <v>--</v>
      </c>
      <c r="C66" s="59" t="str">
        <f t="shared" si="28"/>
        <v>--</v>
      </c>
      <c r="D66" s="243"/>
      <c r="E66" s="164"/>
      <c r="F66" s="163"/>
      <c r="G66" s="59" t="str">
        <f t="shared" ref="G66:N66" si="30">IF(G$2&gt;0,IFERROR(G9/G$2,"--"),"--")</f>
        <v>--</v>
      </c>
      <c r="H66" s="59" t="str">
        <f t="shared" si="30"/>
        <v>--</v>
      </c>
      <c r="I66" s="59" t="str">
        <f t="shared" si="30"/>
        <v>--</v>
      </c>
      <c r="J66" s="59" t="str">
        <f t="shared" si="30"/>
        <v>--</v>
      </c>
      <c r="K66" s="59" t="str">
        <f t="shared" si="30"/>
        <v>--</v>
      </c>
      <c r="L66" s="59" t="str">
        <f t="shared" si="30"/>
        <v>--</v>
      </c>
      <c r="M66" s="59">
        <f t="shared" si="30"/>
        <v>5.4737339876031861</v>
      </c>
      <c r="N66" s="59">
        <f t="shared" si="30"/>
        <v>1.4805930493560453</v>
      </c>
      <c r="O66" s="60">
        <v>0.5</v>
      </c>
      <c r="P66" s="60">
        <v>0.3</v>
      </c>
      <c r="Q66" s="60">
        <v>0.2</v>
      </c>
      <c r="R66" s="60">
        <v>0.2</v>
      </c>
      <c r="S66" s="60">
        <v>0.2</v>
      </c>
      <c r="T66" s="60">
        <v>0.2</v>
      </c>
    </row>
    <row r="67" spans="1:21">
      <c r="A67" s="43" t="s">
        <v>65</v>
      </c>
      <c r="B67" s="59">
        <f>B46/SUM(B8:B9)</f>
        <v>1.8239575515333461E-2</v>
      </c>
      <c r="C67" s="247">
        <f>C46/SUM(C8:C9)</f>
        <v>1.3020519374050589E-2</v>
      </c>
      <c r="D67" s="295">
        <f>D46/SUM(D8:D9)</f>
        <v>6.6413312179463523E-3</v>
      </c>
      <c r="E67" s="166">
        <v>0.01</v>
      </c>
      <c r="F67" s="165">
        <v>0.01</v>
      </c>
      <c r="G67" s="60">
        <f>(D67*2+E67+F67)/4</f>
        <v>8.3206656089731771E-3</v>
      </c>
      <c r="H67" s="60">
        <v>0.05</v>
      </c>
      <c r="I67" s="60">
        <v>0.08</v>
      </c>
      <c r="J67" s="60">
        <v>0.1</v>
      </c>
      <c r="K67" s="60">
        <v>0.1</v>
      </c>
      <c r="L67" s="60">
        <v>0.1</v>
      </c>
      <c r="M67" s="60">
        <v>0.1</v>
      </c>
      <c r="N67" s="60">
        <v>0.1</v>
      </c>
      <c r="O67" s="60">
        <v>0.1</v>
      </c>
      <c r="P67" s="60">
        <v>0.1</v>
      </c>
      <c r="Q67" s="60">
        <v>0.1</v>
      </c>
      <c r="R67" s="60">
        <v>0.1</v>
      </c>
      <c r="S67" s="60">
        <v>0.1</v>
      </c>
      <c r="T67" s="60">
        <v>0.1</v>
      </c>
    </row>
    <row r="68" spans="1:21">
      <c r="A68" s="43"/>
      <c r="B68" s="59"/>
      <c r="C68" s="59"/>
      <c r="D68" s="243"/>
      <c r="E68" s="164"/>
      <c r="F68" s="163"/>
      <c r="G68" s="59"/>
      <c r="H68" s="59"/>
      <c r="I68" s="59"/>
      <c r="J68" s="59"/>
      <c r="K68" s="59"/>
      <c r="L68" s="59"/>
      <c r="M68" s="59"/>
      <c r="N68" s="59"/>
      <c r="O68" s="59"/>
      <c r="P68" s="59"/>
      <c r="Q68" s="59"/>
      <c r="R68" s="59"/>
      <c r="S68" s="59"/>
      <c r="T68" s="59"/>
    </row>
    <row r="69" spans="1:21">
      <c r="A69" s="43" t="s">
        <v>66</v>
      </c>
      <c r="B69" s="60">
        <v>0</v>
      </c>
      <c r="C69" s="60">
        <v>0</v>
      </c>
      <c r="D69" s="244"/>
      <c r="E69" s="166"/>
      <c r="F69" s="165"/>
      <c r="G69" s="60">
        <v>0</v>
      </c>
      <c r="H69" s="60">
        <v>0</v>
      </c>
      <c r="I69" s="60">
        <v>0</v>
      </c>
      <c r="J69" s="60">
        <v>0</v>
      </c>
      <c r="K69" s="60">
        <v>0</v>
      </c>
      <c r="L69" s="60">
        <v>0</v>
      </c>
      <c r="M69" s="60">
        <v>0</v>
      </c>
      <c r="N69" s="60">
        <v>0</v>
      </c>
      <c r="O69" s="60">
        <v>0</v>
      </c>
      <c r="P69" s="60">
        <v>0</v>
      </c>
      <c r="Q69" s="60">
        <v>0</v>
      </c>
      <c r="R69" s="60">
        <v>0.05</v>
      </c>
      <c r="S69" s="60">
        <v>0.15</v>
      </c>
      <c r="T69" s="60">
        <v>0.22</v>
      </c>
    </row>
    <row r="70" spans="1:21" ht="5.25" customHeight="1">
      <c r="A70" s="54"/>
      <c r="B70" s="61"/>
      <c r="C70" s="61"/>
      <c r="D70" s="245"/>
      <c r="E70" s="168"/>
      <c r="F70" s="167"/>
      <c r="G70" s="61"/>
      <c r="H70" s="61"/>
      <c r="I70" s="61"/>
      <c r="J70" s="61"/>
      <c r="K70" s="61"/>
      <c r="L70" s="61"/>
      <c r="M70" s="61"/>
      <c r="N70" s="61"/>
      <c r="O70" s="61"/>
      <c r="P70" s="61"/>
      <c r="Q70" s="61"/>
      <c r="R70" s="61"/>
      <c r="S70" s="61"/>
      <c r="T70" s="61"/>
    </row>
    <row r="72" spans="1:21">
      <c r="A72" s="57" t="s">
        <v>67</v>
      </c>
      <c r="B72" s="58">
        <f t="shared" ref="B72:T72" si="31">B$1</f>
        <v>2023</v>
      </c>
      <c r="C72" s="58">
        <f t="shared" si="31"/>
        <v>2024</v>
      </c>
      <c r="D72" s="246" t="str">
        <f>D1</f>
        <v>1H25</v>
      </c>
      <c r="E72" s="162" t="str">
        <f>E1</f>
        <v>3Q25</v>
      </c>
      <c r="F72" s="161" t="str">
        <f>F1</f>
        <v>4Q25E</v>
      </c>
      <c r="G72" s="58" t="str">
        <f t="shared" si="31"/>
        <v>2025E</v>
      </c>
      <c r="H72" s="58" t="str">
        <f t="shared" si="31"/>
        <v>2026E</v>
      </c>
      <c r="I72" s="58" t="str">
        <f t="shared" si="31"/>
        <v>2027E</v>
      </c>
      <c r="J72" s="58" t="str">
        <f t="shared" si="31"/>
        <v>2028E</v>
      </c>
      <c r="K72" s="58" t="str">
        <f t="shared" si="31"/>
        <v>2029E</v>
      </c>
      <c r="L72" s="58" t="str">
        <f t="shared" si="31"/>
        <v>2030E</v>
      </c>
      <c r="M72" s="58" t="str">
        <f t="shared" si="31"/>
        <v>2031E</v>
      </c>
      <c r="N72" s="58" t="str">
        <f t="shared" si="31"/>
        <v>2032E</v>
      </c>
      <c r="O72" s="58" t="str">
        <f t="shared" si="31"/>
        <v>2033E</v>
      </c>
      <c r="P72" s="58" t="str">
        <f t="shared" si="31"/>
        <v>2034E</v>
      </c>
      <c r="Q72" s="58" t="str">
        <f t="shared" si="31"/>
        <v>2035E</v>
      </c>
      <c r="R72" s="58" t="str">
        <f t="shared" si="31"/>
        <v>2036E</v>
      </c>
      <c r="S72" s="58" t="str">
        <f t="shared" si="31"/>
        <v>2037E</v>
      </c>
      <c r="T72" s="58" t="str">
        <f t="shared" si="31"/>
        <v>2038E</v>
      </c>
    </row>
    <row r="73" spans="1:21">
      <c r="A73" s="43" t="s">
        <v>68</v>
      </c>
      <c r="B73" s="59" t="str">
        <f>IFERROR(B2/#REF!-1,"--")</f>
        <v>--</v>
      </c>
      <c r="C73" s="59" t="str">
        <f>IFERROR(C2/B2-1,"--")</f>
        <v>--</v>
      </c>
      <c r="D73" s="243"/>
      <c r="E73" s="164"/>
      <c r="F73" s="163"/>
      <c r="G73" s="59" t="str">
        <f>IFERROR(G2/C2-1,"--")</f>
        <v>--</v>
      </c>
      <c r="H73" s="59" t="str">
        <f t="shared" ref="H73:T73" si="32">IFERROR(H2/G2-1,"--")</f>
        <v>--</v>
      </c>
      <c r="I73" s="59" t="str">
        <f t="shared" si="32"/>
        <v>--</v>
      </c>
      <c r="J73" s="59" t="str">
        <f t="shared" si="32"/>
        <v>--</v>
      </c>
      <c r="K73" s="59" t="str">
        <f t="shared" si="32"/>
        <v>--</v>
      </c>
      <c r="L73" s="59" t="str">
        <f t="shared" si="32"/>
        <v>--</v>
      </c>
      <c r="M73" s="59" t="str">
        <f t="shared" si="32"/>
        <v>--</v>
      </c>
      <c r="N73" s="59">
        <f t="shared" si="32"/>
        <v>4.2192764625281933</v>
      </c>
      <c r="O73" s="59">
        <f t="shared" si="32"/>
        <v>1.3646407996537806</v>
      </c>
      <c r="P73" s="59">
        <f t="shared" si="32"/>
        <v>0.81740685495188536</v>
      </c>
      <c r="Q73" s="59">
        <f t="shared" si="32"/>
        <v>0.46213824278141447</v>
      </c>
      <c r="R73" s="59">
        <f t="shared" si="32"/>
        <v>0.29187616804387706</v>
      </c>
      <c r="S73" s="59">
        <f t="shared" si="32"/>
        <v>0.29416559624512573</v>
      </c>
      <c r="T73" s="59">
        <f t="shared" si="32"/>
        <v>0.17779002431046509</v>
      </c>
    </row>
    <row r="74" spans="1:21">
      <c r="A74" s="43" t="s">
        <v>69</v>
      </c>
      <c r="B74" s="59" t="str">
        <f>IFERROR(B7/#REF!-1,"--")</f>
        <v>--</v>
      </c>
      <c r="C74" s="59" t="str">
        <f>IFERROR(C7/B7-1,"--")</f>
        <v>--</v>
      </c>
      <c r="D74" s="243"/>
      <c r="E74" s="164"/>
      <c r="F74" s="163"/>
      <c r="G74" s="59" t="str">
        <f>IFERROR(G7/C7-1,"--")</f>
        <v>--</v>
      </c>
      <c r="H74" s="59" t="str">
        <f t="shared" ref="H74:T74" si="33">IFERROR(H7/G7-1,"--")</f>
        <v>--</v>
      </c>
      <c r="I74" s="59" t="str">
        <f t="shared" si="33"/>
        <v>--</v>
      </c>
      <c r="J74" s="59" t="str">
        <f t="shared" si="33"/>
        <v>--</v>
      </c>
      <c r="K74" s="59" t="str">
        <f t="shared" si="33"/>
        <v>--</v>
      </c>
      <c r="L74" s="59" t="str">
        <f t="shared" si="33"/>
        <v>--</v>
      </c>
      <c r="M74" s="59" t="str">
        <f t="shared" si="33"/>
        <v>--</v>
      </c>
      <c r="N74" s="59">
        <f t="shared" si="33"/>
        <v>4.2192764625281933</v>
      </c>
      <c r="O74" s="59">
        <f t="shared" si="33"/>
        <v>1.3646407996537806</v>
      </c>
      <c r="P74" s="59">
        <f t="shared" si="33"/>
        <v>0.81740685495188536</v>
      </c>
      <c r="Q74" s="59">
        <f t="shared" si="33"/>
        <v>0.46213824278141447</v>
      </c>
      <c r="R74" s="59">
        <f t="shared" si="33"/>
        <v>0.29187616804387706</v>
      </c>
      <c r="S74" s="59">
        <f t="shared" si="33"/>
        <v>0.29416559624512573</v>
      </c>
      <c r="T74" s="59">
        <f t="shared" si="33"/>
        <v>0.17779002431046509</v>
      </c>
    </row>
    <row r="75" spans="1:21">
      <c r="A75" s="43" t="s">
        <v>70</v>
      </c>
      <c r="B75" s="59" t="str">
        <f>IFERROR(B8/#REF!-1,"--")</f>
        <v>--</v>
      </c>
      <c r="C75" s="59">
        <f>IFERROR(C8/B8-1,"--")</f>
        <v>0.37912087912087911</v>
      </c>
      <c r="D75" s="243"/>
      <c r="E75" s="164"/>
      <c r="F75" s="163"/>
      <c r="G75" s="59">
        <f>IFERROR(G8/C8-1,"--")</f>
        <v>0.51375450578637838</v>
      </c>
      <c r="H75" s="59">
        <f t="shared" ref="H75:T75" si="34">IFERROR(H8/G8-1,"--")</f>
        <v>0.15688297164672638</v>
      </c>
      <c r="I75" s="59">
        <f t="shared" si="34"/>
        <v>0</v>
      </c>
      <c r="J75" s="59">
        <f t="shared" si="34"/>
        <v>0</v>
      </c>
      <c r="K75" s="59">
        <f t="shared" si="34"/>
        <v>8.3333333333333259E-2</v>
      </c>
      <c r="L75" s="59">
        <f t="shared" si="34"/>
        <v>7.6923076923076872E-2</v>
      </c>
      <c r="M75" s="59">
        <f t="shared" si="34"/>
        <v>-0.3571428571428571</v>
      </c>
      <c r="N75" s="59">
        <f t="shared" si="34"/>
        <v>0</v>
      </c>
      <c r="O75" s="59">
        <f t="shared" si="34"/>
        <v>5.555555555555558E-2</v>
      </c>
      <c r="P75" s="59">
        <f t="shared" si="34"/>
        <v>9.9918558229914911E-2</v>
      </c>
      <c r="Q75" s="59">
        <f t="shared" si="34"/>
        <v>-0.12271705433115132</v>
      </c>
      <c r="R75" s="59">
        <f t="shared" si="34"/>
        <v>-0.13874922130408196</v>
      </c>
      <c r="S75" s="59">
        <f t="shared" si="34"/>
        <v>7.8471330204271439E-2</v>
      </c>
      <c r="T75" s="59">
        <f t="shared" si="34"/>
        <v>6.0011021879418536E-2</v>
      </c>
    </row>
    <row r="76" spans="1:21">
      <c r="A76" s="43" t="s">
        <v>71</v>
      </c>
      <c r="B76" s="59" t="str">
        <f>IFERROR(B9/#REF!-1,"--")</f>
        <v>--</v>
      </c>
      <c r="C76" s="59">
        <f>IFERROR(C9/B9-1,"--")</f>
        <v>0.89601682660707249</v>
      </c>
      <c r="D76" s="243"/>
      <c r="E76" s="164"/>
      <c r="F76" s="163"/>
      <c r="G76" s="59">
        <f>IFERROR(G9/C9-1,"--")</f>
        <v>0.17707827775081464</v>
      </c>
      <c r="H76" s="59">
        <f t="shared" ref="H76:T76" si="35">IFERROR(H9/G9-1,"--")</f>
        <v>0.17806444012487477</v>
      </c>
      <c r="I76" s="59">
        <f t="shared" si="35"/>
        <v>0.5</v>
      </c>
      <c r="J76" s="59">
        <f t="shared" si="35"/>
        <v>0.33333333333333326</v>
      </c>
      <c r="K76" s="59">
        <f t="shared" si="35"/>
        <v>0.25</v>
      </c>
      <c r="L76" s="59">
        <f t="shared" si="35"/>
        <v>0.19999999999999996</v>
      </c>
      <c r="M76" s="59">
        <f t="shared" si="35"/>
        <v>0.41666666666666674</v>
      </c>
      <c r="N76" s="59">
        <f t="shared" si="35"/>
        <v>0.41176470588235303</v>
      </c>
      <c r="O76" s="59">
        <f t="shared" si="35"/>
        <v>-0.20145484923009926</v>
      </c>
      <c r="P76" s="59">
        <f t="shared" si="35"/>
        <v>9.0444112971131085E-2</v>
      </c>
      <c r="Q76" s="59">
        <f t="shared" si="35"/>
        <v>-2.5241171479056912E-2</v>
      </c>
      <c r="R76" s="59">
        <f t="shared" si="35"/>
        <v>0.29187616804387706</v>
      </c>
      <c r="S76" s="59">
        <f t="shared" si="35"/>
        <v>0.29416559624512573</v>
      </c>
      <c r="T76" s="59">
        <f t="shared" si="35"/>
        <v>0.17779002431046509</v>
      </c>
    </row>
    <row r="77" spans="1:21" ht="3.75" customHeight="1">
      <c r="A77" s="54" t="s">
        <v>72</v>
      </c>
      <c r="B77" s="61"/>
      <c r="C77" s="61"/>
      <c r="D77" s="245"/>
      <c r="E77" s="168"/>
      <c r="F77" s="167"/>
      <c r="G77" s="61"/>
      <c r="H77" s="61"/>
      <c r="I77" s="61"/>
      <c r="J77" s="61"/>
      <c r="K77" s="61"/>
      <c r="L77" s="61"/>
      <c r="M77" s="61"/>
      <c r="N77" s="61"/>
      <c r="O77" s="61"/>
      <c r="P77" s="61"/>
      <c r="Q77" s="61"/>
      <c r="R77" s="101"/>
      <c r="S77" s="137"/>
      <c r="T77" s="137"/>
      <c r="U77" s="99"/>
    </row>
    <row r="79" spans="1:21" hidden="1">
      <c r="A79" s="57" t="s">
        <v>73</v>
      </c>
      <c r="B79" s="58">
        <f t="shared" ref="B79:Q79" si="36">B$1</f>
        <v>2023</v>
      </c>
      <c r="C79" s="58">
        <f t="shared" si="36"/>
        <v>2024</v>
      </c>
      <c r="D79" s="58"/>
      <c r="E79" s="58"/>
      <c r="F79" s="58"/>
      <c r="G79" s="58" t="str">
        <f t="shared" si="36"/>
        <v>2025E</v>
      </c>
      <c r="H79" s="58" t="str">
        <f t="shared" si="36"/>
        <v>2026E</v>
      </c>
      <c r="I79" s="58" t="str">
        <f t="shared" si="36"/>
        <v>2027E</v>
      </c>
      <c r="J79" s="58" t="str">
        <f t="shared" si="36"/>
        <v>2028E</v>
      </c>
      <c r="K79" s="58" t="str">
        <f t="shared" si="36"/>
        <v>2029E</v>
      </c>
      <c r="L79" s="58" t="str">
        <f t="shared" si="36"/>
        <v>2030E</v>
      </c>
      <c r="M79" s="58" t="str">
        <f t="shared" si="36"/>
        <v>2031E</v>
      </c>
      <c r="N79" s="58" t="str">
        <f t="shared" si="36"/>
        <v>2032E</v>
      </c>
      <c r="O79" s="58" t="str">
        <f t="shared" si="36"/>
        <v>2033E</v>
      </c>
      <c r="P79" s="58" t="str">
        <f t="shared" si="36"/>
        <v>2034E</v>
      </c>
      <c r="Q79" s="58" t="str">
        <f t="shared" si="36"/>
        <v>2035E</v>
      </c>
    </row>
    <row r="80" spans="1:21" hidden="1">
      <c r="A80" s="12" t="s">
        <v>53</v>
      </c>
      <c r="B80" s="45"/>
      <c r="C80" s="46"/>
      <c r="D80" s="46"/>
      <c r="E80" s="46"/>
      <c r="F80" s="46"/>
      <c r="G80" s="46"/>
      <c r="H80" s="46"/>
      <c r="I80" s="46"/>
      <c r="J80" s="46"/>
      <c r="K80" s="46"/>
      <c r="L80" s="46"/>
      <c r="M80" s="45"/>
      <c r="N80" s="45"/>
      <c r="O80" s="45"/>
      <c r="P80" s="45"/>
      <c r="Q80" s="45"/>
    </row>
    <row r="81" spans="1:20" hidden="1">
      <c r="A81" s="50" t="s">
        <v>54</v>
      </c>
      <c r="B81" s="62"/>
      <c r="C81" s="63"/>
      <c r="D81" s="63"/>
      <c r="E81" s="63"/>
      <c r="F81" s="63"/>
      <c r="G81" s="63"/>
      <c r="H81" s="63"/>
      <c r="I81" s="63"/>
      <c r="J81" s="63"/>
      <c r="K81" s="63"/>
      <c r="L81" s="63"/>
      <c r="M81" s="62"/>
      <c r="N81" s="62"/>
      <c r="O81" s="62"/>
      <c r="P81" s="62"/>
      <c r="Q81" s="62"/>
    </row>
    <row r="82" spans="1:20" hidden="1">
      <c r="A82" s="50" t="s">
        <v>55</v>
      </c>
      <c r="B82" s="64"/>
      <c r="C82" s="65"/>
      <c r="D82" s="65"/>
      <c r="E82" s="65"/>
      <c r="F82" s="65"/>
      <c r="G82" s="65"/>
      <c r="H82" s="65"/>
      <c r="I82" s="65"/>
      <c r="J82" s="65"/>
      <c r="K82" s="65"/>
      <c r="L82" s="65"/>
      <c r="M82" s="64"/>
      <c r="N82" s="64"/>
      <c r="O82" s="64"/>
      <c r="P82" s="64"/>
      <c r="Q82" s="64"/>
    </row>
    <row r="83" spans="1:20" hidden="1">
      <c r="A83" s="50" t="s">
        <v>56</v>
      </c>
      <c r="B83" s="62"/>
      <c r="C83" s="63"/>
      <c r="D83" s="63"/>
      <c r="E83" s="63"/>
      <c r="F83" s="63"/>
      <c r="G83" s="63"/>
      <c r="H83" s="63"/>
      <c r="I83" s="63"/>
      <c r="J83" s="63"/>
      <c r="K83" s="63"/>
      <c r="L83" s="63"/>
      <c r="M83" s="62"/>
      <c r="N83" s="62"/>
      <c r="O83" s="62"/>
      <c r="P83" s="62"/>
      <c r="Q83" s="62"/>
    </row>
    <row r="84" spans="1:20" hidden="1">
      <c r="A84" s="50" t="s">
        <v>57</v>
      </c>
      <c r="B84" s="62"/>
      <c r="C84" s="63"/>
      <c r="D84" s="63"/>
      <c r="E84" s="63"/>
      <c r="F84" s="63"/>
      <c r="G84" s="63"/>
      <c r="H84" s="63"/>
      <c r="I84" s="63"/>
      <c r="J84" s="63"/>
      <c r="K84" s="63"/>
      <c r="L84" s="63"/>
      <c r="M84" s="62"/>
      <c r="N84" s="62"/>
      <c r="O84" s="62"/>
      <c r="P84" s="62"/>
      <c r="Q84" s="62"/>
    </row>
    <row r="85" spans="1:20" ht="5.0999999999999996" hidden="1" customHeight="1">
      <c r="A85" s="13"/>
      <c r="B85" s="18"/>
      <c r="C85" s="18"/>
      <c r="D85" s="18"/>
      <c r="E85" s="18"/>
      <c r="F85" s="18"/>
      <c r="G85" s="18"/>
      <c r="H85" s="18"/>
      <c r="I85" s="18"/>
      <c r="J85" s="18"/>
      <c r="K85" s="18"/>
      <c r="L85" s="18"/>
      <c r="M85" s="18"/>
      <c r="N85" s="18"/>
      <c r="O85" s="18"/>
      <c r="P85" s="18"/>
      <c r="Q85" s="18"/>
    </row>
    <row r="86" spans="1:20" hidden="1">
      <c r="A86" s="12" t="s">
        <v>58</v>
      </c>
      <c r="B86" s="66"/>
      <c r="C86" s="67"/>
      <c r="D86" s="67"/>
      <c r="E86" s="67"/>
      <c r="F86" s="67"/>
      <c r="G86" s="67"/>
      <c r="H86" s="67"/>
      <c r="I86" s="67"/>
      <c r="J86" s="67"/>
      <c r="K86" s="67"/>
      <c r="L86" s="67"/>
      <c r="M86" s="66"/>
      <c r="N86" s="66"/>
      <c r="O86" s="66"/>
      <c r="P86" s="66"/>
      <c r="Q86" s="66"/>
      <c r="T86" s="47"/>
    </row>
    <row r="87" spans="1:20" hidden="1">
      <c r="A87" s="50" t="s">
        <v>59</v>
      </c>
      <c r="B87" s="62"/>
      <c r="C87" s="63"/>
      <c r="D87" s="63"/>
      <c r="E87" s="63"/>
      <c r="F87" s="63"/>
      <c r="G87" s="63"/>
      <c r="H87" s="63"/>
      <c r="I87" s="63"/>
      <c r="J87" s="63"/>
      <c r="K87" s="63"/>
      <c r="L87" s="63"/>
      <c r="M87" s="62"/>
      <c r="N87" s="62"/>
      <c r="O87" s="62"/>
      <c r="P87" s="62"/>
      <c r="Q87" s="62"/>
      <c r="T87" s="47"/>
    </row>
    <row r="88" spans="1:20" hidden="1">
      <c r="A88" s="50" t="s">
        <v>57</v>
      </c>
      <c r="B88" s="62"/>
      <c r="C88" s="63"/>
      <c r="D88" s="63"/>
      <c r="E88" s="63"/>
      <c r="F88" s="63"/>
      <c r="G88" s="63"/>
      <c r="H88" s="63"/>
      <c r="I88" s="63"/>
      <c r="J88" s="63"/>
      <c r="K88" s="63"/>
      <c r="L88" s="63"/>
      <c r="M88" s="62"/>
      <c r="N88" s="62"/>
      <c r="O88" s="62"/>
      <c r="P88" s="62"/>
      <c r="Q88" s="62"/>
    </row>
    <row r="89" spans="1:20" ht="5.0999999999999996" hidden="1" customHeight="1">
      <c r="A89" s="13"/>
      <c r="B89" s="18"/>
      <c r="C89" s="18"/>
      <c r="D89" s="18"/>
      <c r="E89" s="18"/>
      <c r="F89" s="18"/>
      <c r="G89" s="18"/>
      <c r="H89" s="18"/>
      <c r="I89" s="18"/>
      <c r="J89" s="18"/>
      <c r="K89" s="18"/>
      <c r="L89" s="18"/>
      <c r="M89" s="18"/>
      <c r="N89" s="18"/>
      <c r="O89" s="18"/>
      <c r="P89" s="18"/>
      <c r="Q89" s="18"/>
    </row>
    <row r="90" spans="1:20" hidden="1">
      <c r="A90" s="12" t="s">
        <v>60</v>
      </c>
      <c r="B90" s="66"/>
      <c r="C90" s="67"/>
      <c r="D90" s="67"/>
      <c r="E90" s="67"/>
      <c r="F90" s="67"/>
      <c r="G90" s="67"/>
      <c r="H90" s="67"/>
      <c r="I90" s="67"/>
      <c r="J90" s="67"/>
      <c r="K90" s="67"/>
      <c r="L90" s="67"/>
      <c r="M90" s="66"/>
      <c r="N90" s="66"/>
      <c r="O90" s="66"/>
      <c r="P90" s="66"/>
      <c r="Q90" s="66"/>
    </row>
    <row r="91" spans="1:20" hidden="1">
      <c r="A91" s="50" t="s">
        <v>61</v>
      </c>
      <c r="B91" s="62"/>
      <c r="C91" s="63"/>
      <c r="D91" s="63"/>
      <c r="E91" s="63"/>
      <c r="F91" s="63"/>
      <c r="G91" s="63"/>
      <c r="H91" s="63"/>
      <c r="I91" s="63"/>
      <c r="J91" s="63"/>
      <c r="K91" s="63"/>
      <c r="L91" s="63"/>
      <c r="M91" s="62"/>
      <c r="N91" s="62"/>
      <c r="O91" s="62"/>
      <c r="P91" s="62"/>
      <c r="Q91" s="62"/>
    </row>
    <row r="92" spans="1:20" hidden="1">
      <c r="A92" s="50" t="s">
        <v>62</v>
      </c>
      <c r="B92" s="62"/>
      <c r="C92" s="63"/>
      <c r="D92" s="63"/>
      <c r="E92" s="63"/>
      <c r="F92" s="63"/>
      <c r="G92" s="63"/>
      <c r="H92" s="63"/>
      <c r="I92" s="63"/>
      <c r="J92" s="63"/>
      <c r="K92" s="63"/>
      <c r="L92" s="63"/>
      <c r="M92" s="62"/>
      <c r="N92" s="62"/>
      <c r="O92" s="62"/>
      <c r="P92" s="62"/>
      <c r="Q92" s="62"/>
    </row>
    <row r="93" spans="1:20" hidden="1">
      <c r="A93" s="50" t="s">
        <v>63</v>
      </c>
      <c r="B93" s="62"/>
      <c r="C93" s="63"/>
      <c r="D93" s="63"/>
      <c r="E93" s="63"/>
      <c r="F93" s="63"/>
      <c r="G93" s="63"/>
      <c r="H93" s="63"/>
      <c r="I93" s="63"/>
      <c r="J93" s="63"/>
      <c r="K93" s="63"/>
      <c r="L93" s="63"/>
      <c r="M93" s="62"/>
      <c r="N93" s="62"/>
      <c r="O93" s="62"/>
      <c r="P93" s="62"/>
      <c r="Q93" s="62"/>
      <c r="T93" s="19"/>
    </row>
    <row r="94" spans="1:20" hidden="1">
      <c r="A94" s="50" t="s">
        <v>57</v>
      </c>
      <c r="B94" s="62"/>
      <c r="C94" s="63"/>
      <c r="D94" s="63"/>
      <c r="E94" s="63"/>
      <c r="F94" s="63"/>
      <c r="G94" s="63"/>
      <c r="H94" s="63"/>
      <c r="I94" s="63"/>
      <c r="J94" s="63"/>
      <c r="K94" s="63"/>
      <c r="L94" s="63"/>
      <c r="M94" s="62"/>
      <c r="N94" s="62"/>
      <c r="O94" s="62"/>
      <c r="P94" s="62"/>
      <c r="Q94" s="62"/>
    </row>
    <row r="95" spans="1:20" ht="12" hidden="1" customHeight="1">
      <c r="A95" s="13"/>
      <c r="B95" s="62"/>
      <c r="C95" s="63"/>
      <c r="D95" s="63"/>
      <c r="E95" s="63"/>
      <c r="F95" s="63"/>
      <c r="G95" s="63"/>
      <c r="H95" s="63"/>
      <c r="I95" s="63"/>
      <c r="J95" s="63"/>
      <c r="K95" s="63"/>
      <c r="L95" s="63"/>
      <c r="M95" s="62"/>
      <c r="N95" s="62"/>
      <c r="O95" s="62"/>
      <c r="P95" s="62"/>
      <c r="Q95" s="62"/>
    </row>
    <row r="96" spans="1:20" ht="12" hidden="1" customHeight="1" outlineLevel="1">
      <c r="A96" s="68" t="s">
        <v>74</v>
      </c>
      <c r="B96" s="69"/>
      <c r="C96" s="70"/>
      <c r="D96" s="70"/>
      <c r="E96" s="70"/>
      <c r="F96" s="70"/>
      <c r="G96" s="70"/>
      <c r="H96" s="70"/>
      <c r="I96" s="70"/>
      <c r="J96" s="70"/>
      <c r="K96" s="70"/>
      <c r="L96" s="70"/>
      <c r="M96" s="69"/>
      <c r="N96" s="69"/>
      <c r="O96" s="69"/>
      <c r="P96" s="69"/>
      <c r="Q96" s="69"/>
    </row>
    <row r="97" spans="1:17" ht="12" hidden="1" customHeight="1" outlineLevel="1">
      <c r="A97" s="71" t="s">
        <v>75</v>
      </c>
      <c r="B97" s="69"/>
      <c r="C97" s="70"/>
      <c r="D97" s="70"/>
      <c r="E97" s="70"/>
      <c r="F97" s="70"/>
      <c r="G97" s="70"/>
      <c r="H97" s="70"/>
      <c r="I97" s="70"/>
      <c r="J97" s="70"/>
      <c r="K97" s="70"/>
      <c r="L97" s="70"/>
      <c r="M97" s="69"/>
      <c r="N97" s="69"/>
      <c r="O97" s="69"/>
      <c r="P97" s="69"/>
      <c r="Q97" s="69"/>
    </row>
    <row r="98" spans="1:17" ht="12" hidden="1" customHeight="1" outlineLevel="1">
      <c r="A98" s="71" t="s">
        <v>76</v>
      </c>
      <c r="B98" s="69"/>
      <c r="C98" s="70"/>
      <c r="D98" s="70"/>
      <c r="E98" s="70"/>
      <c r="F98" s="70"/>
      <c r="G98" s="70"/>
      <c r="H98" s="70"/>
      <c r="I98" s="70"/>
      <c r="J98" s="70"/>
      <c r="K98" s="70"/>
      <c r="L98" s="70"/>
      <c r="M98" s="69"/>
      <c r="N98" s="69"/>
      <c r="O98" s="69"/>
      <c r="P98" s="69"/>
      <c r="Q98" s="69"/>
    </row>
    <row r="99" spans="1:17" ht="12" hidden="1" customHeight="1" outlineLevel="1">
      <c r="A99" s="71" t="s">
        <v>77</v>
      </c>
      <c r="B99" s="69"/>
      <c r="C99" s="70"/>
      <c r="D99" s="70"/>
      <c r="E99" s="70"/>
      <c r="F99" s="70"/>
      <c r="G99" s="70"/>
      <c r="H99" s="70"/>
      <c r="I99" s="70"/>
      <c r="J99" s="70"/>
      <c r="K99" s="70"/>
      <c r="L99" s="70"/>
      <c r="M99" s="69"/>
      <c r="N99" s="69"/>
      <c r="O99" s="69"/>
      <c r="P99" s="69"/>
      <c r="Q99" s="69"/>
    </row>
    <row r="100" spans="1:17" ht="12" hidden="1" customHeight="1" outlineLevel="1">
      <c r="A100" s="72"/>
      <c r="B100" s="69"/>
      <c r="C100" s="70"/>
      <c r="D100" s="70"/>
      <c r="E100" s="70"/>
      <c r="F100" s="70"/>
      <c r="G100" s="70"/>
      <c r="H100" s="70"/>
      <c r="I100" s="70"/>
      <c r="J100" s="70"/>
      <c r="K100" s="70"/>
      <c r="L100" s="70"/>
      <c r="M100" s="69"/>
      <c r="N100" s="69"/>
      <c r="O100" s="69"/>
      <c r="P100" s="69"/>
      <c r="Q100" s="69"/>
    </row>
    <row r="101" spans="1:17" s="76" customFormat="1" hidden="1">
      <c r="A101" s="73" t="s">
        <v>78</v>
      </c>
      <c r="B101" s="74"/>
      <c r="C101" s="75"/>
      <c r="D101" s="75"/>
      <c r="E101" s="75"/>
      <c r="F101" s="75"/>
      <c r="G101" s="75"/>
      <c r="H101" s="75"/>
      <c r="I101" s="75"/>
      <c r="J101" s="75"/>
      <c r="K101" s="75"/>
      <c r="L101" s="75"/>
      <c r="M101" s="74"/>
      <c r="N101" s="74"/>
      <c r="O101" s="74"/>
      <c r="P101" s="74"/>
      <c r="Q101" s="74"/>
    </row>
    <row r="102" spans="1:17" s="76" customFormat="1" hidden="1">
      <c r="A102" s="77"/>
      <c r="B102" s="78"/>
      <c r="C102" s="79"/>
      <c r="D102" s="79"/>
      <c r="E102" s="79"/>
      <c r="F102" s="79"/>
      <c r="G102" s="79"/>
      <c r="H102" s="79"/>
      <c r="I102" s="79"/>
      <c r="J102" s="79"/>
      <c r="K102" s="79"/>
      <c r="L102" s="79"/>
      <c r="M102" s="78"/>
      <c r="N102" s="78"/>
      <c r="O102" s="78"/>
      <c r="P102" s="78"/>
      <c r="Q102" s="78"/>
    </row>
  </sheetData>
  <printOptions horizontalCentered="1"/>
  <pageMargins left="0.75" right="0.75" top="2.5" bottom="1.5" header="0.3" footer="0.3"/>
  <pageSetup scale="80" orientation="portrait" horizontalDpi="90" verticalDpi="90" r:id="rId1"/>
  <ignoredErrors>
    <ignoredError sqref="G7:G8 G10" formulaRange="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77"/>
  <sheetViews>
    <sheetView showGridLines="0" tabSelected="1" view="pageBreakPreview" zoomScaleNormal="100" zoomScaleSheetLayoutView="100" workbookViewId="0">
      <selection activeCell="A10" sqref="A10"/>
    </sheetView>
  </sheetViews>
  <sheetFormatPr defaultColWidth="8.7109375" defaultRowHeight="12"/>
  <cols>
    <col min="1" max="1" width="44.42578125" style="11" customWidth="1"/>
    <col min="2" max="2" width="1.5703125" style="11" customWidth="1"/>
    <col min="3" max="3" width="14.5703125" style="11" customWidth="1"/>
    <col min="4" max="5" width="9" style="11" customWidth="1"/>
    <col min="6" max="23" width="8.7109375" style="11"/>
    <col min="24" max="24" width="8.5703125" style="11" customWidth="1"/>
    <col min="25" max="16384" width="8.7109375" style="11"/>
  </cols>
  <sheetData>
    <row r="1" spans="1:18">
      <c r="A1" s="41" t="s">
        <v>79</v>
      </c>
      <c r="B1" s="10"/>
      <c r="C1" s="10"/>
      <c r="D1" s="10" t="str">
        <f>'P&amp;L'!G1</f>
        <v>2025E</v>
      </c>
      <c r="E1" s="10" t="str">
        <f>'P&amp;L'!H1</f>
        <v>2026E</v>
      </c>
      <c r="F1" s="10" t="str">
        <f>'P&amp;L'!I1</f>
        <v>2027E</v>
      </c>
      <c r="G1" s="10" t="str">
        <f>'P&amp;L'!J1</f>
        <v>2028E</v>
      </c>
      <c r="H1" s="10" t="str">
        <f>'P&amp;L'!K1</f>
        <v>2029E</v>
      </c>
      <c r="I1" s="10" t="str">
        <f>'P&amp;L'!L1</f>
        <v>2030E</v>
      </c>
      <c r="J1" s="10" t="str">
        <f>'P&amp;L'!M1</f>
        <v>2031E</v>
      </c>
      <c r="K1" s="10" t="str">
        <f>'P&amp;L'!N1</f>
        <v>2032E</v>
      </c>
      <c r="L1" s="10" t="str">
        <f>'P&amp;L'!O1</f>
        <v>2033E</v>
      </c>
      <c r="M1" s="10" t="str">
        <f>'P&amp;L'!P1</f>
        <v>2034E</v>
      </c>
      <c r="N1" s="10" t="str">
        <f>'P&amp;L'!Q1</f>
        <v>2035E</v>
      </c>
      <c r="O1" s="10" t="str">
        <f>'P&amp;L'!R1</f>
        <v>2036E</v>
      </c>
      <c r="P1" s="10" t="str">
        <f>'P&amp;L'!S1</f>
        <v>2037E</v>
      </c>
      <c r="Q1" s="10" t="s">
        <v>22</v>
      </c>
      <c r="R1" s="10" t="s">
        <v>80</v>
      </c>
    </row>
    <row r="2" spans="1:18" ht="5.0999999999999996" customHeight="1">
      <c r="A2" s="99"/>
      <c r="R2" s="112"/>
    </row>
    <row r="3" spans="1:18">
      <c r="A3" s="99" t="s">
        <v>81</v>
      </c>
      <c r="D3" s="113">
        <f>'P&amp;L'!G44</f>
        <v>-124.30800000000004</v>
      </c>
      <c r="E3" s="113">
        <f>'P&amp;L'!H44</f>
        <v>-130.1</v>
      </c>
      <c r="F3" s="113">
        <f>'P&amp;L'!I44</f>
        <v>-135.1</v>
      </c>
      <c r="G3" s="113">
        <f>'P&amp;L'!J44</f>
        <v>-141.1</v>
      </c>
      <c r="H3" s="113">
        <f>'P&amp;L'!K44</f>
        <v>-159.1</v>
      </c>
      <c r="I3" s="113">
        <f>'P&amp;L'!L44</f>
        <v>-177.1</v>
      </c>
      <c r="J3" s="113">
        <f>'P&amp;L'!M44</f>
        <v>-140.31359145747564</v>
      </c>
      <c r="K3" s="113">
        <f>'P&amp;L'!N44</f>
        <v>-111.53528415994097</v>
      </c>
      <c r="L3" s="113">
        <f>'P&amp;L'!O44</f>
        <v>7.4758930068448262</v>
      </c>
      <c r="M3" s="113">
        <f>'P&amp;L'!P44</f>
        <v>135.25686650699978</v>
      </c>
      <c r="N3" s="113">
        <f>'P&amp;L'!Q44</f>
        <v>297.26024455799512</v>
      </c>
      <c r="O3" s="113">
        <f>'P&amp;L'!R44</f>
        <v>398.9670325743129</v>
      </c>
      <c r="P3" s="113">
        <f>'P&amp;L'!S44</f>
        <v>477.16082116622482</v>
      </c>
      <c r="Q3" s="113">
        <f>'P&amp;L'!T44</f>
        <v>524.77586569638822</v>
      </c>
      <c r="R3" s="114"/>
    </row>
    <row r="4" spans="1:18">
      <c r="A4" s="99" t="s">
        <v>82</v>
      </c>
      <c r="D4" s="113">
        <f>'P&amp;L'!G50</f>
        <v>55.266999999999982</v>
      </c>
      <c r="E4" s="113">
        <f>'P&amp;L'!H50</f>
        <v>0.2</v>
      </c>
      <c r="F4" s="113">
        <f>'P&amp;L'!I50</f>
        <v>0.2</v>
      </c>
      <c r="G4" s="113">
        <f>'P&amp;L'!J50</f>
        <v>0.2</v>
      </c>
      <c r="H4" s="113">
        <f>'P&amp;L'!K50</f>
        <v>0.2</v>
      </c>
      <c r="I4" s="113">
        <f>'P&amp;L'!L50</f>
        <v>0.2</v>
      </c>
      <c r="J4" s="113">
        <f>'P&amp;L'!M50</f>
        <v>0.2</v>
      </c>
      <c r="K4" s="113">
        <f>'P&amp;L'!N50</f>
        <v>0.2</v>
      </c>
      <c r="L4" s="113">
        <f>'P&amp;L'!O50</f>
        <v>0.2</v>
      </c>
      <c r="M4" s="113">
        <f>'P&amp;L'!P50</f>
        <v>0.2</v>
      </c>
      <c r="N4" s="113">
        <f>'P&amp;L'!Q50</f>
        <v>0.2</v>
      </c>
      <c r="O4" s="113">
        <f>'P&amp;L'!R50</f>
        <v>0.2</v>
      </c>
      <c r="P4" s="113">
        <f>'P&amp;L'!S50</f>
        <v>0.2</v>
      </c>
      <c r="Q4" s="113">
        <f>'P&amp;L'!T50</f>
        <v>0.2</v>
      </c>
      <c r="R4" s="114"/>
    </row>
    <row r="5" spans="1:18">
      <c r="A5" s="99" t="s">
        <v>83</v>
      </c>
      <c r="D5" s="113">
        <f>'P&amp;L'!G56</f>
        <v>0</v>
      </c>
      <c r="E5" s="113">
        <f>'P&amp;L'!H56</f>
        <v>0</v>
      </c>
      <c r="F5" s="113">
        <f>'P&amp;L'!I56</f>
        <v>0</v>
      </c>
      <c r="G5" s="113">
        <f>'P&amp;L'!J56</f>
        <v>0</v>
      </c>
      <c r="H5" s="113">
        <f>'P&amp;L'!K56</f>
        <v>0</v>
      </c>
      <c r="I5" s="113">
        <f>'P&amp;L'!L56</f>
        <v>0</v>
      </c>
      <c r="J5" s="113">
        <f>'P&amp;L'!M56</f>
        <v>0</v>
      </c>
      <c r="K5" s="113">
        <f>'P&amp;L'!N56</f>
        <v>0</v>
      </c>
      <c r="L5" s="113">
        <f>'P&amp;L'!O56</f>
        <v>0</v>
      </c>
      <c r="M5" s="113">
        <f>'P&amp;L'!P56</f>
        <v>0</v>
      </c>
      <c r="N5" s="113">
        <f>'P&amp;L'!Q56</f>
        <v>0</v>
      </c>
      <c r="O5" s="113">
        <f>'P&amp;L'!R56</f>
        <v>0</v>
      </c>
      <c r="P5" s="113">
        <f>'P&amp;L'!S56</f>
        <v>0</v>
      </c>
      <c r="Q5" s="113">
        <f>'P&amp;L'!T56</f>
        <v>0</v>
      </c>
      <c r="R5" s="114"/>
    </row>
    <row r="6" spans="1:18" ht="5.0999999999999996" customHeight="1">
      <c r="A6" s="99"/>
      <c r="R6" s="112"/>
    </row>
    <row r="7" spans="1:18">
      <c r="A7" s="115" t="s">
        <v>84</v>
      </c>
      <c r="B7" s="116"/>
      <c r="C7" s="116"/>
      <c r="D7" s="117">
        <f t="shared" ref="D7:I7" si="0">SUM(D3:D5)</f>
        <v>-69.041000000000054</v>
      </c>
      <c r="E7" s="117">
        <f t="shared" si="0"/>
        <v>-129.9</v>
      </c>
      <c r="F7" s="117">
        <f t="shared" si="0"/>
        <v>-134.9</v>
      </c>
      <c r="G7" s="117">
        <f t="shared" si="0"/>
        <v>-140.9</v>
      </c>
      <c r="H7" s="117">
        <f t="shared" si="0"/>
        <v>-158.9</v>
      </c>
      <c r="I7" s="117">
        <f t="shared" si="0"/>
        <v>-176.9</v>
      </c>
      <c r="J7" s="117">
        <f t="shared" ref="J7:Q7" si="1">SUM(J3:J5)</f>
        <v>-140.11359145747565</v>
      </c>
      <c r="K7" s="117">
        <f t="shared" si="1"/>
        <v>-111.33528415994097</v>
      </c>
      <c r="L7" s="117">
        <f t="shared" si="1"/>
        <v>7.6758930068448263</v>
      </c>
      <c r="M7" s="117">
        <f t="shared" si="1"/>
        <v>135.45686650699977</v>
      </c>
      <c r="N7" s="117">
        <f t="shared" si="1"/>
        <v>297.46024455799511</v>
      </c>
      <c r="O7" s="117">
        <f t="shared" si="1"/>
        <v>399.16703257431288</v>
      </c>
      <c r="P7" s="117">
        <f t="shared" si="1"/>
        <v>477.36082116622481</v>
      </c>
      <c r="Q7" s="117">
        <f t="shared" si="1"/>
        <v>524.97586569638827</v>
      </c>
      <c r="R7" s="118">
        <f>Q7*(1+C20)/(C19-C20)</f>
        <v>4772.5078699671658</v>
      </c>
    </row>
    <row r="8" spans="1:18" ht="5.0999999999999996" customHeight="1">
      <c r="A8" s="99"/>
      <c r="R8" s="112"/>
    </row>
    <row r="9" spans="1:18">
      <c r="A9" s="119" t="s">
        <v>85</v>
      </c>
      <c r="B9" s="76"/>
      <c r="C9" s="76"/>
      <c r="D9" s="120">
        <v>0</v>
      </c>
      <c r="E9" s="120">
        <f t="shared" ref="E9:J9" si="2">D9+1</f>
        <v>1</v>
      </c>
      <c r="F9" s="120">
        <f t="shared" si="2"/>
        <v>2</v>
      </c>
      <c r="G9" s="120">
        <f t="shared" si="2"/>
        <v>3</v>
      </c>
      <c r="H9" s="120">
        <f t="shared" si="2"/>
        <v>4</v>
      </c>
      <c r="I9" s="120">
        <f t="shared" si="2"/>
        <v>5</v>
      </c>
      <c r="J9" s="120">
        <f t="shared" si="2"/>
        <v>6</v>
      </c>
      <c r="K9" s="120">
        <f t="shared" ref="K9:Q9" si="3">J9+1</f>
        <v>7</v>
      </c>
      <c r="L9" s="120">
        <f t="shared" si="3"/>
        <v>8</v>
      </c>
      <c r="M9" s="120">
        <f t="shared" si="3"/>
        <v>9</v>
      </c>
      <c r="N9" s="120">
        <f t="shared" si="3"/>
        <v>10</v>
      </c>
      <c r="O9" s="120">
        <f t="shared" si="3"/>
        <v>11</v>
      </c>
      <c r="P9" s="120">
        <f t="shared" si="3"/>
        <v>12</v>
      </c>
      <c r="Q9" s="120">
        <f t="shared" si="3"/>
        <v>13</v>
      </c>
      <c r="R9" s="121"/>
    </row>
    <row r="10" spans="1:18">
      <c r="A10" s="99"/>
      <c r="R10" s="112"/>
    </row>
    <row r="11" spans="1:18">
      <c r="A11" s="122" t="s">
        <v>86</v>
      </c>
      <c r="B11" s="123"/>
      <c r="C11" s="123"/>
      <c r="D11" s="124">
        <f t="shared" ref="D11:L11" si="4">D7/(1+$C$19)^D9</f>
        <v>-69.041000000000054</v>
      </c>
      <c r="E11" s="124">
        <f t="shared" si="4"/>
        <v>-117.02702702702702</v>
      </c>
      <c r="F11" s="124">
        <f>F7/(1+$C$19)^F9</f>
        <v>-109.48786624462299</v>
      </c>
      <c r="G11" s="124">
        <f t="shared" si="4"/>
        <v>-103.02486562530389</v>
      </c>
      <c r="H11" s="124">
        <f>H7/(1+$C$19)^H9</f>
        <v>-104.67235179164052</v>
      </c>
      <c r="I11" s="124">
        <f>I7/(1+$C$19)^I9</f>
        <v>-104.98153993355902</v>
      </c>
      <c r="J11" s="124">
        <f>J7/(1+$C$19)^J9</f>
        <v>-74.910447684228146</v>
      </c>
      <c r="K11" s="124">
        <f>K7/(1+$C$19)^K9</f>
        <v>-53.625576044553178</v>
      </c>
      <c r="L11" s="124">
        <f t="shared" si="4"/>
        <v>3.330773358418655</v>
      </c>
      <c r="M11" s="124">
        <f>M7/(1+$C$19)^M9</f>
        <v>52.953444579181195</v>
      </c>
      <c r="N11" s="124">
        <f>N7/(1+$C$19)^N9</f>
        <v>104.76088118578296</v>
      </c>
      <c r="O11" s="124">
        <f>O7/(1+$C$19)^O9</f>
        <v>126.64903901904057</v>
      </c>
      <c r="P11" s="124">
        <f>P7/(1+$C$19)^P9</f>
        <v>136.44921028307635</v>
      </c>
      <c r="Q11" s="124">
        <f>Q7/(1+$C$19)^Q9</f>
        <v>135.18876921439849</v>
      </c>
      <c r="R11" s="125">
        <f>R7/(1+$C$19)^Q9</f>
        <v>1228.9888110399861</v>
      </c>
    </row>
    <row r="13" spans="1:18">
      <c r="A13" s="126" t="s">
        <v>87</v>
      </c>
      <c r="B13" s="56"/>
      <c r="C13" s="127">
        <f>SUM(D11:R11)</f>
        <v>1051.5502543289494</v>
      </c>
    </row>
    <row r="14" spans="1:18">
      <c r="A14" s="99" t="s">
        <v>88</v>
      </c>
      <c r="C14" s="128">
        <f>'P&amp;L'!F39</f>
        <v>456.4</v>
      </c>
    </row>
    <row r="15" spans="1:18">
      <c r="A15" s="129" t="s">
        <v>89</v>
      </c>
      <c r="B15" s="130"/>
      <c r="C15" s="131">
        <f>C13+C14</f>
        <v>1507.9502543289495</v>
      </c>
    </row>
    <row r="16" spans="1:18">
      <c r="A16" s="99" t="s">
        <v>90</v>
      </c>
      <c r="C16" s="128">
        <f>45.373033+0.93301+6.212236+0.727405+0.035476</f>
        <v>53.28116</v>
      </c>
      <c r="E16" s="298"/>
    </row>
    <row r="17" spans="1:3">
      <c r="A17" s="132" t="s">
        <v>91</v>
      </c>
      <c r="B17" s="133"/>
      <c r="C17" s="134">
        <f>C15/C16</f>
        <v>28.301753458989062</v>
      </c>
    </row>
    <row r="19" spans="1:3">
      <c r="A19" s="115" t="s">
        <v>92</v>
      </c>
      <c r="B19" s="56"/>
      <c r="C19" s="135">
        <v>0.11</v>
      </c>
    </row>
    <row r="20" spans="1:3">
      <c r="A20" s="136" t="s">
        <v>93</v>
      </c>
      <c r="B20" s="137"/>
      <c r="C20" s="138">
        <v>0</v>
      </c>
    </row>
    <row r="21" spans="1:3">
      <c r="A21" s="139" t="s">
        <v>94</v>
      </c>
    </row>
    <row r="23" spans="1:3">
      <c r="A23" s="84"/>
    </row>
    <row r="24" spans="1:3">
      <c r="C24" s="140"/>
    </row>
    <row r="25" spans="1:3">
      <c r="A25" s="86"/>
      <c r="C25" s="140"/>
    </row>
    <row r="26" spans="1:3">
      <c r="A26" s="86"/>
      <c r="C26" s="140"/>
    </row>
    <row r="27" spans="1:3">
      <c r="C27" s="140"/>
    </row>
    <row r="28" spans="1:3">
      <c r="C28" s="141"/>
    </row>
    <row r="29" spans="1:3">
      <c r="A29" s="84"/>
      <c r="B29" s="84"/>
      <c r="C29" s="142"/>
    </row>
    <row r="38" spans="4:25" ht="15">
      <c r="D38"/>
      <c r="E38"/>
      <c r="F38"/>
      <c r="G38"/>
      <c r="H38"/>
      <c r="I38"/>
      <c r="J38"/>
      <c r="K38"/>
      <c r="L38"/>
      <c r="M38"/>
      <c r="N38"/>
      <c r="O38"/>
      <c r="P38"/>
      <c r="Q38"/>
      <c r="R38"/>
      <c r="S38"/>
      <c r="T38"/>
      <c r="U38"/>
      <c r="V38"/>
      <c r="W38"/>
      <c r="X38"/>
      <c r="Y38"/>
    </row>
    <row r="39" spans="4:25" ht="15">
      <c r="D39"/>
      <c r="E39"/>
      <c r="F39"/>
      <c r="G39"/>
      <c r="H39"/>
      <c r="I39"/>
      <c r="J39"/>
      <c r="K39"/>
      <c r="L39"/>
      <c r="M39"/>
      <c r="N39"/>
      <c r="O39"/>
      <c r="P39"/>
      <c r="Q39"/>
      <c r="R39"/>
      <c r="S39"/>
      <c r="T39"/>
      <c r="U39"/>
      <c r="V39"/>
      <c r="W39"/>
      <c r="X39"/>
      <c r="Y39"/>
    </row>
    <row r="40" spans="4:25" ht="15">
      <c r="D40"/>
      <c r="E40"/>
      <c r="F40"/>
      <c r="G40"/>
      <c r="H40"/>
      <c r="I40"/>
      <c r="J40"/>
      <c r="K40"/>
      <c r="L40"/>
      <c r="M40"/>
      <c r="N40"/>
      <c r="O40"/>
      <c r="P40"/>
      <c r="Q40"/>
      <c r="R40"/>
      <c r="S40"/>
      <c r="T40"/>
      <c r="U40"/>
      <c r="V40"/>
      <c r="W40"/>
      <c r="X40"/>
      <c r="Y40"/>
    </row>
    <row r="41" spans="4:25" ht="15">
      <c r="D41"/>
      <c r="E41"/>
      <c r="F41"/>
      <c r="G41"/>
      <c r="H41"/>
      <c r="I41"/>
      <c r="J41"/>
      <c r="K41"/>
      <c r="L41"/>
      <c r="M41"/>
      <c r="N41"/>
      <c r="O41"/>
      <c r="P41"/>
      <c r="Q41"/>
      <c r="R41"/>
      <c r="S41"/>
      <c r="T41"/>
      <c r="U41"/>
      <c r="V41"/>
      <c r="W41"/>
      <c r="X41"/>
      <c r="Y41"/>
    </row>
    <row r="42" spans="4:25" ht="15">
      <c r="D42"/>
      <c r="E42"/>
      <c r="F42"/>
      <c r="G42"/>
      <c r="H42"/>
      <c r="I42"/>
      <c r="J42"/>
      <c r="K42"/>
      <c r="L42"/>
      <c r="M42"/>
      <c r="N42"/>
      <c r="O42"/>
      <c r="P42"/>
      <c r="Q42"/>
      <c r="R42"/>
      <c r="S42"/>
      <c r="T42"/>
      <c r="U42"/>
      <c r="V42"/>
      <c r="W42"/>
      <c r="X42"/>
      <c r="Y42"/>
    </row>
    <row r="43" spans="4:25" ht="15">
      <c r="D43"/>
      <c r="E43"/>
      <c r="F43"/>
      <c r="G43"/>
      <c r="H43"/>
      <c r="I43"/>
      <c r="J43"/>
      <c r="K43"/>
      <c r="L43"/>
      <c r="M43"/>
      <c r="N43"/>
      <c r="O43"/>
      <c r="P43"/>
      <c r="Q43"/>
      <c r="R43"/>
      <c r="S43"/>
      <c r="T43"/>
      <c r="U43"/>
      <c r="V43"/>
      <c r="W43"/>
      <c r="X43"/>
      <c r="Y43"/>
    </row>
    <row r="44" spans="4:25" ht="15">
      <c r="D44"/>
      <c r="E44"/>
      <c r="F44"/>
      <c r="G44"/>
      <c r="H44"/>
      <c r="I44"/>
      <c r="J44"/>
      <c r="K44"/>
      <c r="L44"/>
      <c r="M44"/>
      <c r="N44"/>
      <c r="O44"/>
      <c r="P44"/>
      <c r="Q44"/>
      <c r="R44"/>
      <c r="S44"/>
      <c r="T44"/>
      <c r="U44"/>
      <c r="V44"/>
      <c r="W44"/>
      <c r="X44"/>
      <c r="Y44"/>
    </row>
    <row r="45" spans="4:25" ht="15">
      <c r="D45"/>
      <c r="E45"/>
      <c r="F45"/>
      <c r="G45"/>
      <c r="H45"/>
      <c r="I45"/>
      <c r="J45"/>
      <c r="K45"/>
      <c r="L45"/>
      <c r="M45"/>
      <c r="N45"/>
      <c r="O45"/>
      <c r="P45"/>
      <c r="Q45"/>
      <c r="R45"/>
      <c r="S45"/>
      <c r="T45"/>
      <c r="U45"/>
      <c r="V45"/>
      <c r="W45"/>
      <c r="X45"/>
      <c r="Y45"/>
    </row>
    <row r="46" spans="4:25" ht="15">
      <c r="D46"/>
      <c r="E46"/>
      <c r="F46"/>
      <c r="G46"/>
      <c r="H46"/>
      <c r="I46"/>
      <c r="J46"/>
      <c r="K46"/>
      <c r="L46"/>
      <c r="M46"/>
      <c r="N46"/>
      <c r="O46"/>
      <c r="P46"/>
      <c r="Q46"/>
      <c r="R46"/>
      <c r="S46"/>
      <c r="T46"/>
      <c r="U46"/>
      <c r="V46"/>
      <c r="W46"/>
      <c r="X46"/>
      <c r="Y46"/>
    </row>
    <row r="47" spans="4:25" ht="15">
      <c r="D47"/>
      <c r="E47"/>
      <c r="F47"/>
      <c r="G47"/>
      <c r="H47"/>
      <c r="I47"/>
      <c r="J47"/>
      <c r="K47"/>
      <c r="L47"/>
      <c r="M47"/>
      <c r="N47"/>
      <c r="O47"/>
      <c r="P47"/>
      <c r="Q47"/>
      <c r="R47"/>
      <c r="S47"/>
      <c r="T47"/>
      <c r="U47"/>
      <c r="V47"/>
      <c r="W47"/>
      <c r="X47"/>
      <c r="Y47"/>
    </row>
    <row r="48" spans="4:25" ht="15">
      <c r="D48"/>
      <c r="E48"/>
      <c r="F48"/>
      <c r="G48"/>
      <c r="H48"/>
      <c r="I48"/>
      <c r="J48"/>
      <c r="K48"/>
      <c r="L48"/>
      <c r="M48"/>
      <c r="N48"/>
      <c r="O48"/>
      <c r="P48"/>
      <c r="Q48"/>
      <c r="R48"/>
      <c r="S48"/>
      <c r="T48"/>
      <c r="U48"/>
      <c r="V48"/>
      <c r="W48"/>
      <c r="X48"/>
      <c r="Y48"/>
    </row>
    <row r="49" spans="4:25" ht="15">
      <c r="D49"/>
      <c r="E49"/>
      <c r="F49"/>
      <c r="G49"/>
      <c r="H49"/>
      <c r="I49"/>
      <c r="J49"/>
      <c r="K49"/>
      <c r="L49"/>
      <c r="M49"/>
      <c r="N49"/>
      <c r="O49"/>
      <c r="P49"/>
      <c r="Q49"/>
      <c r="R49"/>
      <c r="S49"/>
      <c r="T49"/>
      <c r="U49"/>
      <c r="V49"/>
      <c r="W49"/>
      <c r="X49"/>
      <c r="Y49"/>
    </row>
    <row r="50" spans="4:25" ht="15">
      <c r="D50"/>
      <c r="E50"/>
      <c r="F50"/>
      <c r="G50"/>
      <c r="H50"/>
      <c r="I50"/>
      <c r="J50"/>
      <c r="K50"/>
      <c r="L50"/>
      <c r="M50"/>
      <c r="N50"/>
      <c r="O50"/>
      <c r="P50"/>
      <c r="Q50"/>
      <c r="R50"/>
      <c r="S50"/>
      <c r="T50"/>
      <c r="U50"/>
      <c r="V50"/>
      <c r="W50"/>
      <c r="X50"/>
      <c r="Y50"/>
    </row>
    <row r="51" spans="4:25" ht="15">
      <c r="D51"/>
      <c r="E51"/>
      <c r="F51"/>
      <c r="G51"/>
      <c r="H51"/>
      <c r="I51"/>
      <c r="J51"/>
      <c r="K51"/>
      <c r="L51"/>
      <c r="M51"/>
      <c r="N51"/>
      <c r="O51"/>
      <c r="P51"/>
      <c r="Q51"/>
      <c r="R51"/>
      <c r="S51"/>
      <c r="T51"/>
      <c r="U51"/>
      <c r="V51"/>
      <c r="W51"/>
      <c r="X51"/>
      <c r="Y51"/>
    </row>
    <row r="52" spans="4:25" ht="15">
      <c r="D52"/>
      <c r="E52"/>
      <c r="F52"/>
      <c r="G52"/>
      <c r="H52"/>
      <c r="I52"/>
      <c r="J52"/>
      <c r="K52"/>
      <c r="L52"/>
      <c r="M52"/>
      <c r="N52"/>
      <c r="O52"/>
      <c r="P52"/>
      <c r="Q52"/>
      <c r="R52"/>
      <c r="S52"/>
      <c r="T52"/>
      <c r="U52"/>
      <c r="V52"/>
      <c r="W52"/>
      <c r="X52"/>
      <c r="Y52"/>
    </row>
    <row r="53" spans="4:25" ht="15">
      <c r="D53"/>
      <c r="E53"/>
      <c r="F53"/>
      <c r="G53"/>
      <c r="H53"/>
      <c r="I53"/>
      <c r="J53"/>
      <c r="K53"/>
      <c r="L53"/>
      <c r="M53"/>
      <c r="N53"/>
      <c r="O53"/>
      <c r="P53"/>
      <c r="Q53"/>
      <c r="R53"/>
      <c r="S53"/>
      <c r="T53"/>
      <c r="U53"/>
      <c r="V53"/>
      <c r="W53"/>
      <c r="X53"/>
      <c r="Y53"/>
    </row>
    <row r="54" spans="4:25" ht="15">
      <c r="D54"/>
      <c r="E54"/>
      <c r="F54"/>
      <c r="G54"/>
      <c r="H54"/>
      <c r="I54"/>
      <c r="J54"/>
      <c r="K54"/>
      <c r="L54"/>
      <c r="M54"/>
      <c r="N54"/>
      <c r="O54"/>
      <c r="P54"/>
      <c r="Q54"/>
      <c r="R54"/>
      <c r="S54"/>
      <c r="T54"/>
      <c r="U54"/>
      <c r="V54"/>
      <c r="W54"/>
      <c r="X54"/>
      <c r="Y54"/>
    </row>
    <row r="55" spans="4:25" ht="15">
      <c r="D55"/>
      <c r="E55"/>
      <c r="F55"/>
      <c r="G55"/>
      <c r="H55"/>
      <c r="I55"/>
      <c r="J55"/>
      <c r="K55"/>
      <c r="L55"/>
      <c r="M55"/>
      <c r="N55"/>
      <c r="O55"/>
      <c r="P55"/>
      <c r="Q55"/>
      <c r="R55"/>
      <c r="S55"/>
      <c r="T55"/>
      <c r="U55"/>
      <c r="V55"/>
      <c r="W55"/>
      <c r="X55"/>
      <c r="Y55"/>
    </row>
    <row r="56" spans="4:25" ht="15">
      <c r="D56"/>
      <c r="E56"/>
      <c r="F56"/>
      <c r="G56"/>
      <c r="H56"/>
      <c r="I56"/>
      <c r="J56"/>
      <c r="K56"/>
      <c r="L56"/>
      <c r="M56"/>
      <c r="N56"/>
      <c r="O56"/>
      <c r="P56"/>
      <c r="Q56"/>
      <c r="R56"/>
      <c r="S56"/>
      <c r="T56"/>
      <c r="U56"/>
      <c r="V56"/>
      <c r="W56"/>
      <c r="X56"/>
      <c r="Y56"/>
    </row>
    <row r="57" spans="4:25" ht="15">
      <c r="D57"/>
      <c r="E57"/>
      <c r="F57"/>
      <c r="G57"/>
      <c r="H57"/>
      <c r="I57"/>
      <c r="J57"/>
      <c r="K57"/>
      <c r="L57"/>
      <c r="M57"/>
      <c r="N57"/>
      <c r="O57"/>
      <c r="P57"/>
      <c r="Q57"/>
      <c r="R57"/>
      <c r="S57"/>
      <c r="T57"/>
      <c r="U57"/>
      <c r="V57"/>
      <c r="W57"/>
      <c r="X57"/>
      <c r="Y57"/>
    </row>
    <row r="58" spans="4:25" ht="15">
      <c r="D58"/>
      <c r="E58"/>
      <c r="F58"/>
      <c r="G58"/>
      <c r="H58"/>
      <c r="I58"/>
      <c r="J58"/>
      <c r="K58"/>
      <c r="L58"/>
      <c r="M58"/>
      <c r="N58"/>
      <c r="O58"/>
      <c r="P58"/>
      <c r="Q58"/>
      <c r="R58"/>
      <c r="S58"/>
      <c r="T58"/>
      <c r="U58"/>
      <c r="V58"/>
      <c r="W58"/>
      <c r="X58"/>
      <c r="Y58"/>
    </row>
    <row r="59" spans="4:25" ht="15">
      <c r="D59"/>
      <c r="E59"/>
      <c r="F59"/>
      <c r="G59"/>
      <c r="H59"/>
      <c r="I59"/>
      <c r="J59"/>
      <c r="K59"/>
      <c r="L59"/>
      <c r="M59"/>
      <c r="N59"/>
      <c r="O59"/>
      <c r="P59"/>
      <c r="Q59"/>
      <c r="R59"/>
      <c r="S59"/>
      <c r="T59"/>
      <c r="U59"/>
      <c r="V59"/>
      <c r="W59"/>
      <c r="X59"/>
      <c r="Y59"/>
    </row>
    <row r="60" spans="4:25" ht="15">
      <c r="D60"/>
      <c r="E60"/>
      <c r="F60"/>
      <c r="G60"/>
      <c r="H60"/>
      <c r="I60"/>
      <c r="J60"/>
      <c r="K60"/>
      <c r="L60"/>
      <c r="M60"/>
      <c r="N60"/>
      <c r="O60"/>
      <c r="P60"/>
      <c r="Q60"/>
      <c r="R60"/>
      <c r="S60"/>
      <c r="T60"/>
      <c r="U60"/>
      <c r="V60"/>
      <c r="W60"/>
      <c r="X60"/>
      <c r="Y60"/>
    </row>
    <row r="61" spans="4:25" ht="15">
      <c r="D61"/>
      <c r="E61"/>
      <c r="F61"/>
      <c r="G61"/>
      <c r="H61"/>
      <c r="I61"/>
      <c r="J61"/>
      <c r="K61"/>
      <c r="L61"/>
      <c r="M61"/>
      <c r="N61"/>
      <c r="O61"/>
      <c r="P61"/>
      <c r="Q61"/>
      <c r="R61"/>
      <c r="S61"/>
      <c r="T61"/>
      <c r="U61"/>
      <c r="V61"/>
      <c r="W61"/>
      <c r="X61"/>
      <c r="Y61"/>
    </row>
    <row r="62" spans="4:25" ht="15">
      <c r="D62"/>
      <c r="E62"/>
      <c r="F62"/>
      <c r="G62"/>
      <c r="H62"/>
      <c r="I62"/>
      <c r="J62"/>
      <c r="K62"/>
      <c r="L62"/>
      <c r="M62"/>
      <c r="N62"/>
      <c r="O62"/>
      <c r="P62"/>
      <c r="Q62"/>
      <c r="R62"/>
      <c r="S62"/>
      <c r="T62"/>
      <c r="U62"/>
      <c r="V62"/>
      <c r="W62"/>
      <c r="X62"/>
      <c r="Y62"/>
    </row>
    <row r="63" spans="4:25" ht="15">
      <c r="D63"/>
      <c r="E63"/>
      <c r="F63"/>
      <c r="G63"/>
      <c r="H63"/>
      <c r="I63"/>
      <c r="J63"/>
      <c r="K63"/>
      <c r="L63"/>
      <c r="M63"/>
      <c r="N63"/>
      <c r="O63"/>
      <c r="P63"/>
      <c r="Q63"/>
      <c r="R63"/>
      <c r="S63"/>
      <c r="T63"/>
      <c r="U63"/>
      <c r="V63"/>
      <c r="W63"/>
      <c r="X63"/>
      <c r="Y63"/>
    </row>
    <row r="64" spans="4:25" ht="15">
      <c r="D64"/>
      <c r="E64"/>
      <c r="F64"/>
      <c r="G64"/>
      <c r="H64"/>
      <c r="I64"/>
      <c r="J64"/>
      <c r="K64"/>
      <c r="L64"/>
      <c r="M64"/>
      <c r="N64"/>
      <c r="O64"/>
      <c r="P64"/>
      <c r="Q64"/>
      <c r="R64"/>
      <c r="S64"/>
      <c r="T64"/>
      <c r="U64"/>
      <c r="V64"/>
      <c r="W64"/>
      <c r="X64"/>
      <c r="Y64"/>
    </row>
    <row r="65" spans="4:25" ht="15">
      <c r="D65"/>
      <c r="E65"/>
      <c r="F65"/>
      <c r="G65"/>
      <c r="H65"/>
      <c r="I65"/>
      <c r="J65"/>
      <c r="K65"/>
      <c r="L65"/>
      <c r="M65"/>
      <c r="N65"/>
      <c r="O65"/>
      <c r="P65"/>
      <c r="Q65"/>
      <c r="R65"/>
      <c r="S65"/>
      <c r="T65"/>
      <c r="U65"/>
      <c r="V65"/>
      <c r="W65"/>
      <c r="X65"/>
      <c r="Y65"/>
    </row>
    <row r="66" spans="4:25" ht="15">
      <c r="D66"/>
      <c r="E66"/>
      <c r="F66"/>
      <c r="G66"/>
      <c r="H66"/>
      <c r="I66"/>
      <c r="J66"/>
      <c r="K66"/>
      <c r="L66"/>
      <c r="M66"/>
      <c r="N66"/>
      <c r="O66"/>
      <c r="P66"/>
      <c r="Q66"/>
      <c r="R66"/>
      <c r="S66"/>
      <c r="T66"/>
      <c r="U66"/>
      <c r="V66"/>
      <c r="W66"/>
      <c r="X66"/>
      <c r="Y66"/>
    </row>
    <row r="67" spans="4:25" ht="15">
      <c r="D67"/>
      <c r="E67"/>
      <c r="F67"/>
      <c r="G67"/>
      <c r="H67"/>
      <c r="I67"/>
      <c r="J67"/>
      <c r="K67"/>
      <c r="L67"/>
      <c r="M67"/>
      <c r="N67"/>
      <c r="O67"/>
      <c r="P67"/>
      <c r="Q67"/>
      <c r="R67"/>
      <c r="S67"/>
      <c r="T67"/>
      <c r="U67"/>
      <c r="V67"/>
      <c r="W67"/>
      <c r="X67"/>
      <c r="Y67"/>
    </row>
    <row r="68" spans="4:25" ht="15">
      <c r="D68"/>
      <c r="E68"/>
      <c r="F68"/>
      <c r="G68"/>
      <c r="H68"/>
      <c r="I68"/>
      <c r="J68"/>
      <c r="K68"/>
      <c r="L68"/>
      <c r="M68"/>
      <c r="N68"/>
      <c r="O68"/>
      <c r="P68"/>
      <c r="Q68"/>
      <c r="R68"/>
      <c r="S68"/>
      <c r="T68"/>
      <c r="U68"/>
      <c r="V68"/>
      <c r="W68"/>
      <c r="X68"/>
      <c r="Y68"/>
    </row>
    <row r="69" spans="4:25" ht="15">
      <c r="D69"/>
      <c r="E69"/>
      <c r="F69"/>
      <c r="G69"/>
      <c r="H69"/>
      <c r="I69"/>
      <c r="J69"/>
      <c r="K69"/>
      <c r="L69"/>
      <c r="M69"/>
      <c r="N69"/>
      <c r="O69"/>
      <c r="P69"/>
      <c r="Q69"/>
      <c r="R69"/>
      <c r="S69"/>
      <c r="T69"/>
      <c r="U69"/>
      <c r="V69"/>
      <c r="W69"/>
      <c r="X69"/>
      <c r="Y69"/>
    </row>
    <row r="70" spans="4:25" ht="15">
      <c r="D70"/>
      <c r="E70"/>
      <c r="F70"/>
      <c r="G70"/>
      <c r="H70"/>
      <c r="I70"/>
      <c r="J70"/>
      <c r="K70"/>
      <c r="L70"/>
      <c r="M70"/>
      <c r="N70"/>
      <c r="O70"/>
      <c r="P70"/>
      <c r="Q70"/>
      <c r="R70"/>
      <c r="S70"/>
      <c r="T70"/>
      <c r="U70"/>
      <c r="V70"/>
      <c r="W70"/>
      <c r="X70"/>
      <c r="Y70"/>
    </row>
    <row r="71" spans="4:25" ht="15">
      <c r="D71"/>
      <c r="E71"/>
      <c r="F71"/>
      <c r="G71"/>
      <c r="H71"/>
      <c r="I71"/>
      <c r="J71"/>
      <c r="K71"/>
      <c r="L71"/>
      <c r="M71"/>
      <c r="N71"/>
      <c r="O71"/>
      <c r="P71"/>
      <c r="Q71"/>
      <c r="R71"/>
      <c r="S71"/>
      <c r="T71"/>
      <c r="U71"/>
      <c r="V71"/>
      <c r="W71"/>
      <c r="X71"/>
      <c r="Y71"/>
    </row>
    <row r="72" spans="4:25" ht="15">
      <c r="D72"/>
      <c r="E72"/>
      <c r="F72"/>
      <c r="G72"/>
      <c r="H72"/>
      <c r="I72"/>
      <c r="J72"/>
      <c r="K72"/>
      <c r="L72"/>
      <c r="M72"/>
      <c r="N72"/>
      <c r="O72"/>
      <c r="P72"/>
      <c r="Q72"/>
      <c r="R72"/>
      <c r="S72"/>
      <c r="T72"/>
      <c r="U72"/>
      <c r="V72"/>
      <c r="W72"/>
      <c r="X72"/>
      <c r="Y72"/>
    </row>
    <row r="73" spans="4:25" ht="15">
      <c r="D73"/>
      <c r="E73"/>
      <c r="F73"/>
      <c r="G73"/>
      <c r="H73"/>
      <c r="I73"/>
      <c r="J73"/>
      <c r="K73"/>
      <c r="L73"/>
      <c r="M73"/>
      <c r="N73"/>
      <c r="O73"/>
      <c r="P73"/>
      <c r="Q73"/>
      <c r="R73"/>
      <c r="S73"/>
      <c r="T73"/>
      <c r="U73"/>
      <c r="V73"/>
      <c r="W73"/>
      <c r="X73"/>
      <c r="Y73"/>
    </row>
    <row r="74" spans="4:25" ht="15">
      <c r="D74"/>
      <c r="E74"/>
      <c r="F74"/>
      <c r="G74"/>
      <c r="H74"/>
      <c r="I74"/>
      <c r="J74"/>
      <c r="K74"/>
      <c r="L74"/>
      <c r="M74"/>
      <c r="N74"/>
      <c r="O74"/>
      <c r="P74"/>
      <c r="Q74"/>
      <c r="R74"/>
      <c r="S74"/>
      <c r="T74"/>
      <c r="U74"/>
      <c r="V74"/>
      <c r="W74"/>
      <c r="X74"/>
      <c r="Y74"/>
    </row>
    <row r="75" spans="4:25" ht="15">
      <c r="D75"/>
      <c r="E75"/>
      <c r="F75"/>
      <c r="G75"/>
      <c r="H75"/>
      <c r="I75"/>
      <c r="J75"/>
      <c r="K75"/>
      <c r="L75"/>
      <c r="M75"/>
      <c r="N75"/>
      <c r="O75"/>
      <c r="P75"/>
      <c r="Q75"/>
      <c r="R75"/>
      <c r="S75"/>
      <c r="T75"/>
      <c r="U75"/>
      <c r="V75"/>
      <c r="W75"/>
      <c r="X75"/>
      <c r="Y75"/>
    </row>
    <row r="76" spans="4:25" ht="15">
      <c r="D76"/>
      <c r="E76"/>
      <c r="F76"/>
      <c r="G76"/>
      <c r="H76"/>
      <c r="I76"/>
      <c r="J76"/>
      <c r="K76"/>
      <c r="L76"/>
      <c r="M76"/>
      <c r="N76"/>
      <c r="O76"/>
      <c r="P76"/>
      <c r="Q76"/>
      <c r="R76"/>
      <c r="S76"/>
      <c r="T76"/>
      <c r="U76"/>
      <c r="V76"/>
      <c r="W76"/>
      <c r="X76"/>
      <c r="Y76"/>
    </row>
    <row r="77" spans="4:25" ht="15">
      <c r="D77"/>
      <c r="E77"/>
      <c r="F77"/>
      <c r="G77"/>
      <c r="H77"/>
      <c r="I77"/>
      <c r="J77"/>
      <c r="K77"/>
      <c r="L77"/>
      <c r="M77"/>
      <c r="N77"/>
      <c r="O77"/>
      <c r="P77"/>
      <c r="Q77"/>
      <c r="R77"/>
      <c r="S77"/>
      <c r="T77"/>
      <c r="U77"/>
      <c r="V77"/>
      <c r="W77"/>
      <c r="X77"/>
      <c r="Y77"/>
    </row>
  </sheetData>
  <printOptions horizontalCentered="1"/>
  <pageMargins left="0.75" right="0.75" top="2.5" bottom="1.5" header="0.3" footer="0.3"/>
  <pageSetup scale="46" orientation="portrait" horizontalDpi="90" verticalDpi="9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20"/>
  <sheetViews>
    <sheetView showGridLines="0" view="pageBreakPreview" zoomScaleNormal="85" zoomScaleSheetLayoutView="100" workbookViewId="0">
      <selection activeCell="V26" sqref="V26"/>
    </sheetView>
  </sheetViews>
  <sheetFormatPr defaultColWidth="5.85546875" defaultRowHeight="12" outlineLevelCol="1"/>
  <cols>
    <col min="1" max="1" width="59" style="110" customWidth="1"/>
    <col min="2" max="3" width="7" style="193" customWidth="1"/>
    <col min="4" max="6" width="8.7109375" style="110" customWidth="1"/>
    <col min="7" max="9" width="8.7109375" style="110" customWidth="1" outlineLevel="1"/>
    <col min="10" max="20" width="8.7109375" style="110" customWidth="1"/>
    <col min="21" max="21" width="8.140625" style="110" customWidth="1"/>
    <col min="22" max="22" width="9.140625" style="110" customWidth="1"/>
    <col min="23" max="23" width="9.28515625" style="110" customWidth="1"/>
    <col min="24" max="16384" width="5.85546875" style="110"/>
  </cols>
  <sheetData>
    <row r="1" spans="1:23" s="103" customFormat="1" ht="12.75" customHeight="1">
      <c r="A1" s="194" t="s">
        <v>95</v>
      </c>
      <c r="B1" s="195"/>
      <c r="C1" s="195"/>
      <c r="D1" s="196">
        <v>2022</v>
      </c>
      <c r="E1" s="196">
        <f>'P&amp;L'!B1</f>
        <v>2023</v>
      </c>
      <c r="F1" s="196">
        <f>'P&amp;L'!C1</f>
        <v>2024</v>
      </c>
      <c r="G1" s="197" t="s">
        <v>6</v>
      </c>
      <c r="H1" s="197" t="s">
        <v>96</v>
      </c>
      <c r="I1" s="197" t="s">
        <v>8</v>
      </c>
      <c r="J1" s="196" t="str">
        <f>'P&amp;L'!G1</f>
        <v>2025E</v>
      </c>
      <c r="K1" s="196" t="str">
        <f>'P&amp;L'!H1</f>
        <v>2026E</v>
      </c>
      <c r="L1" s="196" t="str">
        <f>'P&amp;L'!I1</f>
        <v>2027E</v>
      </c>
      <c r="M1" s="196" t="str">
        <f>'P&amp;L'!J1</f>
        <v>2028E</v>
      </c>
      <c r="N1" s="196" t="str">
        <f>'P&amp;L'!K1</f>
        <v>2029E</v>
      </c>
      <c r="O1" s="196" t="str">
        <f>'P&amp;L'!L1</f>
        <v>2030E</v>
      </c>
      <c r="P1" s="175" t="str">
        <f>'P&amp;L'!M1</f>
        <v>2031E</v>
      </c>
      <c r="Q1" s="175" t="str">
        <f>'P&amp;L'!N1</f>
        <v>2032E</v>
      </c>
      <c r="R1" s="174" t="str">
        <f>'P&amp;L'!O1</f>
        <v>2033E</v>
      </c>
      <c r="S1" s="175" t="str">
        <f>'P&amp;L'!P1</f>
        <v>2034E</v>
      </c>
      <c r="T1" s="175" t="str">
        <f>'P&amp;L'!Q1</f>
        <v>2035E</v>
      </c>
      <c r="U1" s="175" t="str">
        <f>'P&amp;L'!R1</f>
        <v>2036E</v>
      </c>
      <c r="V1" s="175" t="str">
        <f>'P&amp;L'!S1</f>
        <v>2037E</v>
      </c>
      <c r="W1" s="175" t="str">
        <f>'P&amp;L'!T1</f>
        <v>2038E</v>
      </c>
    </row>
    <row r="2" spans="1:23" s="104" customFormat="1" ht="9" customHeight="1">
      <c r="A2" s="176"/>
      <c r="B2" s="177"/>
      <c r="C2" s="177"/>
      <c r="D2" s="179"/>
      <c r="E2" s="179"/>
      <c r="F2" s="179"/>
      <c r="G2" s="180"/>
      <c r="H2" s="181"/>
      <c r="I2" s="178"/>
      <c r="J2" s="179"/>
      <c r="K2" s="179"/>
      <c r="L2" s="105"/>
      <c r="M2" s="106"/>
      <c r="N2" s="105"/>
      <c r="O2" s="105"/>
      <c r="P2" s="108"/>
      <c r="Q2" s="108"/>
      <c r="R2" s="108"/>
      <c r="S2" s="143"/>
      <c r="T2" s="260"/>
      <c r="U2" s="260"/>
      <c r="V2" s="260"/>
      <c r="W2" s="260"/>
    </row>
    <row r="3" spans="1:23" s="104" customFormat="1" ht="12.75" customHeight="1">
      <c r="A3" s="176" t="s">
        <v>97</v>
      </c>
      <c r="B3" s="182"/>
      <c r="C3" s="182"/>
      <c r="D3" s="207">
        <f>Schizophrenia!C36</f>
        <v>0</v>
      </c>
      <c r="E3" s="207">
        <f>Schizophrenia!D36</f>
        <v>0</v>
      </c>
      <c r="F3" s="207">
        <f>Schizophrenia!E42</f>
        <v>0</v>
      </c>
      <c r="G3" s="208">
        <v>0</v>
      </c>
      <c r="H3" s="209">
        <v>0</v>
      </c>
      <c r="I3" s="209">
        <v>0</v>
      </c>
      <c r="J3" s="207">
        <f>Schizophrenia!F42</f>
        <v>0</v>
      </c>
      <c r="K3" s="207">
        <f>Schizophrenia!G42</f>
        <v>0</v>
      </c>
      <c r="L3" s="207">
        <f>Schizophrenia!H42</f>
        <v>0</v>
      </c>
      <c r="M3" s="207">
        <f>Schizophrenia!I42</f>
        <v>0</v>
      </c>
      <c r="N3" s="207">
        <f>Schizophrenia!J42</f>
        <v>0</v>
      </c>
      <c r="O3" s="207">
        <f>Schizophrenia!K42</f>
        <v>0</v>
      </c>
      <c r="P3" s="207">
        <f>Schizophrenia!L42</f>
        <v>31.057409875052922</v>
      </c>
      <c r="Q3" s="207">
        <f>Schizophrenia!M42</f>
        <v>107.96169919119258</v>
      </c>
      <c r="R3" s="207">
        <f>Schizophrenia!N42</f>
        <v>211.69752118946741</v>
      </c>
      <c r="S3" s="207">
        <f>Schizophrenia!O42</f>
        <v>399.09395275121608</v>
      </c>
      <c r="T3" s="207">
        <f>Schizophrenia!P42</f>
        <v>607.26019139682342</v>
      </c>
      <c r="U3" s="207">
        <f>Schizophrenia!Q42</f>
        <v>804.53878557527162</v>
      </c>
      <c r="V3" s="207">
        <f>Schizophrenia!R42</f>
        <v>1079.4926554927602</v>
      </c>
      <c r="W3" s="207">
        <f>Schizophrenia!S42</f>
        <v>1225.871859577579</v>
      </c>
    </row>
    <row r="4" spans="1:23" s="107" customFormat="1" ht="12.75" customHeight="1">
      <c r="A4" s="183" t="s">
        <v>98</v>
      </c>
      <c r="B4" s="182">
        <f>Schizophrenia!B35</f>
        <v>0.5</v>
      </c>
      <c r="C4" s="182"/>
      <c r="D4" s="207">
        <f>Schizophrenia!C43</f>
        <v>0</v>
      </c>
      <c r="E4" s="207">
        <f>Schizophrenia!D43</f>
        <v>0</v>
      </c>
      <c r="F4" s="207">
        <f>Schizophrenia!E43</f>
        <v>0</v>
      </c>
      <c r="G4" s="208">
        <v>0</v>
      </c>
      <c r="H4" s="209">
        <v>0</v>
      </c>
      <c r="I4" s="209">
        <v>0</v>
      </c>
      <c r="J4" s="207">
        <f>Schizophrenia!F43</f>
        <v>0</v>
      </c>
      <c r="K4" s="207">
        <f>Schizophrenia!G43</f>
        <v>0</v>
      </c>
      <c r="L4" s="207">
        <f>Schizophrenia!H43</f>
        <v>0</v>
      </c>
      <c r="M4" s="207">
        <f>Schizophrenia!I43</f>
        <v>0</v>
      </c>
      <c r="N4" s="207">
        <f>Schizophrenia!J43</f>
        <v>0</v>
      </c>
      <c r="O4" s="207">
        <f>Schizophrenia!K43</f>
        <v>0</v>
      </c>
      <c r="P4" s="207">
        <f>Schizophrenia!L43</f>
        <v>15.528704937526461</v>
      </c>
      <c r="Q4" s="207">
        <f>Schizophrenia!M43</f>
        <v>53.98084959559629</v>
      </c>
      <c r="R4" s="207">
        <f>Schizophrenia!N43</f>
        <v>105.8487605947337</v>
      </c>
      <c r="S4" s="207">
        <f>Schizophrenia!O43</f>
        <v>199.54697637560804</v>
      </c>
      <c r="T4" s="207">
        <f>Schizophrenia!P43</f>
        <v>303.63009569841171</v>
      </c>
      <c r="U4" s="207">
        <f>Schizophrenia!Q43</f>
        <v>402.26939278763581</v>
      </c>
      <c r="V4" s="207">
        <f>Schizophrenia!R43</f>
        <v>539.74632774638008</v>
      </c>
      <c r="W4" s="207">
        <f>Schizophrenia!S43</f>
        <v>612.93592978878951</v>
      </c>
    </row>
    <row r="5" spans="1:23" s="107" customFormat="1" ht="12.75" customHeight="1">
      <c r="A5" s="176"/>
      <c r="B5" s="182"/>
      <c r="C5" s="182"/>
      <c r="D5" s="207"/>
      <c r="E5" s="207"/>
      <c r="F5" s="207"/>
      <c r="G5" s="208"/>
      <c r="H5" s="209"/>
      <c r="I5" s="210"/>
      <c r="J5" s="207"/>
      <c r="K5" s="207"/>
      <c r="L5" s="211"/>
      <c r="M5" s="212"/>
      <c r="N5" s="211"/>
      <c r="O5" s="211"/>
      <c r="P5" s="211"/>
      <c r="Q5" s="211"/>
      <c r="R5" s="211"/>
      <c r="S5" s="211"/>
      <c r="T5" s="211"/>
      <c r="U5" s="211"/>
      <c r="V5" s="211"/>
      <c r="W5" s="211"/>
    </row>
    <row r="6" spans="1:23" s="107" customFormat="1" ht="12.75" customHeight="1">
      <c r="A6" s="176" t="s">
        <v>99</v>
      </c>
      <c r="B6" s="182"/>
      <c r="C6" s="182"/>
      <c r="D6" s="208">
        <f>ADP!C33</f>
        <v>0</v>
      </c>
      <c r="E6" s="208">
        <f>ADP!D33</f>
        <v>0</v>
      </c>
      <c r="F6" s="208">
        <f>ADP!E33</f>
        <v>0</v>
      </c>
      <c r="G6" s="213">
        <v>0</v>
      </c>
      <c r="H6" s="214">
        <v>0</v>
      </c>
      <c r="I6" s="215">
        <v>0</v>
      </c>
      <c r="J6" s="208">
        <f>ADP!F33</f>
        <v>0</v>
      </c>
      <c r="K6" s="208">
        <f>ADP!G33</f>
        <v>0</v>
      </c>
      <c r="L6" s="208">
        <f>ADP!H33</f>
        <v>0</v>
      </c>
      <c r="M6" s="208">
        <f>ADP!I33</f>
        <v>0</v>
      </c>
      <c r="N6" s="208">
        <f>ADP!J33</f>
        <v>0</v>
      </c>
      <c r="O6" s="208">
        <f>ADP!K33</f>
        <v>0</v>
      </c>
      <c r="P6" s="208">
        <f>ADP!L33</f>
        <v>0</v>
      </c>
      <c r="Q6" s="208">
        <f>ADP!M33</f>
        <v>127.83877289190455</v>
      </c>
      <c r="R6" s="208">
        <f>ADP!N33</f>
        <v>399.01037795021239</v>
      </c>
      <c r="S6" s="208">
        <f>ADP!O33</f>
        <v>698.80283531932514</v>
      </c>
      <c r="T6" s="208">
        <f>ADP!P33</f>
        <v>973.21841906845304</v>
      </c>
      <c r="U6" s="208">
        <f>ADP!Q33</f>
        <v>1213.2463298684063</v>
      </c>
      <c r="V6" s="208">
        <f>ADP!R33</f>
        <v>1483.5468277512664</v>
      </c>
      <c r="W6" s="208">
        <f>ADP!S33</f>
        <v>1864.500459591681</v>
      </c>
    </row>
    <row r="7" spans="1:23" s="107" customFormat="1" ht="12.75" customHeight="1">
      <c r="A7" s="183" t="s">
        <v>100</v>
      </c>
      <c r="B7" s="184">
        <v>0.15</v>
      </c>
      <c r="C7" s="184"/>
      <c r="D7" s="208">
        <f>ADP!C34</f>
        <v>0</v>
      </c>
      <c r="E7" s="208">
        <f>ADP!D34</f>
        <v>0</v>
      </c>
      <c r="F7" s="208">
        <f>ADP!E34</f>
        <v>0</v>
      </c>
      <c r="G7" s="208">
        <f>G6*$B7</f>
        <v>0</v>
      </c>
      <c r="H7" s="209">
        <f>H6*$B7</f>
        <v>0</v>
      </c>
      <c r="I7" s="210">
        <f>I6*$B7</f>
        <v>0</v>
      </c>
      <c r="J7" s="208">
        <f>ADP!F34</f>
        <v>0</v>
      </c>
      <c r="K7" s="208">
        <f>ADP!G34</f>
        <v>0</v>
      </c>
      <c r="L7" s="208">
        <f>ADP!H34</f>
        <v>0</v>
      </c>
      <c r="M7" s="208">
        <f>ADP!I34</f>
        <v>0</v>
      </c>
      <c r="N7" s="208">
        <f>ADP!J34</f>
        <v>0</v>
      </c>
      <c r="O7" s="208">
        <f>ADP!K34</f>
        <v>0</v>
      </c>
      <c r="P7" s="208">
        <f>ADP!L34</f>
        <v>0</v>
      </c>
      <c r="Q7" s="208">
        <f>ADP!M34</f>
        <v>25.567754578380914</v>
      </c>
      <c r="R7" s="208">
        <f>ADP!N34</f>
        <v>79.802075590042477</v>
      </c>
      <c r="S7" s="208">
        <f>ADP!O34</f>
        <v>139.76056706386504</v>
      </c>
      <c r="T7" s="208">
        <f>ADP!P34</f>
        <v>194.64368381369061</v>
      </c>
      <c r="U7" s="208">
        <f>ADP!Q34</f>
        <v>242.64926597368128</v>
      </c>
      <c r="V7" s="208">
        <f>ADP!R34</f>
        <v>296.70936555025327</v>
      </c>
      <c r="W7" s="208">
        <f>ADP!S34</f>
        <v>372.90009191833622</v>
      </c>
    </row>
    <row r="8" spans="1:23" s="107" customFormat="1" ht="12.75" customHeight="1">
      <c r="A8" s="183"/>
      <c r="B8" s="184"/>
      <c r="C8" s="184"/>
      <c r="D8" s="208"/>
      <c r="E8" s="208"/>
      <c r="F8" s="208"/>
      <c r="G8" s="208"/>
      <c r="H8" s="209"/>
      <c r="I8" s="210"/>
      <c r="J8" s="208"/>
      <c r="K8" s="207"/>
      <c r="L8" s="207"/>
      <c r="M8" s="207"/>
      <c r="N8" s="207"/>
      <c r="O8" s="207"/>
      <c r="P8" s="217"/>
      <c r="Q8" s="217"/>
      <c r="R8" s="217"/>
      <c r="S8" s="217"/>
      <c r="T8" s="217"/>
      <c r="U8" s="217"/>
      <c r="V8" s="217"/>
      <c r="W8" s="217"/>
    </row>
    <row r="9" spans="1:23" s="107" customFormat="1" ht="12.75" customHeight="1">
      <c r="A9" s="176" t="s">
        <v>101</v>
      </c>
      <c r="B9" s="182"/>
      <c r="C9" s="182"/>
      <c r="D9" s="213">
        <v>0</v>
      </c>
      <c r="E9" s="213">
        <v>0</v>
      </c>
      <c r="F9" s="216">
        <v>0</v>
      </c>
      <c r="G9" s="213">
        <v>0</v>
      </c>
      <c r="H9" s="214">
        <v>0</v>
      </c>
      <c r="I9" s="215">
        <v>0</v>
      </c>
      <c r="J9" s="216">
        <v>0</v>
      </c>
      <c r="K9" s="216">
        <v>0</v>
      </c>
      <c r="L9" s="216">
        <v>0</v>
      </c>
      <c r="M9" s="216">
        <v>0</v>
      </c>
      <c r="N9" s="216">
        <v>0</v>
      </c>
      <c r="O9" s="216">
        <v>0</v>
      </c>
      <c r="P9" s="216">
        <v>0</v>
      </c>
      <c r="Q9" s="216">
        <v>30</v>
      </c>
      <c r="R9" s="216">
        <v>120</v>
      </c>
      <c r="S9" s="216">
        <v>180</v>
      </c>
      <c r="T9" s="216">
        <v>220</v>
      </c>
      <c r="U9" s="216">
        <v>260</v>
      </c>
      <c r="V9" s="216">
        <v>300</v>
      </c>
      <c r="W9" s="215">
        <v>340</v>
      </c>
    </row>
    <row r="10" spans="1:23" s="107" customFormat="1" ht="12.75" customHeight="1">
      <c r="A10" s="183" t="s">
        <v>102</v>
      </c>
      <c r="B10" s="184">
        <v>0.05</v>
      </c>
      <c r="C10" s="184"/>
      <c r="D10" s="208">
        <f>D9*$B10</f>
        <v>0</v>
      </c>
      <c r="E10" s="208">
        <f>E9*$B10</f>
        <v>0</v>
      </c>
      <c r="F10" s="207">
        <v>0</v>
      </c>
      <c r="G10" s="208">
        <f>G9*$B10</f>
        <v>0</v>
      </c>
      <c r="H10" s="209">
        <f>H9*$B10</f>
        <v>0</v>
      </c>
      <c r="I10" s="210">
        <f>I9*$B10</f>
        <v>0</v>
      </c>
      <c r="J10" s="207">
        <v>0</v>
      </c>
      <c r="K10" s="207">
        <v>0</v>
      </c>
      <c r="L10" s="207">
        <v>0</v>
      </c>
      <c r="M10" s="207">
        <v>0</v>
      </c>
      <c r="N10" s="207">
        <v>0</v>
      </c>
      <c r="O10" s="207">
        <v>0</v>
      </c>
      <c r="P10" s="217">
        <f t="shared" ref="P10:V10" si="0">P9*$B10</f>
        <v>0</v>
      </c>
      <c r="Q10" s="217">
        <f t="shared" si="0"/>
        <v>1.5</v>
      </c>
      <c r="R10" s="217">
        <f t="shared" si="0"/>
        <v>6</v>
      </c>
      <c r="S10" s="217">
        <f t="shared" si="0"/>
        <v>9</v>
      </c>
      <c r="T10" s="217">
        <f t="shared" si="0"/>
        <v>11</v>
      </c>
      <c r="U10" s="217">
        <f t="shared" si="0"/>
        <v>13</v>
      </c>
      <c r="V10" s="217">
        <f t="shared" si="0"/>
        <v>15</v>
      </c>
      <c r="W10" s="217">
        <f>W9*$B10</f>
        <v>17</v>
      </c>
    </row>
    <row r="11" spans="1:23" s="107" customFormat="1" ht="6.75" customHeight="1">
      <c r="A11" s="183"/>
      <c r="B11" s="184"/>
      <c r="C11" s="184"/>
      <c r="D11" s="208"/>
      <c r="E11" s="208"/>
      <c r="F11" s="208"/>
      <c r="G11" s="208"/>
      <c r="H11" s="209"/>
      <c r="I11" s="210"/>
      <c r="J11" s="208"/>
      <c r="K11" s="207"/>
      <c r="L11" s="207"/>
      <c r="M11" s="207"/>
      <c r="N11" s="207"/>
      <c r="O11" s="207"/>
      <c r="P11" s="217"/>
      <c r="Q11" s="217"/>
      <c r="R11" s="217"/>
      <c r="S11" s="217"/>
      <c r="T11" s="217"/>
      <c r="U11" s="217"/>
      <c r="V11" s="217"/>
      <c r="W11" s="217"/>
    </row>
    <row r="12" spans="1:23" s="107" customFormat="1" ht="12.75" customHeight="1">
      <c r="A12" s="176" t="s">
        <v>103</v>
      </c>
      <c r="B12" s="184">
        <v>0</v>
      </c>
      <c r="C12" s="184"/>
      <c r="D12" s="207">
        <v>0</v>
      </c>
      <c r="E12" s="207">
        <v>0</v>
      </c>
      <c r="F12" s="207">
        <v>0</v>
      </c>
      <c r="G12" s="208">
        <v>0</v>
      </c>
      <c r="H12" s="209">
        <v>0</v>
      </c>
      <c r="I12" s="210">
        <v>0</v>
      </c>
      <c r="J12" s="207">
        <v>0</v>
      </c>
      <c r="K12" s="207">
        <v>0</v>
      </c>
      <c r="L12" s="207">
        <v>0</v>
      </c>
      <c r="M12" s="207">
        <v>0</v>
      </c>
      <c r="N12" s="207">
        <v>0</v>
      </c>
      <c r="O12" s="207">
        <v>0</v>
      </c>
      <c r="P12" s="217">
        <v>0</v>
      </c>
      <c r="Q12" s="217">
        <v>0</v>
      </c>
      <c r="R12" s="217">
        <v>0</v>
      </c>
      <c r="S12" s="217">
        <v>0</v>
      </c>
      <c r="T12" s="217">
        <v>0</v>
      </c>
      <c r="U12" s="217">
        <v>0</v>
      </c>
      <c r="V12" s="217">
        <v>0</v>
      </c>
      <c r="W12" s="217">
        <v>0</v>
      </c>
    </row>
    <row r="13" spans="1:23" s="107" customFormat="1" ht="12.75" customHeight="1">
      <c r="A13" s="176"/>
      <c r="B13" s="184"/>
      <c r="C13" s="184"/>
      <c r="D13" s="207"/>
      <c r="E13" s="207"/>
      <c r="F13" s="207"/>
      <c r="G13" s="209"/>
      <c r="H13" s="209"/>
      <c r="I13" s="210"/>
      <c r="J13" s="207"/>
      <c r="K13" s="207"/>
      <c r="L13" s="207"/>
      <c r="M13" s="207"/>
      <c r="N13" s="207"/>
      <c r="O13" s="207"/>
      <c r="P13" s="217"/>
      <c r="Q13" s="217"/>
      <c r="R13" s="217"/>
      <c r="S13" s="217"/>
      <c r="T13" s="261"/>
      <c r="U13" s="261"/>
      <c r="V13" s="261"/>
      <c r="W13" s="261"/>
    </row>
    <row r="14" spans="1:23" s="107" customFormat="1" ht="12.75" customHeight="1">
      <c r="A14" s="204" t="s">
        <v>104</v>
      </c>
      <c r="B14" s="205"/>
      <c r="C14" s="205"/>
      <c r="D14" s="206">
        <f t="shared" ref="D14:O14" si="1">SUM(D$12,D6,D3)</f>
        <v>0</v>
      </c>
      <c r="E14" s="206">
        <f t="shared" si="1"/>
        <v>0</v>
      </c>
      <c r="F14" s="206">
        <f t="shared" si="1"/>
        <v>0</v>
      </c>
      <c r="G14" s="264">
        <f>SUM(G$12,G6,G3)</f>
        <v>0</v>
      </c>
      <c r="H14" s="269">
        <f>SUM(H$12,H6,H3)</f>
        <v>0</v>
      </c>
      <c r="I14" s="266">
        <f>SUM(I$12,I6,I3)</f>
        <v>0</v>
      </c>
      <c r="J14" s="206">
        <f t="shared" si="1"/>
        <v>0</v>
      </c>
      <c r="K14" s="206">
        <f t="shared" si="1"/>
        <v>0</v>
      </c>
      <c r="L14" s="206">
        <f t="shared" si="1"/>
        <v>0</v>
      </c>
      <c r="M14" s="206">
        <f t="shared" si="1"/>
        <v>0</v>
      </c>
      <c r="N14" s="206">
        <f t="shared" si="1"/>
        <v>0</v>
      </c>
      <c r="O14" s="206">
        <f t="shared" si="1"/>
        <v>0</v>
      </c>
      <c r="P14" s="206">
        <f>SUM(P$12,P9,P6,P3)</f>
        <v>31.057409875052922</v>
      </c>
      <c r="Q14" s="206">
        <f t="shared" ref="Q14:W14" si="2">SUM(Q$12,Q9,Q6,Q3)</f>
        <v>265.80047208309713</v>
      </c>
      <c r="R14" s="206">
        <f t="shared" si="2"/>
        <v>730.70789913967974</v>
      </c>
      <c r="S14" s="206">
        <f t="shared" si="2"/>
        <v>1277.8967880705413</v>
      </c>
      <c r="T14" s="206">
        <f t="shared" si="2"/>
        <v>1800.4786104652762</v>
      </c>
      <c r="U14" s="206">
        <f t="shared" si="2"/>
        <v>2277.785115443678</v>
      </c>
      <c r="V14" s="206">
        <f t="shared" si="2"/>
        <v>2863.0394832440265</v>
      </c>
      <c r="W14" s="206">
        <f t="shared" si="2"/>
        <v>3430.3723191692598</v>
      </c>
    </row>
    <row r="15" spans="1:23" ht="12.75" customHeight="1">
      <c r="A15" s="201" t="s">
        <v>105</v>
      </c>
      <c r="B15" s="202"/>
      <c r="C15" s="202"/>
      <c r="D15" s="203">
        <f t="shared" ref="D15:O15" si="3">SUM(D7,D4,D12)</f>
        <v>0</v>
      </c>
      <c r="E15" s="203">
        <f t="shared" si="3"/>
        <v>0</v>
      </c>
      <c r="F15" s="203">
        <f t="shared" si="3"/>
        <v>0</v>
      </c>
      <c r="G15" s="265">
        <f>SUM(G7,G4,G12)</f>
        <v>0</v>
      </c>
      <c r="H15" s="268">
        <f>SUM(H7,H4,H12)</f>
        <v>0</v>
      </c>
      <c r="I15" s="267">
        <f>SUM(I7,I4,I12)</f>
        <v>0</v>
      </c>
      <c r="J15" s="203">
        <f t="shared" si="3"/>
        <v>0</v>
      </c>
      <c r="K15" s="203">
        <f t="shared" si="3"/>
        <v>0</v>
      </c>
      <c r="L15" s="203">
        <f t="shared" si="3"/>
        <v>0</v>
      </c>
      <c r="M15" s="203">
        <f t="shared" si="3"/>
        <v>0</v>
      </c>
      <c r="N15" s="203">
        <f t="shared" si="3"/>
        <v>0</v>
      </c>
      <c r="O15" s="203">
        <f t="shared" si="3"/>
        <v>0</v>
      </c>
      <c r="P15" s="203">
        <f>SUM(P7,P4,P10,P12)</f>
        <v>15.528704937526461</v>
      </c>
      <c r="Q15" s="203">
        <f t="shared" ref="Q15:W15" si="4">SUM(Q7,Q4,Q10,Q12)</f>
        <v>81.048604173977196</v>
      </c>
      <c r="R15" s="203">
        <f t="shared" si="4"/>
        <v>191.65083618477618</v>
      </c>
      <c r="S15" s="203">
        <f t="shared" si="4"/>
        <v>348.30754343947308</v>
      </c>
      <c r="T15" s="203">
        <f t="shared" si="4"/>
        <v>509.27377951210235</v>
      </c>
      <c r="U15" s="203">
        <f t="shared" si="4"/>
        <v>657.91865876131715</v>
      </c>
      <c r="V15" s="203">
        <f t="shared" si="4"/>
        <v>851.4556932966334</v>
      </c>
      <c r="W15" s="203">
        <f t="shared" si="4"/>
        <v>1002.8360217071257</v>
      </c>
    </row>
    <row r="16" spans="1:23" ht="12.75" customHeight="1">
      <c r="A16" s="186"/>
      <c r="B16" s="182"/>
      <c r="C16" s="182"/>
      <c r="D16" s="187"/>
      <c r="E16" s="187"/>
      <c r="F16" s="187"/>
      <c r="G16" s="185"/>
      <c r="H16" s="185"/>
      <c r="I16" s="185"/>
      <c r="J16" s="187"/>
      <c r="K16" s="187"/>
      <c r="L16" s="187"/>
      <c r="M16" s="187"/>
      <c r="N16" s="187"/>
      <c r="O16" s="187"/>
      <c r="P16" s="188"/>
      <c r="Q16" s="188"/>
      <c r="R16" s="188"/>
      <c r="S16" s="188"/>
      <c r="T16" s="189"/>
    </row>
    <row r="17" spans="1:20" ht="12.75" customHeight="1">
      <c r="A17" s="186"/>
      <c r="B17" s="182"/>
      <c r="C17" s="182"/>
      <c r="D17" s="187"/>
      <c r="E17" s="187"/>
      <c r="F17" s="187"/>
      <c r="G17" s="185"/>
      <c r="H17" s="185"/>
      <c r="I17" s="185"/>
      <c r="J17" s="187"/>
      <c r="K17" s="187"/>
      <c r="L17" s="187"/>
      <c r="M17" s="187"/>
      <c r="N17" s="187"/>
      <c r="O17" s="187"/>
      <c r="P17" s="188"/>
      <c r="Q17" s="188"/>
      <c r="R17" s="188"/>
      <c r="S17" s="188"/>
      <c r="T17" s="189"/>
    </row>
    <row r="18" spans="1:20">
      <c r="A18" s="190" t="s">
        <v>106</v>
      </c>
      <c r="B18" s="191"/>
      <c r="C18" s="191"/>
      <c r="D18" s="192"/>
      <c r="E18" s="192"/>
      <c r="F18" s="192"/>
      <c r="G18" s="192"/>
      <c r="H18" s="192"/>
      <c r="I18" s="192"/>
      <c r="J18" s="192"/>
      <c r="K18" s="192"/>
      <c r="L18" s="109"/>
      <c r="M18" s="109"/>
    </row>
    <row r="19" spans="1:20">
      <c r="D19" s="111"/>
      <c r="E19" s="111"/>
      <c r="F19" s="111"/>
      <c r="J19" s="111"/>
      <c r="K19" s="111"/>
    </row>
    <row r="20" spans="1:20">
      <c r="D20" s="109"/>
      <c r="E20" s="109"/>
      <c r="F20" s="109"/>
      <c r="J20" s="109"/>
      <c r="K20" s="109"/>
    </row>
  </sheetData>
  <pageMargins left="0.75" right="0.75" top="2.5" bottom="1.5" header="0.3" footer="0.3"/>
  <pageSetup scale="35"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00"/>
  <sheetViews>
    <sheetView showGridLines="0" workbookViewId="0">
      <selection activeCell="E46" sqref="E46"/>
    </sheetView>
  </sheetViews>
  <sheetFormatPr defaultRowHeight="15"/>
  <cols>
    <col min="1" max="1" width="33.85546875" customWidth="1"/>
    <col min="2" max="2" width="9.140625" customWidth="1"/>
    <col min="3" max="3" width="14.28515625" customWidth="1"/>
    <col min="4" max="4" width="13.140625" customWidth="1"/>
    <col min="5" max="5" width="12.85546875" customWidth="1"/>
    <col min="6" max="6" width="11.42578125" customWidth="1"/>
    <col min="7" max="8" width="11.85546875" customWidth="1"/>
    <col min="9" max="9" width="12.42578125" customWidth="1"/>
    <col min="10" max="10" width="14.85546875" customWidth="1"/>
    <col min="11" max="11" width="13.28515625" customWidth="1"/>
    <col min="12" max="12" width="11.85546875" customWidth="1"/>
    <col min="13" max="13" width="14.28515625" customWidth="1"/>
    <col min="14" max="14" width="14" customWidth="1"/>
    <col min="15" max="15" width="11.5703125" customWidth="1"/>
    <col min="16" max="16" width="11.140625" customWidth="1"/>
    <col min="17" max="17" width="13" customWidth="1"/>
    <col min="18" max="19" width="11.42578125" customWidth="1"/>
  </cols>
  <sheetData>
    <row r="1" spans="1:19" s="11" customFormat="1" ht="12">
      <c r="A1" s="254" t="s">
        <v>107</v>
      </c>
      <c r="B1" s="81"/>
      <c r="C1" s="82">
        <v>2022</v>
      </c>
      <c r="D1" s="82">
        <f>'P&amp;L'!B1</f>
        <v>2023</v>
      </c>
      <c r="E1" s="82">
        <f>'P&amp;L'!C1</f>
        <v>2024</v>
      </c>
      <c r="F1" s="82" t="str">
        <f>'P&amp;L'!G1</f>
        <v>2025E</v>
      </c>
      <c r="G1" s="82" t="str">
        <f>'P&amp;L'!H1</f>
        <v>2026E</v>
      </c>
      <c r="H1" s="82" t="str">
        <f>'P&amp;L'!I1</f>
        <v>2027E</v>
      </c>
      <c r="I1" s="82" t="str">
        <f>'P&amp;L'!J1</f>
        <v>2028E</v>
      </c>
      <c r="J1" s="82" t="str">
        <f>'P&amp;L'!K1</f>
        <v>2029E</v>
      </c>
      <c r="K1" s="82" t="str">
        <f>'P&amp;L'!L1</f>
        <v>2030E</v>
      </c>
      <c r="L1" s="82" t="str">
        <f>'P&amp;L'!M1</f>
        <v>2031E</v>
      </c>
      <c r="M1" s="82" t="str">
        <f>'P&amp;L'!N1</f>
        <v>2032E</v>
      </c>
      <c r="N1" s="82" t="str">
        <f>'P&amp;L'!O1</f>
        <v>2033E</v>
      </c>
      <c r="O1" s="82" t="str">
        <f>'P&amp;L'!P1</f>
        <v>2034E</v>
      </c>
      <c r="P1" s="82" t="str">
        <f>'P&amp;L'!Q1</f>
        <v>2035E</v>
      </c>
      <c r="Q1" s="82" t="s">
        <v>20</v>
      </c>
      <c r="R1" s="82" t="s">
        <v>21</v>
      </c>
      <c r="S1" s="82" t="s">
        <v>22</v>
      </c>
    </row>
    <row r="2" spans="1:19" s="11" customFormat="1" ht="5.0999999999999996" customHeight="1">
      <c r="A2" s="40"/>
      <c r="Q2" s="11" t="s">
        <v>72</v>
      </c>
    </row>
    <row r="3" spans="1:19" s="11" customFormat="1" ht="12.2" customHeight="1">
      <c r="A3" s="255" t="s">
        <v>108</v>
      </c>
      <c r="B3" s="83"/>
      <c r="C3" s="83"/>
      <c r="D3" s="83"/>
      <c r="E3" s="83"/>
      <c r="F3" s="83"/>
      <c r="G3" s="83"/>
      <c r="H3" s="83"/>
      <c r="I3" s="83"/>
      <c r="J3" s="83"/>
      <c r="K3" s="83"/>
      <c r="L3" s="83"/>
      <c r="M3" s="83"/>
      <c r="N3" s="83"/>
      <c r="O3" s="83"/>
      <c r="P3" s="83"/>
      <c r="Q3" s="83"/>
      <c r="R3" s="83"/>
      <c r="S3" s="83"/>
    </row>
    <row r="4" spans="1:19" ht="12.2" customHeight="1"/>
    <row r="5" spans="1:19" s="11" customFormat="1" ht="12.2" customHeight="1">
      <c r="A5" s="276" t="s">
        <v>109</v>
      </c>
      <c r="B5" s="277">
        <v>2900000</v>
      </c>
      <c r="C5" s="90">
        <f>B5*(1+B6)</f>
        <v>2905800</v>
      </c>
      <c r="D5" s="90">
        <f t="shared" ref="D5:S5" si="0">C5*(1+C6)</f>
        <v>2911611.6</v>
      </c>
      <c r="E5" s="90">
        <f t="shared" si="0"/>
        <v>2917434.8232</v>
      </c>
      <c r="F5" s="90">
        <f t="shared" si="0"/>
        <v>2923269.6928464002</v>
      </c>
      <c r="G5" s="90">
        <f t="shared" si="0"/>
        <v>2929116.2322320929</v>
      </c>
      <c r="H5" s="90">
        <f t="shared" si="0"/>
        <v>2934974.4646965573</v>
      </c>
      <c r="I5" s="90">
        <f t="shared" si="0"/>
        <v>2940844.4136259505</v>
      </c>
      <c r="J5" s="90">
        <f t="shared" si="0"/>
        <v>2946726.1024532025</v>
      </c>
      <c r="K5" s="90">
        <f t="shared" si="0"/>
        <v>2952619.5546581089</v>
      </c>
      <c r="L5" s="90">
        <f t="shared" si="0"/>
        <v>2958524.7937674252</v>
      </c>
      <c r="M5" s="90">
        <f t="shared" si="0"/>
        <v>2964441.84335496</v>
      </c>
      <c r="N5" s="90">
        <f t="shared" si="0"/>
        <v>2970370.7270416701</v>
      </c>
      <c r="O5" s="90">
        <f t="shared" si="0"/>
        <v>2976311.4684957536</v>
      </c>
      <c r="P5" s="90">
        <f t="shared" si="0"/>
        <v>2982264.0914327451</v>
      </c>
      <c r="Q5" s="90">
        <f t="shared" si="0"/>
        <v>2988228.6196156107</v>
      </c>
      <c r="R5" s="90">
        <f t="shared" si="0"/>
        <v>2994205.0768548418</v>
      </c>
      <c r="S5" s="90">
        <f t="shared" si="0"/>
        <v>3000193.4870085516</v>
      </c>
    </row>
    <row r="6" spans="1:19" s="11" customFormat="1" ht="12.2" customHeight="1">
      <c r="A6" s="278" t="s">
        <v>110</v>
      </c>
      <c r="B6" s="89">
        <v>2E-3</v>
      </c>
      <c r="C6" s="279">
        <f>B6</f>
        <v>2E-3</v>
      </c>
      <c r="D6" s="279">
        <f t="shared" ref="D6:N6" si="1">C6</f>
        <v>2E-3</v>
      </c>
      <c r="E6" s="279">
        <f t="shared" si="1"/>
        <v>2E-3</v>
      </c>
      <c r="F6" s="279">
        <f t="shared" si="1"/>
        <v>2E-3</v>
      </c>
      <c r="G6" s="279">
        <f t="shared" si="1"/>
        <v>2E-3</v>
      </c>
      <c r="H6" s="279">
        <f t="shared" si="1"/>
        <v>2E-3</v>
      </c>
      <c r="I6" s="279">
        <f t="shared" si="1"/>
        <v>2E-3</v>
      </c>
      <c r="J6" s="279">
        <f t="shared" si="1"/>
        <v>2E-3</v>
      </c>
      <c r="K6" s="279">
        <f t="shared" si="1"/>
        <v>2E-3</v>
      </c>
      <c r="L6" s="279">
        <f t="shared" si="1"/>
        <v>2E-3</v>
      </c>
      <c r="M6" s="279">
        <f t="shared" si="1"/>
        <v>2E-3</v>
      </c>
      <c r="N6" s="279">
        <f t="shared" si="1"/>
        <v>2E-3</v>
      </c>
      <c r="O6" s="279">
        <f>N6</f>
        <v>2E-3</v>
      </c>
      <c r="P6" s="279">
        <f>O6</f>
        <v>2E-3</v>
      </c>
      <c r="Q6" s="279">
        <f>P6</f>
        <v>2E-3</v>
      </c>
      <c r="R6" s="279">
        <f>Q6</f>
        <v>2E-3</v>
      </c>
      <c r="S6" s="279">
        <f>R6</f>
        <v>2E-3</v>
      </c>
    </row>
    <row r="7" spans="1:19" s="11" customFormat="1" ht="12.2" customHeight="1">
      <c r="A7" s="262" t="s">
        <v>111</v>
      </c>
      <c r="B7" s="280">
        <f>1-B8</f>
        <v>0.55000000000000004</v>
      </c>
      <c r="C7" s="90">
        <f>C$5*$B7</f>
        <v>1598190.0000000002</v>
      </c>
      <c r="D7" s="90">
        <f t="shared" ref="D7:M8" si="2">D$5*$B7</f>
        <v>1601386.3800000001</v>
      </c>
      <c r="E7" s="90">
        <f t="shared" si="2"/>
        <v>1604589.1527600002</v>
      </c>
      <c r="F7" s="90">
        <f t="shared" si="2"/>
        <v>1607798.3310655202</v>
      </c>
      <c r="G7" s="90">
        <f t="shared" si="2"/>
        <v>1611013.9277276513</v>
      </c>
      <c r="H7" s="90">
        <f t="shared" si="2"/>
        <v>1614235.9555831067</v>
      </c>
      <c r="I7" s="90">
        <f t="shared" si="2"/>
        <v>1617464.4274942728</v>
      </c>
      <c r="J7" s="90">
        <f t="shared" si="2"/>
        <v>1620699.3563492615</v>
      </c>
      <c r="K7" s="90">
        <f t="shared" si="2"/>
        <v>1623940.7550619601</v>
      </c>
      <c r="L7" s="90">
        <f t="shared" si="2"/>
        <v>1627188.6365720839</v>
      </c>
      <c r="M7" s="90">
        <f t="shared" si="2"/>
        <v>1630443.0138452281</v>
      </c>
      <c r="N7" s="90">
        <f>N$5*$B7</f>
        <v>1633703.8998729186</v>
      </c>
      <c r="O7" s="90">
        <f t="shared" ref="O7:S8" si="3">O$5*$B7</f>
        <v>1636971.3076726645</v>
      </c>
      <c r="P7" s="90">
        <f t="shared" si="3"/>
        <v>1640245.2502880099</v>
      </c>
      <c r="Q7" s="90">
        <f t="shared" si="3"/>
        <v>1643525.740788586</v>
      </c>
      <c r="R7" s="90">
        <f t="shared" si="3"/>
        <v>1646812.7922701631</v>
      </c>
      <c r="S7" s="90">
        <f t="shared" si="3"/>
        <v>1650106.4178547035</v>
      </c>
    </row>
    <row r="8" spans="1:19" s="11" customFormat="1" ht="12.2" customHeight="1">
      <c r="A8" s="262" t="s">
        <v>112</v>
      </c>
      <c r="B8" s="281">
        <v>0.45</v>
      </c>
      <c r="C8" s="90">
        <f>C$5*$B8</f>
        <v>1307610</v>
      </c>
      <c r="D8" s="90">
        <f>D$5*$B8</f>
        <v>1310225.22</v>
      </c>
      <c r="E8" s="90">
        <f>E$5*$B8</f>
        <v>1312845.67044</v>
      </c>
      <c r="F8" s="90">
        <f t="shared" si="2"/>
        <v>1315471.36178088</v>
      </c>
      <c r="G8" s="90">
        <f t="shared" si="2"/>
        <v>1318102.3045044418</v>
      </c>
      <c r="H8" s="90">
        <f>H$5*$B8</f>
        <v>1320738.5091134508</v>
      </c>
      <c r="I8" s="90">
        <f t="shared" si="2"/>
        <v>1323379.9861316776</v>
      </c>
      <c r="J8" s="90">
        <f t="shared" si="2"/>
        <v>1326026.7461039412</v>
      </c>
      <c r="K8" s="90">
        <f t="shared" si="2"/>
        <v>1328678.799596149</v>
      </c>
      <c r="L8" s="90">
        <f t="shared" si="2"/>
        <v>1331336.1571953413</v>
      </c>
      <c r="M8" s="90">
        <f t="shared" si="2"/>
        <v>1333998.8295097321</v>
      </c>
      <c r="N8" s="90">
        <f>N$5*$B8</f>
        <v>1336666.8271687515</v>
      </c>
      <c r="O8" s="90">
        <f t="shared" si="3"/>
        <v>1339340.1608230891</v>
      </c>
      <c r="P8" s="90">
        <f t="shared" si="3"/>
        <v>1342018.8411447352</v>
      </c>
      <c r="Q8" s="90">
        <f t="shared" si="3"/>
        <v>1344702.8788270249</v>
      </c>
      <c r="R8" s="90">
        <f t="shared" si="3"/>
        <v>1347392.2845846789</v>
      </c>
      <c r="S8" s="90">
        <f t="shared" si="3"/>
        <v>1350087.0691538483</v>
      </c>
    </row>
    <row r="9" spans="1:19" ht="12.2" customHeight="1">
      <c r="A9" s="40"/>
      <c r="B9" s="40"/>
      <c r="C9" s="40"/>
      <c r="D9" s="40"/>
      <c r="E9" s="40"/>
      <c r="F9" s="40"/>
      <c r="G9" s="40"/>
      <c r="H9" s="40"/>
      <c r="I9" s="40"/>
      <c r="J9" s="40"/>
      <c r="K9" s="40"/>
      <c r="L9" s="40"/>
      <c r="M9" s="40"/>
      <c r="N9" s="40"/>
    </row>
    <row r="10" spans="1:19" ht="12.2" customHeight="1">
      <c r="A10" s="276" t="s">
        <v>113</v>
      </c>
      <c r="B10" s="40"/>
      <c r="C10" s="40"/>
      <c r="D10" s="40"/>
      <c r="E10" s="40"/>
      <c r="F10" s="40"/>
      <c r="G10" s="40"/>
      <c r="H10" s="40"/>
      <c r="I10" s="40"/>
      <c r="J10" s="40"/>
      <c r="K10" s="40"/>
      <c r="L10" s="40"/>
      <c r="M10" s="40"/>
      <c r="N10" s="40"/>
      <c r="O10" s="275"/>
      <c r="P10" s="275"/>
      <c r="Q10" s="275"/>
      <c r="R10" s="275"/>
      <c r="S10" s="275"/>
    </row>
    <row r="11" spans="1:19" ht="12.2" customHeight="1">
      <c r="A11" s="262" t="s">
        <v>114</v>
      </c>
      <c r="B11" s="40"/>
      <c r="C11" s="282">
        <v>0</v>
      </c>
      <c r="D11" s="282">
        <v>0</v>
      </c>
      <c r="E11" s="282">
        <v>0</v>
      </c>
      <c r="F11" s="282">
        <v>0</v>
      </c>
      <c r="G11" s="282">
        <v>0</v>
      </c>
      <c r="H11" s="282">
        <v>0</v>
      </c>
      <c r="I11" s="282">
        <v>0</v>
      </c>
      <c r="J11" s="282">
        <v>0</v>
      </c>
      <c r="K11" s="282">
        <v>0</v>
      </c>
      <c r="L11" s="282">
        <v>0</v>
      </c>
      <c r="M11" s="282">
        <v>5.0000000000000001E-3</v>
      </c>
      <c r="N11" s="282">
        <v>0.02</v>
      </c>
      <c r="O11" s="282">
        <v>0.02</v>
      </c>
      <c r="P11" s="282">
        <v>0.03</v>
      </c>
      <c r="Q11" s="282">
        <v>0.03</v>
      </c>
      <c r="R11" s="282">
        <v>0.04</v>
      </c>
      <c r="S11" s="282">
        <v>0.04</v>
      </c>
    </row>
    <row r="12" spans="1:19" ht="12.2" customHeight="1">
      <c r="A12" s="262" t="s">
        <v>115</v>
      </c>
      <c r="B12" s="40"/>
      <c r="C12" s="282">
        <v>0</v>
      </c>
      <c r="D12" s="282">
        <v>0</v>
      </c>
      <c r="E12" s="282">
        <v>1E-3</v>
      </c>
      <c r="F12" s="282">
        <v>0.02</v>
      </c>
      <c r="G12" s="282">
        <v>0.05</v>
      </c>
      <c r="H12" s="282">
        <v>0.1</v>
      </c>
      <c r="I12" s="282">
        <v>0.15</v>
      </c>
      <c r="J12" s="282">
        <v>0.2</v>
      </c>
      <c r="K12" s="282">
        <v>0.24</v>
      </c>
      <c r="L12" s="282">
        <v>0.27</v>
      </c>
      <c r="M12" s="282">
        <v>0.3</v>
      </c>
      <c r="N12" s="282">
        <v>0.3</v>
      </c>
      <c r="O12" s="282">
        <v>0.3</v>
      </c>
      <c r="P12" s="282">
        <v>0.3</v>
      </c>
      <c r="Q12" s="282">
        <v>0.3</v>
      </c>
      <c r="R12" s="282">
        <v>0.3</v>
      </c>
      <c r="S12" s="282">
        <v>0.3</v>
      </c>
    </row>
    <row r="13" spans="1:19" ht="12.2" customHeight="1">
      <c r="A13" s="262"/>
      <c r="B13" s="40"/>
      <c r="C13" s="282"/>
      <c r="D13" s="282"/>
      <c r="E13" s="282"/>
      <c r="F13" s="282"/>
      <c r="G13" s="282"/>
      <c r="H13" s="282"/>
      <c r="I13" s="282"/>
      <c r="J13" s="282"/>
      <c r="K13" s="282"/>
      <c r="L13" s="282"/>
      <c r="M13" s="282"/>
      <c r="N13" s="282"/>
      <c r="O13" s="256"/>
      <c r="P13" s="256"/>
      <c r="Q13" s="256"/>
      <c r="R13" s="256"/>
      <c r="S13" s="256"/>
    </row>
    <row r="14" spans="1:19" ht="12.2" customHeight="1">
      <c r="A14" s="262" t="s">
        <v>116</v>
      </c>
      <c r="B14" s="40"/>
      <c r="C14" s="282">
        <v>0</v>
      </c>
      <c r="D14" s="282">
        <v>0</v>
      </c>
      <c r="E14" s="282">
        <v>0</v>
      </c>
      <c r="F14" s="282">
        <v>0</v>
      </c>
      <c r="G14" s="282">
        <v>0</v>
      </c>
      <c r="H14" s="282">
        <v>0</v>
      </c>
      <c r="I14" s="282">
        <v>0</v>
      </c>
      <c r="J14" s="282">
        <v>0</v>
      </c>
      <c r="K14" s="282">
        <v>0</v>
      </c>
      <c r="L14" s="282">
        <v>0.01</v>
      </c>
      <c r="M14" s="282">
        <v>0.03</v>
      </c>
      <c r="N14" s="282">
        <v>0.05</v>
      </c>
      <c r="O14" s="282">
        <v>0.09</v>
      </c>
      <c r="P14" s="282">
        <v>0.12</v>
      </c>
      <c r="Q14" s="282">
        <v>0.15</v>
      </c>
      <c r="R14" s="282">
        <v>0.18</v>
      </c>
      <c r="S14" s="282">
        <v>0.2</v>
      </c>
    </row>
    <row r="15" spans="1:19" ht="12.2" customHeight="1">
      <c r="A15" s="262" t="s">
        <v>117</v>
      </c>
      <c r="B15" s="40"/>
      <c r="C15" s="282">
        <v>0</v>
      </c>
      <c r="D15" s="282">
        <v>0</v>
      </c>
      <c r="E15" s="282">
        <v>1</v>
      </c>
      <c r="F15" s="282">
        <v>1</v>
      </c>
      <c r="G15" s="282">
        <v>1</v>
      </c>
      <c r="H15" s="282">
        <v>1</v>
      </c>
      <c r="I15" s="282">
        <v>1</v>
      </c>
      <c r="J15" s="282">
        <v>0.99</v>
      </c>
      <c r="K15" s="282">
        <v>0.97</v>
      </c>
      <c r="L15" s="282">
        <v>0.94</v>
      </c>
      <c r="M15" s="282">
        <v>0.89</v>
      </c>
      <c r="N15" s="282">
        <v>0.84</v>
      </c>
      <c r="O15" s="282">
        <v>0.77</v>
      </c>
      <c r="P15" s="282">
        <v>0.7</v>
      </c>
      <c r="Q15" s="282">
        <v>0.63</v>
      </c>
      <c r="R15" s="282">
        <v>0.56000000000000005</v>
      </c>
      <c r="S15" s="282">
        <v>0.5</v>
      </c>
    </row>
    <row r="16" spans="1:19" ht="12.2" customHeight="1">
      <c r="A16" s="262" t="s">
        <v>57</v>
      </c>
      <c r="B16" s="40"/>
      <c r="C16" s="282">
        <v>0</v>
      </c>
      <c r="D16" s="282">
        <v>0</v>
      </c>
      <c r="E16" s="282">
        <v>0</v>
      </c>
      <c r="F16" s="282">
        <v>0</v>
      </c>
      <c r="G16" s="282">
        <v>0</v>
      </c>
      <c r="H16" s="282">
        <v>0</v>
      </c>
      <c r="I16" s="282">
        <v>0</v>
      </c>
      <c r="J16" s="282">
        <v>0.01</v>
      </c>
      <c r="K16" s="282">
        <v>0.03</v>
      </c>
      <c r="L16" s="282">
        <v>0.05</v>
      </c>
      <c r="M16" s="282">
        <v>0.08</v>
      </c>
      <c r="N16" s="282">
        <v>0.11</v>
      </c>
      <c r="O16" s="282">
        <v>0.14000000000000001</v>
      </c>
      <c r="P16" s="282">
        <v>0.18</v>
      </c>
      <c r="Q16" s="282">
        <v>0.22</v>
      </c>
      <c r="R16" s="282">
        <v>0.26</v>
      </c>
      <c r="S16" s="282">
        <v>0.3</v>
      </c>
    </row>
    <row r="17" spans="1:73" ht="12.2" customHeight="1">
      <c r="A17" s="284" t="s">
        <v>118</v>
      </c>
      <c r="B17" s="40"/>
      <c r="C17" s="282">
        <f>SUM(C14:C16)</f>
        <v>0</v>
      </c>
      <c r="D17" s="282">
        <f t="shared" ref="D17:S17" si="4">SUM(D14:D16)</f>
        <v>0</v>
      </c>
      <c r="E17" s="282">
        <f t="shared" si="4"/>
        <v>1</v>
      </c>
      <c r="F17" s="282">
        <f t="shared" si="4"/>
        <v>1</v>
      </c>
      <c r="G17" s="282">
        <f t="shared" si="4"/>
        <v>1</v>
      </c>
      <c r="H17" s="282">
        <f t="shared" si="4"/>
        <v>1</v>
      </c>
      <c r="I17" s="282">
        <f t="shared" si="4"/>
        <v>1</v>
      </c>
      <c r="J17" s="282">
        <f t="shared" si="4"/>
        <v>1</v>
      </c>
      <c r="K17" s="282">
        <f t="shared" si="4"/>
        <v>1</v>
      </c>
      <c r="L17" s="282">
        <f t="shared" si="4"/>
        <v>1</v>
      </c>
      <c r="M17" s="282">
        <f t="shared" si="4"/>
        <v>1</v>
      </c>
      <c r="N17" s="282">
        <f t="shared" si="4"/>
        <v>1</v>
      </c>
      <c r="O17" s="282">
        <f t="shared" si="4"/>
        <v>1</v>
      </c>
      <c r="P17" s="282">
        <f t="shared" si="4"/>
        <v>1</v>
      </c>
      <c r="Q17" s="282">
        <f t="shared" si="4"/>
        <v>1</v>
      </c>
      <c r="R17" s="282">
        <f t="shared" si="4"/>
        <v>1</v>
      </c>
      <c r="S17" s="282">
        <f t="shared" si="4"/>
        <v>1</v>
      </c>
    </row>
    <row r="18" spans="1:73" ht="12.2" customHeight="1">
      <c r="A18" s="285"/>
      <c r="B18" s="286"/>
      <c r="C18" s="286"/>
      <c r="D18" s="286"/>
      <c r="E18" s="286"/>
      <c r="F18" s="286"/>
      <c r="G18" s="286"/>
      <c r="H18" s="286"/>
      <c r="I18" s="286"/>
      <c r="J18" s="286"/>
      <c r="K18" s="286"/>
      <c r="L18" s="286"/>
      <c r="M18" s="286"/>
      <c r="N18" s="286"/>
      <c r="O18" s="258"/>
      <c r="P18" s="258"/>
      <c r="Q18" s="258"/>
      <c r="R18" s="258"/>
      <c r="S18" s="258"/>
    </row>
    <row r="19" spans="1:73" ht="12.2" customHeight="1">
      <c r="A19" s="276" t="s">
        <v>119</v>
      </c>
      <c r="B19" s="87"/>
      <c r="C19" s="87"/>
      <c r="D19" s="87"/>
      <c r="E19" s="87"/>
      <c r="F19" s="87"/>
      <c r="G19" s="87"/>
      <c r="H19" s="87"/>
      <c r="I19" s="87"/>
      <c r="J19" s="87"/>
      <c r="K19" s="87"/>
      <c r="L19" s="87"/>
      <c r="M19" s="87"/>
      <c r="N19" s="87"/>
      <c r="O19" s="91"/>
      <c r="P19" s="91"/>
      <c r="Q19" s="91"/>
      <c r="R19" s="91"/>
      <c r="S19" s="91"/>
    </row>
    <row r="20" spans="1:73" ht="12.2" customHeight="1">
      <c r="A20" s="262" t="s">
        <v>120</v>
      </c>
      <c r="B20" s="87"/>
      <c r="C20" s="90">
        <f t="shared" ref="C20:L20" si="5">C7*C11*C14</f>
        <v>0</v>
      </c>
      <c r="D20" s="90">
        <f t="shared" si="5"/>
        <v>0</v>
      </c>
      <c r="E20" s="90">
        <f t="shared" si="5"/>
        <v>0</v>
      </c>
      <c r="F20" s="90">
        <f t="shared" si="5"/>
        <v>0</v>
      </c>
      <c r="G20" s="90">
        <f t="shared" si="5"/>
        <v>0</v>
      </c>
      <c r="H20" s="90">
        <f t="shared" si="5"/>
        <v>0</v>
      </c>
      <c r="I20" s="90">
        <f t="shared" si="5"/>
        <v>0</v>
      </c>
      <c r="J20" s="90">
        <f t="shared" si="5"/>
        <v>0</v>
      </c>
      <c r="K20" s="90">
        <f t="shared" si="5"/>
        <v>0</v>
      </c>
      <c r="L20" s="90">
        <f t="shared" si="5"/>
        <v>0</v>
      </c>
      <c r="M20" s="90">
        <f t="shared" ref="M20:S20" si="6">M7*M11*M14</f>
        <v>244.56645207678423</v>
      </c>
      <c r="N20" s="90">
        <f t="shared" si="6"/>
        <v>1633.7038998729188</v>
      </c>
      <c r="O20" s="90">
        <f t="shared" si="6"/>
        <v>2946.548353810796</v>
      </c>
      <c r="P20" s="90">
        <f t="shared" si="6"/>
        <v>5904.8829010368345</v>
      </c>
      <c r="Q20" s="90">
        <f t="shared" si="6"/>
        <v>7395.8658335486361</v>
      </c>
      <c r="R20" s="90">
        <f t="shared" si="6"/>
        <v>11857.052104345174</v>
      </c>
      <c r="S20" s="90">
        <f t="shared" si="6"/>
        <v>13200.85134283763</v>
      </c>
    </row>
    <row r="21" spans="1:73" ht="12.2" customHeight="1">
      <c r="A21" s="262" t="s">
        <v>115</v>
      </c>
      <c r="B21" s="87"/>
      <c r="C21" s="90">
        <f t="shared" ref="C21:K21" si="7">C12*C8*C14</f>
        <v>0</v>
      </c>
      <c r="D21" s="90">
        <f t="shared" si="7"/>
        <v>0</v>
      </c>
      <c r="E21" s="90">
        <f t="shared" si="7"/>
        <v>0</v>
      </c>
      <c r="F21" s="90">
        <f t="shared" si="7"/>
        <v>0</v>
      </c>
      <c r="G21" s="90">
        <f t="shared" si="7"/>
        <v>0</v>
      </c>
      <c r="H21" s="90">
        <f t="shared" si="7"/>
        <v>0</v>
      </c>
      <c r="I21" s="90">
        <f t="shared" si="7"/>
        <v>0</v>
      </c>
      <c r="J21" s="90">
        <f t="shared" si="7"/>
        <v>0</v>
      </c>
      <c r="K21" s="90">
        <f t="shared" si="7"/>
        <v>0</v>
      </c>
      <c r="L21" s="90">
        <f>L12*L8*L14</f>
        <v>3594.6076244274218</v>
      </c>
      <c r="M21" s="90">
        <f>(M12*M8*M14)</f>
        <v>12005.989465587589</v>
      </c>
      <c r="N21" s="90">
        <f t="shared" ref="N21:S21" si="8">(N12*N8*N14) + (N7*N11*N14)</f>
        <v>21683.706307404191</v>
      </c>
      <c r="O21" s="90">
        <f t="shared" si="8"/>
        <v>39108.732696034196</v>
      </c>
      <c r="P21" s="90">
        <f t="shared" si="8"/>
        <v>54217.5611822473</v>
      </c>
      <c r="Q21" s="90">
        <f t="shared" si="8"/>
        <v>67907.495380764754</v>
      </c>
      <c r="R21" s="90">
        <f t="shared" si="8"/>
        <v>84616.235471917826</v>
      </c>
      <c r="S21" s="90">
        <f t="shared" si="8"/>
        <v>94206.075492068543</v>
      </c>
    </row>
    <row r="22" spans="1:73" ht="12.2" customHeight="1">
      <c r="A22" s="284" t="s">
        <v>121</v>
      </c>
      <c r="B22" s="87"/>
      <c r="C22" s="87">
        <f t="shared" ref="C22:K22" si="9">SUM(C20:C21)</f>
        <v>0</v>
      </c>
      <c r="D22" s="87">
        <f t="shared" si="9"/>
        <v>0</v>
      </c>
      <c r="E22" s="87">
        <f t="shared" si="9"/>
        <v>0</v>
      </c>
      <c r="F22" s="87">
        <f t="shared" si="9"/>
        <v>0</v>
      </c>
      <c r="G22" s="87">
        <f t="shared" si="9"/>
        <v>0</v>
      </c>
      <c r="H22" s="87">
        <f t="shared" si="9"/>
        <v>0</v>
      </c>
      <c r="I22" s="87">
        <f t="shared" si="9"/>
        <v>0</v>
      </c>
      <c r="J22" s="87">
        <f t="shared" si="9"/>
        <v>0</v>
      </c>
      <c r="K22" s="87">
        <f t="shared" si="9"/>
        <v>0</v>
      </c>
      <c r="L22" s="87">
        <f t="shared" ref="L22:S22" si="10">SUM(L20:L21)</f>
        <v>3594.6076244274218</v>
      </c>
      <c r="M22" s="87">
        <f t="shared" si="10"/>
        <v>12250.555917664373</v>
      </c>
      <c r="N22" s="87">
        <f t="shared" si="10"/>
        <v>23317.410207277109</v>
      </c>
      <c r="O22" s="87">
        <f t="shared" si="10"/>
        <v>42055.281049844991</v>
      </c>
      <c r="P22" s="87">
        <f t="shared" si="10"/>
        <v>60122.444083284136</v>
      </c>
      <c r="Q22" s="87">
        <f t="shared" si="10"/>
        <v>75303.361214313394</v>
      </c>
      <c r="R22" s="87">
        <f t="shared" si="10"/>
        <v>96473.287576262999</v>
      </c>
      <c r="S22" s="87">
        <f t="shared" si="10"/>
        <v>107406.92683490617</v>
      </c>
    </row>
    <row r="23" spans="1:73" ht="12.2" customHeight="1">
      <c r="A23" s="287" t="s">
        <v>122</v>
      </c>
      <c r="B23" s="40"/>
      <c r="C23" s="288"/>
      <c r="D23" s="288"/>
      <c r="E23" s="293">
        <f t="shared" ref="E23:S23" si="11">(E7*E11)+(E8*E12)</f>
        <v>1312.84567044</v>
      </c>
      <c r="F23" s="293">
        <f t="shared" si="11"/>
        <v>26309.427235617601</v>
      </c>
      <c r="G23" s="293">
        <f t="shared" si="11"/>
        <v>65905.115225222093</v>
      </c>
      <c r="H23" s="293">
        <f t="shared" si="11"/>
        <v>132073.85091134507</v>
      </c>
      <c r="I23" s="293">
        <f t="shared" si="11"/>
        <v>198506.99791975165</v>
      </c>
      <c r="J23" s="293">
        <f t="shared" si="11"/>
        <v>265205.34922078828</v>
      </c>
      <c r="K23" s="293">
        <f t="shared" si="11"/>
        <v>318882.91190307576</v>
      </c>
      <c r="L23" s="293">
        <f t="shared" si="11"/>
        <v>359460.76244274218</v>
      </c>
      <c r="M23" s="293">
        <f t="shared" si="11"/>
        <v>408351.8639221458</v>
      </c>
      <c r="N23" s="293">
        <f t="shared" si="11"/>
        <v>433674.12614808383</v>
      </c>
      <c r="O23" s="293">
        <f t="shared" si="11"/>
        <v>434541.47440037999</v>
      </c>
      <c r="P23" s="293">
        <f t="shared" si="11"/>
        <v>451813.00985206082</v>
      </c>
      <c r="Q23" s="293">
        <f t="shared" si="11"/>
        <v>452716.63587176503</v>
      </c>
      <c r="R23" s="293">
        <f t="shared" si="11"/>
        <v>470090.19706621021</v>
      </c>
      <c r="S23" s="293">
        <f t="shared" si="11"/>
        <v>471030.37746034266</v>
      </c>
    </row>
    <row r="24" spans="1:73" ht="12.2" customHeight="1">
      <c r="A24" s="287"/>
      <c r="B24" s="40"/>
      <c r="C24" s="288"/>
      <c r="D24" s="288"/>
      <c r="E24" s="288"/>
      <c r="F24" s="288"/>
      <c r="G24" s="288"/>
      <c r="H24" s="288"/>
      <c r="I24" s="288"/>
      <c r="J24" s="288"/>
      <c r="K24" s="288"/>
      <c r="L24" s="288"/>
      <c r="M24" s="288"/>
      <c r="N24" s="288"/>
      <c r="O24" s="270"/>
      <c r="P24" s="270"/>
      <c r="Q24" s="270"/>
      <c r="R24" s="270"/>
      <c r="S24" s="270"/>
    </row>
    <row r="25" spans="1:73" ht="12.2" customHeight="1">
      <c r="A25" s="287"/>
      <c r="B25" s="40"/>
      <c r="C25" s="288"/>
      <c r="D25" s="288"/>
      <c r="E25" s="288"/>
      <c r="F25" s="288"/>
      <c r="G25" s="288"/>
      <c r="H25" s="288"/>
      <c r="I25" s="288"/>
      <c r="J25" s="288"/>
      <c r="K25" s="288"/>
      <c r="L25" s="288"/>
      <c r="M25" s="288"/>
      <c r="N25" s="288"/>
      <c r="O25" s="270"/>
      <c r="P25" s="270"/>
      <c r="Q25" s="270"/>
      <c r="R25" s="270"/>
      <c r="S25" s="270"/>
      <c r="T25" s="257"/>
    </row>
    <row r="26" spans="1:73" ht="12.2" customHeight="1">
      <c r="A26" s="276" t="s">
        <v>123</v>
      </c>
      <c r="B26" s="294">
        <f>B49</f>
        <v>24000</v>
      </c>
      <c r="C26" s="276"/>
      <c r="D26" s="290"/>
      <c r="E26" s="290"/>
      <c r="F26" s="289"/>
      <c r="G26" s="291"/>
      <c r="H26" s="289"/>
      <c r="I26" s="289"/>
      <c r="J26" s="291"/>
      <c r="K26" s="291"/>
      <c r="L26" s="294">
        <f>$B$26</f>
        <v>24000</v>
      </c>
      <c r="M26" s="291">
        <f t="shared" ref="M26:S26" si="12">L26*(1+M27)</f>
        <v>24480</v>
      </c>
      <c r="N26" s="291">
        <f t="shared" si="12"/>
        <v>24969.600000000002</v>
      </c>
      <c r="O26" s="291">
        <f t="shared" si="12"/>
        <v>25468.992000000002</v>
      </c>
      <c r="P26" s="291">
        <f t="shared" si="12"/>
        <v>25978.371840000003</v>
      </c>
      <c r="Q26" s="291">
        <f t="shared" si="12"/>
        <v>26497.939276800003</v>
      </c>
      <c r="R26" s="291">
        <f t="shared" si="12"/>
        <v>27027.898062336004</v>
      </c>
      <c r="S26" s="291">
        <f t="shared" si="12"/>
        <v>27568.456023582723</v>
      </c>
    </row>
    <row r="27" spans="1:73" ht="12.2" customHeight="1">
      <c r="A27" s="278" t="s">
        <v>124</v>
      </c>
      <c r="B27" s="283">
        <f>B50</f>
        <v>0.02</v>
      </c>
      <c r="C27" s="279"/>
      <c r="D27" s="279"/>
      <c r="E27" s="279"/>
      <c r="F27" s="279"/>
      <c r="G27" s="283"/>
      <c r="H27" s="283"/>
      <c r="I27" s="283"/>
      <c r="J27" s="292"/>
      <c r="K27" s="292"/>
      <c r="L27" s="283">
        <f>B27</f>
        <v>0.02</v>
      </c>
      <c r="M27" s="292">
        <f t="shared" ref="D27:N28" si="13">L27</f>
        <v>0.02</v>
      </c>
      <c r="N27" s="292">
        <f t="shared" si="13"/>
        <v>0.02</v>
      </c>
      <c r="O27" s="292">
        <f t="shared" ref="O27:S28" si="14">N27</f>
        <v>0.02</v>
      </c>
      <c r="P27" s="292">
        <f t="shared" si="14"/>
        <v>0.02</v>
      </c>
      <c r="Q27" s="292">
        <f t="shared" si="14"/>
        <v>0.02</v>
      </c>
      <c r="R27" s="292">
        <f t="shared" si="14"/>
        <v>0.02</v>
      </c>
      <c r="S27" s="292">
        <f t="shared" si="14"/>
        <v>0.02</v>
      </c>
    </row>
    <row r="28" spans="1:73" ht="12.2" customHeight="1">
      <c r="A28" s="262" t="s">
        <v>125</v>
      </c>
      <c r="B28" s="282">
        <f>B51</f>
        <v>0.4</v>
      </c>
      <c r="C28" s="280">
        <f>B28</f>
        <v>0.4</v>
      </c>
      <c r="D28" s="280">
        <f t="shared" si="13"/>
        <v>0.4</v>
      </c>
      <c r="E28" s="280">
        <f t="shared" si="13"/>
        <v>0.4</v>
      </c>
      <c r="F28" s="280">
        <f t="shared" si="13"/>
        <v>0.4</v>
      </c>
      <c r="G28" s="280">
        <f>F28</f>
        <v>0.4</v>
      </c>
      <c r="H28" s="280">
        <f t="shared" si="13"/>
        <v>0.4</v>
      </c>
      <c r="I28" s="280">
        <f t="shared" si="13"/>
        <v>0.4</v>
      </c>
      <c r="J28" s="280">
        <f t="shared" si="13"/>
        <v>0.4</v>
      </c>
      <c r="K28" s="280">
        <f t="shared" si="13"/>
        <v>0.4</v>
      </c>
      <c r="L28" s="280">
        <f t="shared" si="13"/>
        <v>0.4</v>
      </c>
      <c r="M28" s="280">
        <f t="shared" si="13"/>
        <v>0.4</v>
      </c>
      <c r="N28" s="280">
        <f>M28</f>
        <v>0.4</v>
      </c>
      <c r="O28" s="280">
        <f t="shared" si="14"/>
        <v>0.4</v>
      </c>
      <c r="P28" s="280">
        <f t="shared" si="14"/>
        <v>0.4</v>
      </c>
      <c r="Q28" s="280">
        <f t="shared" si="14"/>
        <v>0.4</v>
      </c>
      <c r="R28" s="280">
        <f t="shared" si="14"/>
        <v>0.4</v>
      </c>
      <c r="S28" s="280">
        <f t="shared" si="14"/>
        <v>0.4</v>
      </c>
    </row>
    <row r="29" spans="1:73" s="253" customFormat="1" ht="12.2" customHeight="1">
      <c r="A29" s="262" t="s">
        <v>126</v>
      </c>
      <c r="B29" s="291"/>
      <c r="C29" s="291"/>
      <c r="D29" s="291"/>
      <c r="E29" s="291"/>
      <c r="F29" s="291"/>
      <c r="G29" s="291"/>
      <c r="H29" s="291"/>
      <c r="I29" s="291"/>
      <c r="J29" s="291"/>
      <c r="K29" s="291"/>
      <c r="L29" s="291">
        <f t="shared" ref="L29:S29" si="15">L26*(1-L28)</f>
        <v>14400</v>
      </c>
      <c r="M29" s="291">
        <f t="shared" si="15"/>
        <v>14688</v>
      </c>
      <c r="N29" s="291">
        <f t="shared" si="15"/>
        <v>14981.76</v>
      </c>
      <c r="O29" s="291">
        <f t="shared" si="15"/>
        <v>15281.395200000001</v>
      </c>
      <c r="P29" s="291">
        <f t="shared" si="15"/>
        <v>15587.023104000002</v>
      </c>
      <c r="Q29" s="291">
        <f t="shared" si="15"/>
        <v>15898.763566080001</v>
      </c>
      <c r="R29" s="291">
        <f t="shared" si="15"/>
        <v>16216.738837401601</v>
      </c>
      <c r="S29" s="291">
        <f t="shared" si="15"/>
        <v>16541.073614149635</v>
      </c>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row>
    <row r="30" spans="1:73" ht="12.2" customHeight="1">
      <c r="A30" s="262" t="s">
        <v>127</v>
      </c>
      <c r="B30" s="281">
        <v>0.6</v>
      </c>
      <c r="C30" s="280">
        <f>B30</f>
        <v>0.6</v>
      </c>
      <c r="D30" s="280">
        <f t="shared" ref="D30:M30" si="16">C30</f>
        <v>0.6</v>
      </c>
      <c r="E30" s="280">
        <f t="shared" si="16"/>
        <v>0.6</v>
      </c>
      <c r="F30" s="280">
        <f t="shared" si="16"/>
        <v>0.6</v>
      </c>
      <c r="G30" s="280">
        <f t="shared" si="16"/>
        <v>0.6</v>
      </c>
      <c r="H30" s="280">
        <f t="shared" si="16"/>
        <v>0.6</v>
      </c>
      <c r="I30" s="280">
        <f t="shared" si="16"/>
        <v>0.6</v>
      </c>
      <c r="J30" s="280">
        <f t="shared" si="16"/>
        <v>0.6</v>
      </c>
      <c r="K30" s="280">
        <f>J30</f>
        <v>0.6</v>
      </c>
      <c r="L30" s="280">
        <f t="shared" si="16"/>
        <v>0.6</v>
      </c>
      <c r="M30" s="280">
        <f t="shared" si="16"/>
        <v>0.6</v>
      </c>
      <c r="N30" s="280">
        <f t="shared" ref="N30:S30" si="17">M30</f>
        <v>0.6</v>
      </c>
      <c r="O30" s="280">
        <f t="shared" si="17"/>
        <v>0.6</v>
      </c>
      <c r="P30" s="280">
        <f t="shared" si="17"/>
        <v>0.6</v>
      </c>
      <c r="Q30" s="280">
        <f t="shared" si="17"/>
        <v>0.6</v>
      </c>
      <c r="R30" s="280">
        <f t="shared" si="17"/>
        <v>0.6</v>
      </c>
      <c r="S30" s="280">
        <f t="shared" si="17"/>
        <v>0.6</v>
      </c>
    </row>
    <row r="31" spans="1:73" ht="12.2" customHeight="1">
      <c r="A31" s="40"/>
      <c r="B31" s="40"/>
      <c r="C31" s="40"/>
      <c r="D31" s="40"/>
      <c r="E31" s="40"/>
      <c r="F31" s="40"/>
      <c r="G31" s="40"/>
      <c r="H31" s="40"/>
      <c r="I31" s="40"/>
      <c r="J31" s="40"/>
      <c r="K31" s="40"/>
      <c r="L31" s="40"/>
      <c r="M31" s="40"/>
      <c r="N31" s="40"/>
      <c r="O31" s="270"/>
      <c r="P31" s="270"/>
      <c r="Q31" s="270"/>
      <c r="R31" s="270"/>
      <c r="S31" s="270"/>
    </row>
    <row r="32" spans="1:73" s="11" customFormat="1" ht="3.95" customHeight="1">
      <c r="A32" s="5"/>
      <c r="B32" s="6"/>
      <c r="C32" s="6"/>
      <c r="D32" s="6"/>
      <c r="E32" s="6"/>
      <c r="F32" s="6"/>
      <c r="G32" s="6"/>
      <c r="H32" s="6"/>
      <c r="I32" s="6"/>
      <c r="J32" s="6"/>
      <c r="K32" s="6"/>
      <c r="L32" s="6"/>
      <c r="M32" s="9"/>
      <c r="N32" s="9"/>
      <c r="O32" s="9"/>
      <c r="P32" s="9"/>
      <c r="Q32" s="9"/>
      <c r="R32" s="9"/>
      <c r="S32" s="9"/>
    </row>
    <row r="33" spans="1:19" ht="12.2" customHeight="1">
      <c r="C33" s="11"/>
      <c r="D33" s="11"/>
      <c r="E33" s="11"/>
      <c r="F33" s="11"/>
      <c r="G33" s="11"/>
      <c r="H33" s="11"/>
      <c r="I33" s="11"/>
      <c r="J33" s="11"/>
      <c r="K33" s="11"/>
      <c r="L33" s="11"/>
      <c r="M33" s="11"/>
      <c r="N33" s="11"/>
      <c r="O33" s="11"/>
      <c r="P33" s="11"/>
      <c r="Q33" s="11"/>
      <c r="R33" s="11"/>
      <c r="S33" s="11"/>
    </row>
    <row r="34" spans="1:19" s="11" customFormat="1" ht="12.2" customHeight="1">
      <c r="A34" s="271" t="s">
        <v>128</v>
      </c>
      <c r="B34" s="272"/>
      <c r="C34" s="273">
        <f>C22*C29*C30/1000000</f>
        <v>0</v>
      </c>
      <c r="D34" s="273">
        <f t="shared" ref="D34:K34" si="18">D22*D29*D30/1000000</f>
        <v>0</v>
      </c>
      <c r="E34" s="273">
        <f t="shared" si="18"/>
        <v>0</v>
      </c>
      <c r="F34" s="273">
        <f t="shared" si="18"/>
        <v>0</v>
      </c>
      <c r="G34" s="273">
        <f t="shared" si="18"/>
        <v>0</v>
      </c>
      <c r="H34" s="273">
        <f t="shared" si="18"/>
        <v>0</v>
      </c>
      <c r="I34" s="273">
        <f t="shared" si="18"/>
        <v>0</v>
      </c>
      <c r="J34" s="273">
        <f t="shared" si="18"/>
        <v>0</v>
      </c>
      <c r="K34" s="273">
        <f t="shared" si="18"/>
        <v>0</v>
      </c>
      <c r="L34" s="273">
        <f>L22*L29*L30/1000000</f>
        <v>31.057409875052922</v>
      </c>
      <c r="M34" s="273">
        <f t="shared" ref="M34:R34" si="19">M22*M29*M30/1000000</f>
        <v>107.96169919119258</v>
      </c>
      <c r="N34" s="273">
        <f t="shared" si="19"/>
        <v>209.60150612818555</v>
      </c>
      <c r="O34" s="273">
        <f t="shared" si="19"/>
        <v>385.59802198185128</v>
      </c>
      <c r="P34" s="273">
        <f t="shared" si="19"/>
        <v>562.27795499705871</v>
      </c>
      <c r="Q34" s="273">
        <f t="shared" si="19"/>
        <v>718.33820140649254</v>
      </c>
      <c r="R34" s="273">
        <f t="shared" si="19"/>
        <v>938.68926564587844</v>
      </c>
      <c r="S34" s="273">
        <f>S22*S29*S30/1000000</f>
        <v>1065.9755300674601</v>
      </c>
    </row>
    <row r="35" spans="1:19" s="11" customFormat="1" ht="12.2" customHeight="1">
      <c r="A35" s="86" t="s">
        <v>129</v>
      </c>
      <c r="B35" s="88">
        <f>B48</f>
        <v>0.5</v>
      </c>
      <c r="C35" s="91">
        <f>B35</f>
        <v>0.5</v>
      </c>
      <c r="D35" s="91">
        <f t="shared" ref="D35:S35" si="20">C35</f>
        <v>0.5</v>
      </c>
      <c r="E35" s="91">
        <f t="shared" si="20"/>
        <v>0.5</v>
      </c>
      <c r="F35" s="91">
        <f t="shared" si="20"/>
        <v>0.5</v>
      </c>
      <c r="G35" s="91">
        <f t="shared" si="20"/>
        <v>0.5</v>
      </c>
      <c r="H35" s="91">
        <f t="shared" si="20"/>
        <v>0.5</v>
      </c>
      <c r="I35" s="91">
        <f t="shared" si="20"/>
        <v>0.5</v>
      </c>
      <c r="J35" s="91">
        <f t="shared" si="20"/>
        <v>0.5</v>
      </c>
      <c r="K35" s="91">
        <f t="shared" si="20"/>
        <v>0.5</v>
      </c>
      <c r="L35" s="91">
        <f t="shared" si="20"/>
        <v>0.5</v>
      </c>
      <c r="M35" s="91">
        <f t="shared" si="20"/>
        <v>0.5</v>
      </c>
      <c r="N35" s="91">
        <f t="shared" si="20"/>
        <v>0.5</v>
      </c>
      <c r="O35" s="91">
        <f t="shared" si="20"/>
        <v>0.5</v>
      </c>
      <c r="P35" s="91">
        <f t="shared" si="20"/>
        <v>0.5</v>
      </c>
      <c r="Q35" s="91">
        <f t="shared" si="20"/>
        <v>0.5</v>
      </c>
      <c r="R35" s="91">
        <f t="shared" si="20"/>
        <v>0.5</v>
      </c>
      <c r="S35" s="91">
        <f t="shared" si="20"/>
        <v>0.5</v>
      </c>
    </row>
    <row r="36" spans="1:19" s="11" customFormat="1" ht="12.2" customHeight="1">
      <c r="A36" s="92" t="s">
        <v>130</v>
      </c>
      <c r="B36" s="93"/>
      <c r="C36" s="94">
        <f t="shared" ref="C36:P36" si="21">+C35*C34</f>
        <v>0</v>
      </c>
      <c r="D36" s="94">
        <f t="shared" si="21"/>
        <v>0</v>
      </c>
      <c r="E36" s="94">
        <f t="shared" si="21"/>
        <v>0</v>
      </c>
      <c r="F36" s="94">
        <f t="shared" si="21"/>
        <v>0</v>
      </c>
      <c r="G36" s="94">
        <f t="shared" si="21"/>
        <v>0</v>
      </c>
      <c r="H36" s="94">
        <f t="shared" si="21"/>
        <v>0</v>
      </c>
      <c r="I36" s="94">
        <f t="shared" si="21"/>
        <v>0</v>
      </c>
      <c r="J36" s="94">
        <f t="shared" si="21"/>
        <v>0</v>
      </c>
      <c r="K36" s="94">
        <f t="shared" si="21"/>
        <v>0</v>
      </c>
      <c r="L36" s="94">
        <f t="shared" si="21"/>
        <v>15.528704937526461</v>
      </c>
      <c r="M36" s="94">
        <f t="shared" si="21"/>
        <v>53.98084959559629</v>
      </c>
      <c r="N36" s="94">
        <f t="shared" si="21"/>
        <v>104.80075306409277</v>
      </c>
      <c r="O36" s="94">
        <f t="shared" si="21"/>
        <v>192.79901099092564</v>
      </c>
      <c r="P36" s="94">
        <f t="shared" si="21"/>
        <v>281.13897749852936</v>
      </c>
      <c r="Q36" s="94">
        <f>+Q35*Q34</f>
        <v>359.16910070324627</v>
      </c>
      <c r="R36" s="94">
        <f>+R35*R34</f>
        <v>469.34463282293922</v>
      </c>
      <c r="S36" s="94">
        <f>+S35*S34</f>
        <v>532.98776503373006</v>
      </c>
    </row>
    <row r="37" spans="1:19" ht="12.2" customHeight="1"/>
    <row r="38" spans="1:19" ht="12.2" customHeight="1">
      <c r="A38" s="95" t="s">
        <v>131</v>
      </c>
      <c r="B38" s="11"/>
      <c r="C38" s="96">
        <v>0</v>
      </c>
      <c r="D38" s="96">
        <v>0</v>
      </c>
      <c r="E38" s="96">
        <v>0</v>
      </c>
      <c r="F38" s="96">
        <v>0</v>
      </c>
      <c r="G38" s="96">
        <v>0</v>
      </c>
      <c r="H38" s="96">
        <v>0</v>
      </c>
      <c r="I38" s="96">
        <v>0</v>
      </c>
      <c r="J38" s="96">
        <v>0</v>
      </c>
      <c r="K38" s="96">
        <v>0</v>
      </c>
      <c r="L38" s="96">
        <v>0</v>
      </c>
      <c r="M38" s="96">
        <v>0</v>
      </c>
      <c r="N38" s="96">
        <v>0.01</v>
      </c>
      <c r="O38" s="96">
        <v>3.5000000000000003E-2</v>
      </c>
      <c r="P38" s="96">
        <v>0.08</v>
      </c>
      <c r="Q38" s="96">
        <v>0.12</v>
      </c>
      <c r="R38" s="96">
        <v>0.15</v>
      </c>
      <c r="S38" s="96">
        <v>0.15</v>
      </c>
    </row>
    <row r="39" spans="1:19" ht="12.2" customHeight="1">
      <c r="A39" s="198" t="s">
        <v>132</v>
      </c>
      <c r="B39" s="199"/>
      <c r="C39" s="200">
        <f>+C38*C34</f>
        <v>0</v>
      </c>
      <c r="D39" s="200">
        <f t="shared" ref="D39:P40" si="22">+D38*D34</f>
        <v>0</v>
      </c>
      <c r="E39" s="200">
        <f t="shared" si="22"/>
        <v>0</v>
      </c>
      <c r="F39" s="200">
        <f t="shared" si="22"/>
        <v>0</v>
      </c>
      <c r="G39" s="200">
        <f t="shared" si="22"/>
        <v>0</v>
      </c>
      <c r="H39" s="200">
        <f t="shared" si="22"/>
        <v>0</v>
      </c>
      <c r="I39" s="200">
        <f t="shared" si="22"/>
        <v>0</v>
      </c>
      <c r="J39" s="200">
        <f t="shared" si="22"/>
        <v>0</v>
      </c>
      <c r="K39" s="200">
        <f t="shared" si="22"/>
        <v>0</v>
      </c>
      <c r="L39" s="200">
        <f t="shared" si="22"/>
        <v>0</v>
      </c>
      <c r="M39" s="200">
        <f t="shared" si="22"/>
        <v>0</v>
      </c>
      <c r="N39" s="200">
        <f t="shared" si="22"/>
        <v>2.0960150612818556</v>
      </c>
      <c r="O39" s="200">
        <f t="shared" si="22"/>
        <v>13.495930769364795</v>
      </c>
      <c r="P39" s="200">
        <f t="shared" si="22"/>
        <v>44.982236399764695</v>
      </c>
      <c r="Q39" s="200">
        <f>+Q38*Q34</f>
        <v>86.200584168779102</v>
      </c>
      <c r="R39" s="200">
        <f>+R38*R34</f>
        <v>140.80338984688177</v>
      </c>
      <c r="S39" s="200">
        <f>+S38*S34</f>
        <v>159.89632951011902</v>
      </c>
    </row>
    <row r="40" spans="1:19" ht="12.2" customHeight="1">
      <c r="A40" s="92" t="s">
        <v>133</v>
      </c>
      <c r="B40" s="93"/>
      <c r="C40" s="97">
        <f>+C39*C35</f>
        <v>0</v>
      </c>
      <c r="D40" s="97">
        <f t="shared" si="22"/>
        <v>0</v>
      </c>
      <c r="E40" s="97">
        <f t="shared" si="22"/>
        <v>0</v>
      </c>
      <c r="F40" s="97">
        <f t="shared" si="22"/>
        <v>0</v>
      </c>
      <c r="G40" s="97">
        <f t="shared" ref="G40:M40" si="23">G38*G36</f>
        <v>0</v>
      </c>
      <c r="H40" s="97">
        <f t="shared" si="23"/>
        <v>0</v>
      </c>
      <c r="I40" s="97">
        <f t="shared" si="23"/>
        <v>0</v>
      </c>
      <c r="J40" s="97">
        <f t="shared" si="23"/>
        <v>0</v>
      </c>
      <c r="K40" s="97">
        <f t="shared" si="23"/>
        <v>0</v>
      </c>
      <c r="L40" s="97">
        <f t="shared" si="23"/>
        <v>0</v>
      </c>
      <c r="M40" s="97">
        <f t="shared" si="23"/>
        <v>0</v>
      </c>
      <c r="N40" s="97">
        <f t="shared" ref="N40:S40" si="24">N38*N36</f>
        <v>1.0480075306409278</v>
      </c>
      <c r="O40" s="97">
        <f t="shared" si="24"/>
        <v>6.7479653846823977</v>
      </c>
      <c r="P40" s="97">
        <f t="shared" si="24"/>
        <v>22.491118199882347</v>
      </c>
      <c r="Q40" s="97">
        <f t="shared" si="24"/>
        <v>43.100292084389551</v>
      </c>
      <c r="R40" s="97">
        <f t="shared" si="24"/>
        <v>70.401694923440886</v>
      </c>
      <c r="S40" s="97">
        <f t="shared" si="24"/>
        <v>79.948164755059508</v>
      </c>
    </row>
    <row r="41" spans="1:19" ht="12.2" customHeight="1">
      <c r="A41" s="11"/>
      <c r="B41" s="11"/>
      <c r="C41" s="11"/>
      <c r="D41" s="11"/>
      <c r="E41" s="11"/>
      <c r="F41" s="11"/>
      <c r="G41" s="11"/>
      <c r="H41" s="11"/>
      <c r="I41" s="11"/>
      <c r="J41" s="11"/>
      <c r="K41" s="11"/>
      <c r="L41" s="11"/>
      <c r="M41" s="11"/>
      <c r="N41" s="11"/>
      <c r="O41" s="11"/>
      <c r="P41" s="11"/>
    </row>
    <row r="42" spans="1:19" ht="12.2" customHeight="1">
      <c r="A42" s="198" t="s">
        <v>134</v>
      </c>
      <c r="B42" s="199"/>
      <c r="C42" s="200">
        <f>+C39+C34</f>
        <v>0</v>
      </c>
      <c r="D42" s="200">
        <f>+D39+D34</f>
        <v>0</v>
      </c>
      <c r="E42" s="200">
        <f>+E39+E34</f>
        <v>0</v>
      </c>
      <c r="F42" s="200">
        <f>+F39+F34</f>
        <v>0</v>
      </c>
      <c r="G42" s="200">
        <f t="shared" ref="G42:R42" si="25">+G39+G34</f>
        <v>0</v>
      </c>
      <c r="H42" s="200">
        <f t="shared" si="25"/>
        <v>0</v>
      </c>
      <c r="I42" s="200">
        <f t="shared" si="25"/>
        <v>0</v>
      </c>
      <c r="J42" s="200">
        <f t="shared" si="25"/>
        <v>0</v>
      </c>
      <c r="K42" s="200">
        <f t="shared" si="25"/>
        <v>0</v>
      </c>
      <c r="L42" s="200">
        <f t="shared" si="25"/>
        <v>31.057409875052922</v>
      </c>
      <c r="M42" s="200">
        <f t="shared" si="25"/>
        <v>107.96169919119258</v>
      </c>
      <c r="N42" s="200">
        <f t="shared" si="25"/>
        <v>211.69752118946741</v>
      </c>
      <c r="O42" s="200">
        <f t="shared" si="25"/>
        <v>399.09395275121608</v>
      </c>
      <c r="P42" s="200">
        <f t="shared" si="25"/>
        <v>607.26019139682342</v>
      </c>
      <c r="Q42" s="200">
        <f t="shared" si="25"/>
        <v>804.53878557527162</v>
      </c>
      <c r="R42" s="200">
        <f t="shared" si="25"/>
        <v>1079.4926554927602</v>
      </c>
      <c r="S42" s="200">
        <f>+S39+S34</f>
        <v>1225.871859577579</v>
      </c>
    </row>
    <row r="43" spans="1:19" ht="12.2" customHeight="1">
      <c r="A43" s="92" t="s">
        <v>135</v>
      </c>
      <c r="B43" s="93"/>
      <c r="C43" s="97">
        <f>+C40+C36</f>
        <v>0</v>
      </c>
      <c r="D43" s="97">
        <f>+D40+D36</f>
        <v>0</v>
      </c>
      <c r="E43" s="97">
        <f>+E40+E36</f>
        <v>0</v>
      </c>
      <c r="F43" s="97">
        <f>+F40+F36</f>
        <v>0</v>
      </c>
      <c r="G43" s="97">
        <f>G40+G36</f>
        <v>0</v>
      </c>
      <c r="H43" s="97">
        <f t="shared" ref="H43:M43" si="26">H40+H36</f>
        <v>0</v>
      </c>
      <c r="I43" s="97">
        <f t="shared" si="26"/>
        <v>0</v>
      </c>
      <c r="J43" s="97">
        <f t="shared" si="26"/>
        <v>0</v>
      </c>
      <c r="K43" s="97">
        <f t="shared" si="26"/>
        <v>0</v>
      </c>
      <c r="L43" s="97">
        <f t="shared" si="26"/>
        <v>15.528704937526461</v>
      </c>
      <c r="M43" s="97">
        <f t="shared" si="26"/>
        <v>53.98084959559629</v>
      </c>
      <c r="N43" s="97">
        <f t="shared" ref="N43:S43" si="27">N40+N36</f>
        <v>105.8487605947337</v>
      </c>
      <c r="O43" s="97">
        <f t="shared" si="27"/>
        <v>199.54697637560804</v>
      </c>
      <c r="P43" s="97">
        <f t="shared" si="27"/>
        <v>303.63009569841171</v>
      </c>
      <c r="Q43" s="97">
        <f t="shared" si="27"/>
        <v>402.26939278763581</v>
      </c>
      <c r="R43" s="97">
        <f t="shared" si="27"/>
        <v>539.74632774638008</v>
      </c>
      <c r="S43" s="97">
        <f t="shared" si="27"/>
        <v>612.93592978878951</v>
      </c>
    </row>
    <row r="44" spans="1:19" ht="12.2" customHeight="1"/>
    <row r="45" spans="1:19" ht="12.2" customHeight="1"/>
    <row r="46" spans="1:19" ht="12.2" customHeight="1"/>
    <row r="47" spans="1:19" ht="12.2" customHeight="1">
      <c r="A47" s="8" t="s">
        <v>136</v>
      </c>
      <c r="B47" s="98"/>
    </row>
    <row r="48" spans="1:19" ht="12.2" customHeight="1">
      <c r="A48" s="99" t="s">
        <v>137</v>
      </c>
      <c r="B48" s="100">
        <v>0.5</v>
      </c>
    </row>
    <row r="49" spans="1:2" ht="12.2" customHeight="1">
      <c r="A49" s="99" t="s">
        <v>138</v>
      </c>
      <c r="B49" s="259">
        <v>24000</v>
      </c>
    </row>
    <row r="50" spans="1:2" ht="12.2" customHeight="1">
      <c r="A50" s="99" t="s">
        <v>139</v>
      </c>
      <c r="B50" s="100">
        <v>0.02</v>
      </c>
    </row>
    <row r="51" spans="1:2" ht="12.2" customHeight="1">
      <c r="A51" s="101" t="s">
        <v>140</v>
      </c>
      <c r="B51" s="102">
        <v>0.4</v>
      </c>
    </row>
    <row r="52" spans="1:2" ht="12.2" customHeight="1"/>
    <row r="53" spans="1:2" ht="12.2" customHeight="1"/>
    <row r="54" spans="1:2" ht="12.2" customHeight="1"/>
    <row r="55" spans="1:2" ht="12.2" customHeight="1"/>
    <row r="56" spans="1:2" ht="12.2" customHeight="1"/>
    <row r="57" spans="1:2" ht="12.2" customHeight="1"/>
    <row r="58" spans="1:2" ht="12.2" customHeight="1"/>
    <row r="59" spans="1:2" ht="12.2" customHeight="1"/>
    <row r="60" spans="1:2" ht="12.2" customHeight="1"/>
    <row r="61" spans="1:2" ht="12.2" customHeight="1"/>
    <row r="62" spans="1:2" ht="12.2" customHeight="1"/>
    <row r="63" spans="1:2" ht="12.2" customHeight="1"/>
    <row r="64" spans="1:2" ht="12.2" customHeight="1"/>
    <row r="65" ht="12.2" customHeight="1"/>
    <row r="66" ht="12.2" customHeight="1"/>
    <row r="67" ht="12.2" customHeight="1"/>
    <row r="68" ht="12.2" customHeight="1"/>
    <row r="69" ht="12.2" customHeight="1"/>
    <row r="70" ht="12.2" customHeight="1"/>
    <row r="71" ht="12.2" customHeight="1"/>
    <row r="72" ht="12.2" customHeight="1"/>
    <row r="73" ht="12.2" customHeight="1"/>
    <row r="74" ht="12.2" customHeight="1"/>
    <row r="75" ht="12.2" customHeight="1"/>
    <row r="76" ht="12.2" customHeight="1"/>
    <row r="77" ht="12.2" customHeight="1"/>
    <row r="78" ht="12.2" customHeight="1"/>
    <row r="79" ht="12.2" customHeight="1"/>
    <row r="80" ht="12.2" customHeight="1"/>
    <row r="81" ht="12.2" customHeight="1"/>
    <row r="82" ht="12.2" customHeight="1"/>
    <row r="83" ht="12.2" customHeight="1"/>
    <row r="84" ht="12.2" customHeight="1"/>
    <row r="85" ht="12.2" customHeight="1"/>
    <row r="86" ht="12.2" customHeight="1"/>
    <row r="87" ht="12.2" customHeight="1"/>
    <row r="88" ht="12.2" customHeight="1"/>
    <row r="89" ht="12.2" customHeight="1"/>
    <row r="90" ht="12.2" customHeight="1"/>
    <row r="91" ht="12.2" customHeight="1"/>
    <row r="92" ht="12.2" customHeight="1"/>
    <row r="93" ht="12.2" customHeight="1"/>
    <row r="94" ht="12.2" customHeight="1"/>
    <row r="95" ht="12.2" customHeight="1"/>
    <row r="96" ht="12.2" customHeight="1"/>
    <row r="97" ht="12.2" customHeight="1"/>
    <row r="98" ht="12.2" customHeight="1"/>
    <row r="99" ht="12.2" customHeight="1"/>
    <row r="100" ht="12.2" customHeight="1"/>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363C-6218-499C-8B14-C4A363CBC220}">
  <dimension ref="A1:BU91"/>
  <sheetViews>
    <sheetView showGridLines="0" workbookViewId="0">
      <selection activeCell="B40" sqref="B40"/>
    </sheetView>
  </sheetViews>
  <sheetFormatPr defaultRowHeight="15"/>
  <cols>
    <col min="1" max="1" width="33.85546875" customWidth="1"/>
    <col min="2" max="2" width="9.140625" customWidth="1"/>
    <col min="3" max="3" width="14.28515625" customWidth="1"/>
    <col min="4" max="4" width="13.140625" customWidth="1"/>
    <col min="5" max="5" width="12.85546875" customWidth="1"/>
    <col min="6" max="6" width="11.42578125" customWidth="1"/>
    <col min="7" max="8" width="11.85546875" customWidth="1"/>
    <col min="9" max="9" width="12.42578125" customWidth="1"/>
    <col min="10" max="10" width="14.85546875" customWidth="1"/>
    <col min="11" max="11" width="13.28515625" customWidth="1"/>
    <col min="12" max="12" width="11.85546875" customWidth="1"/>
    <col min="13" max="13" width="14.28515625" customWidth="1"/>
    <col min="14" max="14" width="14" customWidth="1"/>
    <col min="15" max="15" width="11.5703125" customWidth="1"/>
    <col min="16" max="16" width="11.140625" customWidth="1"/>
    <col min="17" max="17" width="13" customWidth="1"/>
    <col min="18" max="19" width="11.42578125" customWidth="1"/>
  </cols>
  <sheetData>
    <row r="1" spans="1:20" s="11" customFormat="1" ht="12">
      <c r="A1" s="254" t="s">
        <v>107</v>
      </c>
      <c r="B1" s="81"/>
      <c r="C1" s="82">
        <v>2022</v>
      </c>
      <c r="D1" s="82">
        <f>'P&amp;L'!B1</f>
        <v>2023</v>
      </c>
      <c r="E1" s="82">
        <f>'P&amp;L'!C1</f>
        <v>2024</v>
      </c>
      <c r="F1" s="82" t="str">
        <f>'P&amp;L'!G1</f>
        <v>2025E</v>
      </c>
      <c r="G1" s="82" t="str">
        <f>'P&amp;L'!H1</f>
        <v>2026E</v>
      </c>
      <c r="H1" s="82" t="str">
        <f>'P&amp;L'!I1</f>
        <v>2027E</v>
      </c>
      <c r="I1" s="82" t="str">
        <f>'P&amp;L'!J1</f>
        <v>2028E</v>
      </c>
      <c r="J1" s="82" t="str">
        <f>'P&amp;L'!K1</f>
        <v>2029E</v>
      </c>
      <c r="K1" s="82" t="str">
        <f>'P&amp;L'!L1</f>
        <v>2030E</v>
      </c>
      <c r="L1" s="82" t="str">
        <f>'P&amp;L'!M1</f>
        <v>2031E</v>
      </c>
      <c r="M1" s="82" t="str">
        <f>'P&amp;L'!N1</f>
        <v>2032E</v>
      </c>
      <c r="N1" s="82" t="str">
        <f>'P&amp;L'!O1</f>
        <v>2033E</v>
      </c>
      <c r="O1" s="82" t="str">
        <f>'P&amp;L'!P1</f>
        <v>2034E</v>
      </c>
      <c r="P1" s="82" t="str">
        <f>'P&amp;L'!Q1</f>
        <v>2035E</v>
      </c>
      <c r="Q1" s="82" t="s">
        <v>20</v>
      </c>
      <c r="R1" s="82" t="s">
        <v>21</v>
      </c>
      <c r="S1" s="82" t="s">
        <v>22</v>
      </c>
    </row>
    <row r="2" spans="1:20" s="11" customFormat="1" ht="5.0999999999999996" customHeight="1">
      <c r="A2" s="40"/>
      <c r="Q2" s="11" t="s">
        <v>72</v>
      </c>
    </row>
    <row r="3" spans="1:20" s="11" customFormat="1" ht="12.2" customHeight="1">
      <c r="A3" s="255" t="s">
        <v>141</v>
      </c>
      <c r="B3" s="83"/>
      <c r="C3" s="83"/>
      <c r="D3" s="83"/>
      <c r="E3" s="83"/>
      <c r="F3" s="83"/>
      <c r="G3" s="83"/>
      <c r="H3" s="83"/>
      <c r="I3" s="83"/>
      <c r="J3" s="83"/>
      <c r="K3" s="83"/>
      <c r="L3" s="83"/>
      <c r="M3" s="83"/>
      <c r="N3" s="83"/>
      <c r="O3" s="83"/>
      <c r="P3" s="83"/>
      <c r="Q3" s="83"/>
      <c r="R3" s="83"/>
      <c r="S3" s="83"/>
    </row>
    <row r="4" spans="1:20" ht="12.2" customHeight="1"/>
    <row r="5" spans="1:20" s="11" customFormat="1" ht="12.2" customHeight="1">
      <c r="A5" s="276" t="s">
        <v>142</v>
      </c>
      <c r="B5" s="277">
        <v>8500000</v>
      </c>
      <c r="C5" s="90">
        <f>B5*(1+B6)</f>
        <v>8670000</v>
      </c>
      <c r="D5" s="90">
        <f t="shared" ref="D5:S5" si="0">C5*(1+C6)</f>
        <v>8843400</v>
      </c>
      <c r="E5" s="90">
        <f t="shared" si="0"/>
        <v>9020268</v>
      </c>
      <c r="F5" s="90">
        <f t="shared" si="0"/>
        <v>9200673.3599999994</v>
      </c>
      <c r="G5" s="90">
        <f t="shared" si="0"/>
        <v>9384686.8271999992</v>
      </c>
      <c r="H5" s="90">
        <f t="shared" si="0"/>
        <v>9572380.5637439992</v>
      </c>
      <c r="I5" s="90">
        <f t="shared" si="0"/>
        <v>9763828.1750188787</v>
      </c>
      <c r="J5" s="90">
        <f t="shared" si="0"/>
        <v>9959104.7385192569</v>
      </c>
      <c r="K5" s="90">
        <f t="shared" si="0"/>
        <v>10158286.833289642</v>
      </c>
      <c r="L5" s="90">
        <f t="shared" si="0"/>
        <v>10361452.569955435</v>
      </c>
      <c r="M5" s="90">
        <f t="shared" si="0"/>
        <v>10568681.621354543</v>
      </c>
      <c r="N5" s="90">
        <f t="shared" si="0"/>
        <v>10780055.253781633</v>
      </c>
      <c r="O5" s="90">
        <f t="shared" si="0"/>
        <v>10995656.358857267</v>
      </c>
      <c r="P5" s="90">
        <f t="shared" si="0"/>
        <v>11215569.486034412</v>
      </c>
      <c r="Q5" s="90">
        <f t="shared" si="0"/>
        <v>11439880.8757551</v>
      </c>
      <c r="R5" s="90">
        <f t="shared" si="0"/>
        <v>11668678.493270202</v>
      </c>
      <c r="S5" s="90">
        <f t="shared" si="0"/>
        <v>11902052.063135605</v>
      </c>
    </row>
    <row r="6" spans="1:20" s="11" customFormat="1" ht="12.2" customHeight="1">
      <c r="A6" s="278" t="s">
        <v>110</v>
      </c>
      <c r="B6" s="89">
        <v>0.02</v>
      </c>
      <c r="C6" s="279">
        <f>B6</f>
        <v>0.02</v>
      </c>
      <c r="D6" s="279">
        <f t="shared" ref="D6:S9" si="1">C6</f>
        <v>0.02</v>
      </c>
      <c r="E6" s="279">
        <f t="shared" si="1"/>
        <v>0.02</v>
      </c>
      <c r="F6" s="279">
        <f t="shared" si="1"/>
        <v>0.02</v>
      </c>
      <c r="G6" s="279">
        <f t="shared" si="1"/>
        <v>0.02</v>
      </c>
      <c r="H6" s="279">
        <f t="shared" si="1"/>
        <v>0.02</v>
      </c>
      <c r="I6" s="279">
        <f t="shared" si="1"/>
        <v>0.02</v>
      </c>
      <c r="J6" s="279">
        <f t="shared" si="1"/>
        <v>0.02</v>
      </c>
      <c r="K6" s="279">
        <f t="shared" si="1"/>
        <v>0.02</v>
      </c>
      <c r="L6" s="279">
        <f t="shared" si="1"/>
        <v>0.02</v>
      </c>
      <c r="M6" s="279">
        <f t="shared" si="1"/>
        <v>0.02</v>
      </c>
      <c r="N6" s="279">
        <f t="shared" si="1"/>
        <v>0.02</v>
      </c>
      <c r="O6" s="279">
        <f t="shared" si="1"/>
        <v>0.02</v>
      </c>
      <c r="P6" s="279">
        <f t="shared" si="1"/>
        <v>0.02</v>
      </c>
      <c r="Q6" s="279">
        <f t="shared" si="1"/>
        <v>0.02</v>
      </c>
      <c r="R6" s="279">
        <f t="shared" si="1"/>
        <v>0.02</v>
      </c>
      <c r="S6" s="279">
        <f t="shared" si="1"/>
        <v>0.02</v>
      </c>
    </row>
    <row r="7" spans="1:20" s="11" customFormat="1" ht="12.2" customHeight="1">
      <c r="A7" s="262" t="s">
        <v>143</v>
      </c>
      <c r="B7" s="281">
        <v>0.7</v>
      </c>
      <c r="C7" s="297">
        <f>B7</f>
        <v>0.7</v>
      </c>
      <c r="D7" s="297">
        <f t="shared" si="1"/>
        <v>0.7</v>
      </c>
      <c r="E7" s="297">
        <f t="shared" si="1"/>
        <v>0.7</v>
      </c>
      <c r="F7" s="297">
        <f t="shared" si="1"/>
        <v>0.7</v>
      </c>
      <c r="G7" s="297">
        <f t="shared" si="1"/>
        <v>0.7</v>
      </c>
      <c r="H7" s="297">
        <f t="shared" si="1"/>
        <v>0.7</v>
      </c>
      <c r="I7" s="297">
        <f t="shared" si="1"/>
        <v>0.7</v>
      </c>
      <c r="J7" s="297">
        <f t="shared" si="1"/>
        <v>0.7</v>
      </c>
      <c r="K7" s="297">
        <f t="shared" si="1"/>
        <v>0.7</v>
      </c>
      <c r="L7" s="297">
        <f t="shared" si="1"/>
        <v>0.7</v>
      </c>
      <c r="M7" s="297">
        <f t="shared" si="1"/>
        <v>0.7</v>
      </c>
      <c r="N7" s="297">
        <f t="shared" si="1"/>
        <v>0.7</v>
      </c>
      <c r="O7" s="297">
        <f t="shared" si="1"/>
        <v>0.7</v>
      </c>
      <c r="P7" s="297">
        <f t="shared" si="1"/>
        <v>0.7</v>
      </c>
      <c r="Q7" s="297">
        <f t="shared" si="1"/>
        <v>0.7</v>
      </c>
      <c r="R7" s="297">
        <f t="shared" si="1"/>
        <v>0.7</v>
      </c>
      <c r="S7" s="297">
        <f t="shared" si="1"/>
        <v>0.7</v>
      </c>
    </row>
    <row r="8" spans="1:20" s="11" customFormat="1" ht="12.2" customHeight="1">
      <c r="A8" s="262" t="s">
        <v>144</v>
      </c>
      <c r="B8" s="281">
        <v>0.2</v>
      </c>
      <c r="C8" s="297">
        <f>B8</f>
        <v>0.2</v>
      </c>
      <c r="D8" s="297">
        <f t="shared" si="1"/>
        <v>0.2</v>
      </c>
      <c r="E8" s="297">
        <f t="shared" si="1"/>
        <v>0.2</v>
      </c>
      <c r="F8" s="297">
        <f t="shared" si="1"/>
        <v>0.2</v>
      </c>
      <c r="G8" s="297">
        <f t="shared" si="1"/>
        <v>0.2</v>
      </c>
      <c r="H8" s="297">
        <f t="shared" si="1"/>
        <v>0.2</v>
      </c>
      <c r="I8" s="297">
        <f t="shared" si="1"/>
        <v>0.2</v>
      </c>
      <c r="J8" s="297">
        <f t="shared" si="1"/>
        <v>0.2</v>
      </c>
      <c r="K8" s="297">
        <f t="shared" si="1"/>
        <v>0.2</v>
      </c>
      <c r="L8" s="297">
        <f t="shared" si="1"/>
        <v>0.2</v>
      </c>
      <c r="M8" s="297">
        <f t="shared" si="1"/>
        <v>0.2</v>
      </c>
      <c r="N8" s="297">
        <f t="shared" si="1"/>
        <v>0.2</v>
      </c>
      <c r="O8" s="297">
        <f t="shared" si="1"/>
        <v>0.2</v>
      </c>
      <c r="P8" s="297">
        <f t="shared" si="1"/>
        <v>0.2</v>
      </c>
      <c r="Q8" s="297">
        <f t="shared" si="1"/>
        <v>0.2</v>
      </c>
      <c r="R8" s="297">
        <f t="shared" si="1"/>
        <v>0.2</v>
      </c>
      <c r="S8" s="297">
        <f t="shared" si="1"/>
        <v>0.2</v>
      </c>
    </row>
    <row r="9" spans="1:20" s="11" customFormat="1" ht="12.2" customHeight="1">
      <c r="A9" s="262" t="s">
        <v>145</v>
      </c>
      <c r="B9" s="281">
        <v>0.5</v>
      </c>
      <c r="C9" s="297">
        <f>B9</f>
        <v>0.5</v>
      </c>
      <c r="D9" s="297">
        <f t="shared" si="1"/>
        <v>0.5</v>
      </c>
      <c r="E9" s="297">
        <f t="shared" si="1"/>
        <v>0.5</v>
      </c>
      <c r="F9" s="297">
        <f t="shared" si="1"/>
        <v>0.5</v>
      </c>
      <c r="G9" s="297">
        <f t="shared" si="1"/>
        <v>0.5</v>
      </c>
      <c r="H9" s="297">
        <f t="shared" si="1"/>
        <v>0.5</v>
      </c>
      <c r="I9" s="297">
        <f t="shared" si="1"/>
        <v>0.5</v>
      </c>
      <c r="J9" s="297">
        <f t="shared" si="1"/>
        <v>0.5</v>
      </c>
      <c r="K9" s="297">
        <f t="shared" si="1"/>
        <v>0.5</v>
      </c>
      <c r="L9" s="297">
        <f t="shared" si="1"/>
        <v>0.5</v>
      </c>
      <c r="M9" s="297">
        <f t="shared" si="1"/>
        <v>0.5</v>
      </c>
      <c r="N9" s="297">
        <f t="shared" si="1"/>
        <v>0.5</v>
      </c>
      <c r="O9" s="297">
        <f t="shared" si="1"/>
        <v>0.5</v>
      </c>
      <c r="P9" s="297">
        <f t="shared" si="1"/>
        <v>0.5</v>
      </c>
      <c r="Q9" s="297">
        <f t="shared" si="1"/>
        <v>0.5</v>
      </c>
      <c r="R9" s="297">
        <f t="shared" si="1"/>
        <v>0.5</v>
      </c>
      <c r="S9" s="297">
        <f t="shared" si="1"/>
        <v>0.5</v>
      </c>
    </row>
    <row r="10" spans="1:20" s="11" customFormat="1" ht="12.2" customHeight="1">
      <c r="A10" s="284" t="s">
        <v>146</v>
      </c>
      <c r="B10" s="281"/>
      <c r="C10" s="90">
        <f>C5*C7*C8*C9</f>
        <v>606900</v>
      </c>
      <c r="D10" s="90">
        <f t="shared" ref="D10:S10" si="2">D5*D7*D8*D9</f>
        <v>619038</v>
      </c>
      <c r="E10" s="90">
        <f t="shared" si="2"/>
        <v>631418.76</v>
      </c>
      <c r="F10" s="90">
        <f t="shared" si="2"/>
        <v>644047.1351999999</v>
      </c>
      <c r="G10" s="90">
        <f t="shared" si="2"/>
        <v>656928.07790399995</v>
      </c>
      <c r="H10" s="90">
        <f t="shared" si="2"/>
        <v>670066.63946207997</v>
      </c>
      <c r="I10" s="90">
        <f t="shared" si="2"/>
        <v>683467.97225132154</v>
      </c>
      <c r="J10" s="90">
        <f t="shared" si="2"/>
        <v>697137.33169634803</v>
      </c>
      <c r="K10" s="90">
        <f t="shared" si="2"/>
        <v>711080.0783302749</v>
      </c>
      <c r="L10" s="90">
        <f t="shared" si="2"/>
        <v>725301.67989688041</v>
      </c>
      <c r="M10" s="90">
        <f t="shared" si="2"/>
        <v>739807.71349481796</v>
      </c>
      <c r="N10" s="90">
        <f t="shared" si="2"/>
        <v>754603.86776471429</v>
      </c>
      <c r="O10" s="90">
        <f t="shared" si="2"/>
        <v>769695.94512000866</v>
      </c>
      <c r="P10" s="90">
        <f t="shared" si="2"/>
        <v>785089.86402240884</v>
      </c>
      <c r="Q10" s="90">
        <f t="shared" si="2"/>
        <v>800791.66130285698</v>
      </c>
      <c r="R10" s="90">
        <f t="shared" si="2"/>
        <v>816807.4945289141</v>
      </c>
      <c r="S10" s="90">
        <f t="shared" si="2"/>
        <v>833143.64441949234</v>
      </c>
    </row>
    <row r="11" spans="1:20" ht="12.2" customHeight="1">
      <c r="A11" s="40"/>
      <c r="B11" s="40"/>
      <c r="C11" s="40"/>
      <c r="D11" s="40"/>
      <c r="E11" s="40"/>
      <c r="F11" s="40"/>
      <c r="G11" s="40"/>
      <c r="H11" s="40"/>
      <c r="I11" s="40"/>
      <c r="J11" s="40"/>
      <c r="K11" s="40"/>
      <c r="L11" s="40"/>
      <c r="M11" s="40"/>
      <c r="N11" s="40"/>
    </row>
    <row r="12" spans="1:20" ht="12.2" customHeight="1">
      <c r="A12" s="276" t="s">
        <v>113</v>
      </c>
      <c r="B12" s="40"/>
      <c r="C12" s="40"/>
      <c r="D12" s="40"/>
      <c r="E12" s="40"/>
      <c r="F12" s="40"/>
      <c r="G12" s="40"/>
      <c r="H12" s="40"/>
      <c r="I12" s="40"/>
      <c r="J12" s="40"/>
      <c r="K12" s="40"/>
      <c r="L12" s="40"/>
      <c r="M12" s="40"/>
      <c r="N12" s="40"/>
      <c r="O12" s="275"/>
      <c r="P12" s="275"/>
      <c r="Q12" s="275"/>
      <c r="R12" s="275"/>
      <c r="S12" s="275"/>
    </row>
    <row r="13" spans="1:20" ht="12.2" customHeight="1">
      <c r="A13" s="262" t="s">
        <v>116</v>
      </c>
      <c r="B13" s="40"/>
      <c r="C13" s="282">
        <v>0</v>
      </c>
      <c r="D13" s="282">
        <v>0</v>
      </c>
      <c r="E13" s="282">
        <v>0</v>
      </c>
      <c r="F13" s="282">
        <v>0</v>
      </c>
      <c r="G13" s="282">
        <v>0</v>
      </c>
      <c r="H13" s="282">
        <v>0</v>
      </c>
      <c r="I13" s="282">
        <v>0</v>
      </c>
      <c r="J13" s="282">
        <v>0</v>
      </c>
      <c r="K13" s="282">
        <v>0</v>
      </c>
      <c r="L13" s="282">
        <v>0</v>
      </c>
      <c r="M13" s="282">
        <v>0.02</v>
      </c>
      <c r="N13" s="282">
        <v>0.06</v>
      </c>
      <c r="O13" s="282">
        <v>0.1</v>
      </c>
      <c r="P13" s="282">
        <v>0.13</v>
      </c>
      <c r="Q13" s="282">
        <v>0.15</v>
      </c>
      <c r="R13" s="282">
        <v>0.17</v>
      </c>
      <c r="S13" s="282">
        <v>0.2</v>
      </c>
    </row>
    <row r="14" spans="1:20" ht="12.2" customHeight="1">
      <c r="A14" s="284" t="s">
        <v>121</v>
      </c>
      <c r="B14" s="87"/>
      <c r="C14" s="87"/>
      <c r="D14" s="87"/>
      <c r="E14" s="87"/>
      <c r="F14" s="87"/>
      <c r="G14" s="87"/>
      <c r="H14" s="87"/>
      <c r="I14" s="87"/>
      <c r="J14" s="87"/>
      <c r="K14" s="87"/>
      <c r="L14" s="87"/>
      <c r="M14" s="87">
        <f>M10*M13</f>
        <v>14796.15426989636</v>
      </c>
      <c r="N14" s="87">
        <f t="shared" ref="N14:S14" si="3">N10*N13</f>
        <v>45276.232065882854</v>
      </c>
      <c r="O14" s="87">
        <f t="shared" si="3"/>
        <v>76969.594512000869</v>
      </c>
      <c r="P14" s="87">
        <f t="shared" si="3"/>
        <v>102061.68232291316</v>
      </c>
      <c r="Q14" s="87">
        <f t="shared" si="3"/>
        <v>120118.74919542854</v>
      </c>
      <c r="R14" s="87">
        <f t="shared" si="3"/>
        <v>138857.27406991541</v>
      </c>
      <c r="S14" s="87">
        <f t="shared" si="3"/>
        <v>166628.72888389847</v>
      </c>
    </row>
    <row r="15" spans="1:20" ht="12.2" customHeight="1">
      <c r="A15" s="287"/>
      <c r="B15" s="40"/>
      <c r="C15" s="288"/>
      <c r="D15" s="288"/>
      <c r="E15" s="288"/>
      <c r="F15" s="288"/>
      <c r="G15" s="288"/>
      <c r="H15" s="288"/>
      <c r="I15" s="288"/>
      <c r="J15" s="288"/>
      <c r="K15" s="288"/>
      <c r="L15" s="288"/>
      <c r="M15" s="288"/>
      <c r="N15" s="288"/>
      <c r="O15" s="270"/>
      <c r="P15" s="270"/>
      <c r="Q15" s="270"/>
      <c r="R15" s="270"/>
      <c r="S15" s="270"/>
    </row>
    <row r="16" spans="1:20" ht="12.2" customHeight="1">
      <c r="A16" s="287"/>
      <c r="B16" s="40"/>
      <c r="C16" s="288"/>
      <c r="D16" s="288"/>
      <c r="E16" s="288"/>
      <c r="F16" s="288"/>
      <c r="G16" s="288"/>
      <c r="H16" s="288"/>
      <c r="I16" s="288"/>
      <c r="J16" s="288"/>
      <c r="K16" s="288"/>
      <c r="L16" s="288"/>
      <c r="M16" s="288"/>
      <c r="N16" s="288"/>
      <c r="O16" s="270"/>
      <c r="P16" s="270"/>
      <c r="Q16" s="270"/>
      <c r="R16" s="270"/>
      <c r="S16" s="270"/>
      <c r="T16" s="257"/>
    </row>
    <row r="17" spans="1:73" ht="12.2" customHeight="1">
      <c r="A17" s="276" t="s">
        <v>123</v>
      </c>
      <c r="B17" s="294">
        <f>B40</f>
        <v>24000</v>
      </c>
      <c r="C17" s="276"/>
      <c r="D17" s="290"/>
      <c r="E17" s="290"/>
      <c r="F17" s="289"/>
      <c r="G17" s="291"/>
      <c r="H17" s="289"/>
      <c r="I17" s="289"/>
      <c r="J17" s="291"/>
      <c r="K17" s="291"/>
      <c r="M17" s="289">
        <f>$B$17</f>
        <v>24000</v>
      </c>
      <c r="N17" s="291">
        <f t="shared" ref="N17:S17" si="4">M17*(1+N18)</f>
        <v>24480</v>
      </c>
      <c r="O17" s="291">
        <f t="shared" si="4"/>
        <v>24969.600000000002</v>
      </c>
      <c r="P17" s="291">
        <f t="shared" si="4"/>
        <v>25468.992000000002</v>
      </c>
      <c r="Q17" s="291">
        <f t="shared" si="4"/>
        <v>25978.371840000003</v>
      </c>
      <c r="R17" s="291">
        <f t="shared" si="4"/>
        <v>26497.939276800003</v>
      </c>
      <c r="S17" s="291">
        <f t="shared" si="4"/>
        <v>27027.898062336004</v>
      </c>
    </row>
    <row r="18" spans="1:73" ht="12.2" customHeight="1">
      <c r="A18" s="278" t="s">
        <v>124</v>
      </c>
      <c r="B18" s="283">
        <f>B41</f>
        <v>0.02</v>
      </c>
      <c r="C18" s="279"/>
      <c r="D18" s="279"/>
      <c r="E18" s="279"/>
      <c r="F18" s="279"/>
      <c r="G18" s="283"/>
      <c r="H18" s="283"/>
      <c r="I18" s="283"/>
      <c r="J18" s="292"/>
      <c r="K18" s="292"/>
      <c r="M18" s="283">
        <f>B18</f>
        <v>0.02</v>
      </c>
      <c r="N18" s="292">
        <f>M18</f>
        <v>0.02</v>
      </c>
      <c r="O18" s="292">
        <f t="shared" ref="D18:S19" si="5">N18</f>
        <v>0.02</v>
      </c>
      <c r="P18" s="292">
        <f t="shared" si="5"/>
        <v>0.02</v>
      </c>
      <c r="Q18" s="292">
        <f t="shared" si="5"/>
        <v>0.02</v>
      </c>
      <c r="R18" s="292">
        <f t="shared" si="5"/>
        <v>0.02</v>
      </c>
      <c r="S18" s="292">
        <f t="shared" si="5"/>
        <v>0.02</v>
      </c>
    </row>
    <row r="19" spans="1:73" ht="12.2" customHeight="1">
      <c r="A19" s="262" t="s">
        <v>125</v>
      </c>
      <c r="B19" s="282">
        <f>B42</f>
        <v>0.4</v>
      </c>
      <c r="C19" s="280">
        <f>B19</f>
        <v>0.4</v>
      </c>
      <c r="D19" s="280">
        <f t="shared" si="5"/>
        <v>0.4</v>
      </c>
      <c r="E19" s="280">
        <f t="shared" si="5"/>
        <v>0.4</v>
      </c>
      <c r="F19" s="280">
        <f t="shared" si="5"/>
        <v>0.4</v>
      </c>
      <c r="G19" s="280">
        <f>F19</f>
        <v>0.4</v>
      </c>
      <c r="H19" s="280">
        <f t="shared" si="5"/>
        <v>0.4</v>
      </c>
      <c r="I19" s="280">
        <f t="shared" si="5"/>
        <v>0.4</v>
      </c>
      <c r="J19" s="280">
        <f t="shared" si="5"/>
        <v>0.4</v>
      </c>
      <c r="K19" s="280">
        <f t="shared" si="5"/>
        <v>0.4</v>
      </c>
      <c r="L19" s="280">
        <f t="shared" si="5"/>
        <v>0.4</v>
      </c>
      <c r="M19" s="280">
        <f t="shared" si="5"/>
        <v>0.4</v>
      </c>
      <c r="N19" s="280">
        <f>M19</f>
        <v>0.4</v>
      </c>
      <c r="O19" s="280">
        <f t="shared" si="5"/>
        <v>0.4</v>
      </c>
      <c r="P19" s="280">
        <f t="shared" si="5"/>
        <v>0.4</v>
      </c>
      <c r="Q19" s="280">
        <f t="shared" si="5"/>
        <v>0.4</v>
      </c>
      <c r="R19" s="280">
        <f t="shared" si="5"/>
        <v>0.4</v>
      </c>
      <c r="S19" s="280">
        <f t="shared" si="5"/>
        <v>0.4</v>
      </c>
    </row>
    <row r="20" spans="1:73" s="253" customFormat="1" ht="12.2" customHeight="1">
      <c r="A20" s="262" t="s">
        <v>126</v>
      </c>
      <c r="B20" s="291"/>
      <c r="C20" s="291"/>
      <c r="D20" s="291"/>
      <c r="E20" s="291"/>
      <c r="F20" s="291"/>
      <c r="G20" s="291"/>
      <c r="H20" s="291"/>
      <c r="I20" s="291"/>
      <c r="J20" s="291"/>
      <c r="K20" s="291"/>
      <c r="L20" s="291"/>
      <c r="M20" s="291">
        <f t="shared" ref="M20:S20" si="6">M17*(1-M19)</f>
        <v>14400</v>
      </c>
      <c r="N20" s="291">
        <f t="shared" si="6"/>
        <v>14688</v>
      </c>
      <c r="O20" s="291">
        <f t="shared" si="6"/>
        <v>14981.76</v>
      </c>
      <c r="P20" s="291">
        <f t="shared" si="6"/>
        <v>15281.395200000001</v>
      </c>
      <c r="Q20" s="291">
        <f t="shared" si="6"/>
        <v>15587.023104000002</v>
      </c>
      <c r="R20" s="291">
        <f t="shared" si="6"/>
        <v>15898.763566080001</v>
      </c>
      <c r="S20" s="291">
        <f t="shared" si="6"/>
        <v>16216.738837401601</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row>
    <row r="21" spans="1:73" ht="12.2" customHeight="1">
      <c r="A21" s="262" t="s">
        <v>127</v>
      </c>
      <c r="B21" s="281">
        <v>0.6</v>
      </c>
      <c r="C21" s="280">
        <f>B21</f>
        <v>0.6</v>
      </c>
      <c r="D21" s="280">
        <f t="shared" ref="D21:M21" si="7">C21</f>
        <v>0.6</v>
      </c>
      <c r="E21" s="280">
        <f t="shared" si="7"/>
        <v>0.6</v>
      </c>
      <c r="F21" s="280">
        <f t="shared" si="7"/>
        <v>0.6</v>
      </c>
      <c r="G21" s="280">
        <f t="shared" si="7"/>
        <v>0.6</v>
      </c>
      <c r="H21" s="280">
        <f t="shared" si="7"/>
        <v>0.6</v>
      </c>
      <c r="I21" s="280">
        <f t="shared" si="7"/>
        <v>0.6</v>
      </c>
      <c r="J21" s="280">
        <f t="shared" si="7"/>
        <v>0.6</v>
      </c>
      <c r="K21" s="280">
        <f>J21</f>
        <v>0.6</v>
      </c>
      <c r="L21" s="280">
        <f t="shared" si="7"/>
        <v>0.6</v>
      </c>
      <c r="M21" s="280">
        <f t="shared" si="7"/>
        <v>0.6</v>
      </c>
      <c r="N21" s="280">
        <f t="shared" ref="N21:S21" si="8">M21</f>
        <v>0.6</v>
      </c>
      <c r="O21" s="280">
        <f t="shared" si="8"/>
        <v>0.6</v>
      </c>
      <c r="P21" s="280">
        <f t="shared" si="8"/>
        <v>0.6</v>
      </c>
      <c r="Q21" s="280">
        <f t="shared" si="8"/>
        <v>0.6</v>
      </c>
      <c r="R21" s="280">
        <f t="shared" si="8"/>
        <v>0.6</v>
      </c>
      <c r="S21" s="280">
        <f t="shared" si="8"/>
        <v>0.6</v>
      </c>
    </row>
    <row r="22" spans="1:73" ht="12.2" customHeight="1">
      <c r="A22" s="40"/>
      <c r="B22" s="40"/>
      <c r="C22" s="40"/>
      <c r="D22" s="40"/>
      <c r="E22" s="40"/>
      <c r="F22" s="40"/>
      <c r="G22" s="40"/>
      <c r="H22" s="40"/>
      <c r="I22" s="40"/>
      <c r="J22" s="40"/>
      <c r="K22" s="40"/>
      <c r="L22" s="40"/>
      <c r="M22" s="40"/>
      <c r="N22" s="40"/>
      <c r="O22" s="270"/>
      <c r="P22" s="270"/>
      <c r="Q22" s="270"/>
      <c r="R22" s="270"/>
      <c r="S22" s="270"/>
    </row>
    <row r="23" spans="1:73" s="11" customFormat="1" ht="3.95" customHeight="1">
      <c r="A23" s="5"/>
      <c r="B23" s="6"/>
      <c r="C23" s="6"/>
      <c r="D23" s="6"/>
      <c r="E23" s="6"/>
      <c r="F23" s="6"/>
      <c r="G23" s="6"/>
      <c r="H23" s="6"/>
      <c r="I23" s="6"/>
      <c r="J23" s="6"/>
      <c r="K23" s="6"/>
      <c r="L23" s="6"/>
      <c r="M23" s="9"/>
      <c r="N23" s="9"/>
      <c r="O23" s="9"/>
      <c r="P23" s="9"/>
      <c r="Q23" s="9"/>
      <c r="R23" s="9"/>
      <c r="S23" s="9"/>
    </row>
    <row r="24" spans="1:73" ht="12.2" customHeight="1">
      <c r="C24" s="11"/>
      <c r="D24" s="11"/>
      <c r="E24" s="11"/>
      <c r="F24" s="11"/>
      <c r="G24" s="11"/>
      <c r="H24" s="11"/>
      <c r="I24" s="11"/>
      <c r="J24" s="11"/>
      <c r="K24" s="11"/>
      <c r="L24" s="11"/>
      <c r="M24" s="11"/>
      <c r="N24" s="11"/>
      <c r="O24" s="11"/>
      <c r="P24" s="11"/>
      <c r="Q24" s="11"/>
      <c r="R24" s="11"/>
      <c r="S24" s="11"/>
    </row>
    <row r="25" spans="1:73" s="11" customFormat="1" ht="12.2" customHeight="1">
      <c r="A25" s="271" t="s">
        <v>147</v>
      </c>
      <c r="B25" s="272"/>
      <c r="C25" s="273">
        <f t="shared" ref="C25:S25" si="9">C14*C20*C21/1000000</f>
        <v>0</v>
      </c>
      <c r="D25" s="273">
        <f t="shared" si="9"/>
        <v>0</v>
      </c>
      <c r="E25" s="273">
        <f t="shared" si="9"/>
        <v>0</v>
      </c>
      <c r="F25" s="273">
        <f t="shared" si="9"/>
        <v>0</v>
      </c>
      <c r="G25" s="273">
        <f t="shared" si="9"/>
        <v>0</v>
      </c>
      <c r="H25" s="273">
        <f t="shared" si="9"/>
        <v>0</v>
      </c>
      <c r="I25" s="273">
        <f t="shared" si="9"/>
        <v>0</v>
      </c>
      <c r="J25" s="273">
        <f t="shared" si="9"/>
        <v>0</v>
      </c>
      <c r="K25" s="273">
        <f t="shared" si="9"/>
        <v>0</v>
      </c>
      <c r="L25" s="273">
        <f t="shared" si="9"/>
        <v>0</v>
      </c>
      <c r="M25" s="273">
        <f t="shared" si="9"/>
        <v>127.83877289190455</v>
      </c>
      <c r="N25" s="273">
        <f t="shared" si="9"/>
        <v>399.01037795021239</v>
      </c>
      <c r="O25" s="273">
        <f t="shared" si="9"/>
        <v>691.88399536566851</v>
      </c>
      <c r="P25" s="273">
        <f t="shared" si="9"/>
        <v>935.78694141197411</v>
      </c>
      <c r="Q25" s="273">
        <f t="shared" si="9"/>
        <v>1123.3762313596355</v>
      </c>
      <c r="R25" s="273">
        <f t="shared" si="9"/>
        <v>1324.5953819207737</v>
      </c>
      <c r="S25" s="273">
        <f t="shared" si="9"/>
        <v>1621.304747471027</v>
      </c>
    </row>
    <row r="26" spans="1:73" s="11" customFormat="1" ht="12.2" customHeight="1">
      <c r="A26" s="86" t="s">
        <v>129</v>
      </c>
      <c r="B26" s="88">
        <f>B39</f>
        <v>0.2</v>
      </c>
      <c r="C26" s="91">
        <f>B26</f>
        <v>0.2</v>
      </c>
      <c r="D26" s="91">
        <f t="shared" ref="D26:S26" si="10">C26</f>
        <v>0.2</v>
      </c>
      <c r="E26" s="91">
        <f t="shared" si="10"/>
        <v>0.2</v>
      </c>
      <c r="F26" s="91">
        <f t="shared" si="10"/>
        <v>0.2</v>
      </c>
      <c r="G26" s="91">
        <f t="shared" si="10"/>
        <v>0.2</v>
      </c>
      <c r="H26" s="91">
        <f t="shared" si="10"/>
        <v>0.2</v>
      </c>
      <c r="I26" s="91">
        <f t="shared" si="10"/>
        <v>0.2</v>
      </c>
      <c r="J26" s="91">
        <f t="shared" si="10"/>
        <v>0.2</v>
      </c>
      <c r="K26" s="91">
        <f t="shared" si="10"/>
        <v>0.2</v>
      </c>
      <c r="L26" s="91">
        <f t="shared" si="10"/>
        <v>0.2</v>
      </c>
      <c r="M26" s="91">
        <f t="shared" si="10"/>
        <v>0.2</v>
      </c>
      <c r="N26" s="91">
        <f t="shared" si="10"/>
        <v>0.2</v>
      </c>
      <c r="O26" s="91">
        <f t="shared" si="10"/>
        <v>0.2</v>
      </c>
      <c r="P26" s="91">
        <f t="shared" si="10"/>
        <v>0.2</v>
      </c>
      <c r="Q26" s="91">
        <f t="shared" si="10"/>
        <v>0.2</v>
      </c>
      <c r="R26" s="91">
        <f t="shared" si="10"/>
        <v>0.2</v>
      </c>
      <c r="S26" s="91">
        <f t="shared" si="10"/>
        <v>0.2</v>
      </c>
    </row>
    <row r="27" spans="1:73" s="11" customFormat="1" ht="12.2" customHeight="1">
      <c r="A27" s="92" t="s">
        <v>148</v>
      </c>
      <c r="B27" s="93"/>
      <c r="C27" s="94">
        <f t="shared" ref="C27:S27" si="11">+C26*C25</f>
        <v>0</v>
      </c>
      <c r="D27" s="94">
        <f t="shared" si="11"/>
        <v>0</v>
      </c>
      <c r="E27" s="94">
        <f t="shared" si="11"/>
        <v>0</v>
      </c>
      <c r="F27" s="94">
        <f t="shared" si="11"/>
        <v>0</v>
      </c>
      <c r="G27" s="94">
        <f t="shared" si="11"/>
        <v>0</v>
      </c>
      <c r="H27" s="94">
        <f t="shared" si="11"/>
        <v>0</v>
      </c>
      <c r="I27" s="94">
        <f t="shared" si="11"/>
        <v>0</v>
      </c>
      <c r="J27" s="94">
        <f t="shared" si="11"/>
        <v>0</v>
      </c>
      <c r="K27" s="94">
        <f t="shared" si="11"/>
        <v>0</v>
      </c>
      <c r="L27" s="94">
        <f t="shared" si="11"/>
        <v>0</v>
      </c>
      <c r="M27" s="94">
        <f t="shared" si="11"/>
        <v>25.567754578380914</v>
      </c>
      <c r="N27" s="94">
        <f t="shared" si="11"/>
        <v>79.802075590042477</v>
      </c>
      <c r="O27" s="94">
        <f t="shared" si="11"/>
        <v>138.3767990731337</v>
      </c>
      <c r="P27" s="94">
        <f t="shared" si="11"/>
        <v>187.15738828239483</v>
      </c>
      <c r="Q27" s="94">
        <f t="shared" si="11"/>
        <v>224.67524627192711</v>
      </c>
      <c r="R27" s="94">
        <f t="shared" si="11"/>
        <v>264.91907638415472</v>
      </c>
      <c r="S27" s="94">
        <f t="shared" si="11"/>
        <v>324.26094949420542</v>
      </c>
    </row>
    <row r="28" spans="1:73" ht="12.2" customHeight="1"/>
    <row r="29" spans="1:73" ht="12.2" customHeight="1">
      <c r="A29" s="95" t="s">
        <v>131</v>
      </c>
      <c r="B29" s="11"/>
      <c r="C29" s="96">
        <v>0</v>
      </c>
      <c r="D29" s="96">
        <v>0</v>
      </c>
      <c r="E29" s="96">
        <v>0</v>
      </c>
      <c r="F29" s="96">
        <v>0</v>
      </c>
      <c r="G29" s="96">
        <v>0</v>
      </c>
      <c r="H29" s="96">
        <v>0</v>
      </c>
      <c r="I29" s="96">
        <v>0</v>
      </c>
      <c r="J29" s="96">
        <v>0</v>
      </c>
      <c r="K29" s="96">
        <v>0</v>
      </c>
      <c r="L29" s="96">
        <v>0</v>
      </c>
      <c r="M29" s="96">
        <v>0</v>
      </c>
      <c r="N29" s="96">
        <v>0</v>
      </c>
      <c r="O29" s="96">
        <v>0.01</v>
      </c>
      <c r="P29" s="96">
        <v>0.04</v>
      </c>
      <c r="Q29" s="96">
        <v>0.08</v>
      </c>
      <c r="R29" s="96">
        <v>0.12</v>
      </c>
      <c r="S29" s="96">
        <v>0.15</v>
      </c>
    </row>
    <row r="30" spans="1:73" ht="12.2" customHeight="1">
      <c r="A30" s="198" t="s">
        <v>149</v>
      </c>
      <c r="B30" s="199"/>
      <c r="C30" s="200">
        <f t="shared" ref="C30:S31" si="12">+C29*C25</f>
        <v>0</v>
      </c>
      <c r="D30" s="200">
        <f t="shared" si="12"/>
        <v>0</v>
      </c>
      <c r="E30" s="200">
        <f t="shared" si="12"/>
        <v>0</v>
      </c>
      <c r="F30" s="200">
        <f t="shared" si="12"/>
        <v>0</v>
      </c>
      <c r="G30" s="200">
        <f t="shared" si="12"/>
        <v>0</v>
      </c>
      <c r="H30" s="200">
        <f t="shared" si="12"/>
        <v>0</v>
      </c>
      <c r="I30" s="200">
        <f t="shared" si="12"/>
        <v>0</v>
      </c>
      <c r="J30" s="200">
        <f t="shared" si="12"/>
        <v>0</v>
      </c>
      <c r="K30" s="200">
        <f t="shared" si="12"/>
        <v>0</v>
      </c>
      <c r="L30" s="200">
        <f t="shared" si="12"/>
        <v>0</v>
      </c>
      <c r="M30" s="200">
        <f t="shared" si="12"/>
        <v>0</v>
      </c>
      <c r="N30" s="200">
        <f t="shared" si="12"/>
        <v>0</v>
      </c>
      <c r="O30" s="200">
        <f t="shared" si="12"/>
        <v>6.9188399536566854</v>
      </c>
      <c r="P30" s="200">
        <f t="shared" si="12"/>
        <v>37.431477656478968</v>
      </c>
      <c r="Q30" s="200">
        <f t="shared" si="12"/>
        <v>89.870098508770852</v>
      </c>
      <c r="R30" s="200">
        <f t="shared" si="12"/>
        <v>158.95144583049284</v>
      </c>
      <c r="S30" s="200">
        <f t="shared" si="12"/>
        <v>243.19571212065404</v>
      </c>
    </row>
    <row r="31" spans="1:73" ht="12.2" customHeight="1">
      <c r="A31" s="92" t="s">
        <v>150</v>
      </c>
      <c r="B31" s="93"/>
      <c r="C31" s="97">
        <f t="shared" si="12"/>
        <v>0</v>
      </c>
      <c r="D31" s="97">
        <f t="shared" si="12"/>
        <v>0</v>
      </c>
      <c r="E31" s="97">
        <f t="shared" si="12"/>
        <v>0</v>
      </c>
      <c r="F31" s="97">
        <f t="shared" si="12"/>
        <v>0</v>
      </c>
      <c r="G31" s="97">
        <f t="shared" ref="G31:S31" si="13">G29*G27</f>
        <v>0</v>
      </c>
      <c r="H31" s="97">
        <f t="shared" si="13"/>
        <v>0</v>
      </c>
      <c r="I31" s="97">
        <f t="shared" si="13"/>
        <v>0</v>
      </c>
      <c r="J31" s="97">
        <f t="shared" si="13"/>
        <v>0</v>
      </c>
      <c r="K31" s="97">
        <f t="shared" si="13"/>
        <v>0</v>
      </c>
      <c r="L31" s="97">
        <f t="shared" si="13"/>
        <v>0</v>
      </c>
      <c r="M31" s="97">
        <f t="shared" si="13"/>
        <v>0</v>
      </c>
      <c r="N31" s="97">
        <f t="shared" si="13"/>
        <v>0</v>
      </c>
      <c r="O31" s="97">
        <f t="shared" si="13"/>
        <v>1.3837679907313369</v>
      </c>
      <c r="P31" s="97">
        <f t="shared" si="13"/>
        <v>7.4862955312957933</v>
      </c>
      <c r="Q31" s="97">
        <f t="shared" si="13"/>
        <v>17.97401970175417</v>
      </c>
      <c r="R31" s="97">
        <f t="shared" si="13"/>
        <v>31.790289166098564</v>
      </c>
      <c r="S31" s="97">
        <f t="shared" si="13"/>
        <v>48.63914242413081</v>
      </c>
    </row>
    <row r="32" spans="1:73" ht="12.2" customHeight="1">
      <c r="A32" s="11"/>
      <c r="B32" s="11"/>
      <c r="C32" s="11"/>
      <c r="D32" s="11"/>
      <c r="E32" s="11"/>
      <c r="F32" s="11"/>
      <c r="G32" s="11"/>
      <c r="H32" s="11"/>
      <c r="I32" s="11"/>
      <c r="J32" s="11"/>
      <c r="K32" s="11"/>
      <c r="L32" s="11"/>
      <c r="M32" s="11"/>
      <c r="N32" s="11"/>
      <c r="O32" s="11"/>
      <c r="P32" s="11"/>
    </row>
    <row r="33" spans="1:19" ht="12.2" customHeight="1">
      <c r="A33" s="198" t="s">
        <v>151</v>
      </c>
      <c r="B33" s="199"/>
      <c r="C33" s="200">
        <f>+C30+C25</f>
        <v>0</v>
      </c>
      <c r="D33" s="200">
        <f>+D30+D25</f>
        <v>0</v>
      </c>
      <c r="E33" s="200">
        <f>+E30+E25</f>
        <v>0</v>
      </c>
      <c r="F33" s="200">
        <f>+F30+F25</f>
        <v>0</v>
      </c>
      <c r="G33" s="200">
        <f t="shared" ref="G33:S33" si="14">+G30+G25</f>
        <v>0</v>
      </c>
      <c r="H33" s="200">
        <f t="shared" si="14"/>
        <v>0</v>
      </c>
      <c r="I33" s="200">
        <f t="shared" si="14"/>
        <v>0</v>
      </c>
      <c r="J33" s="200">
        <f t="shared" si="14"/>
        <v>0</v>
      </c>
      <c r="K33" s="200">
        <f t="shared" si="14"/>
        <v>0</v>
      </c>
      <c r="L33" s="200">
        <f t="shared" si="14"/>
        <v>0</v>
      </c>
      <c r="M33" s="200">
        <f t="shared" si="14"/>
        <v>127.83877289190455</v>
      </c>
      <c r="N33" s="200">
        <f t="shared" si="14"/>
        <v>399.01037795021239</v>
      </c>
      <c r="O33" s="200">
        <f t="shared" si="14"/>
        <v>698.80283531932514</v>
      </c>
      <c r="P33" s="200">
        <f t="shared" si="14"/>
        <v>973.21841906845304</v>
      </c>
      <c r="Q33" s="200">
        <f t="shared" si="14"/>
        <v>1213.2463298684063</v>
      </c>
      <c r="R33" s="200">
        <f t="shared" si="14"/>
        <v>1483.5468277512664</v>
      </c>
      <c r="S33" s="200">
        <f t="shared" si="14"/>
        <v>1864.500459591681</v>
      </c>
    </row>
    <row r="34" spans="1:19" ht="12.2" customHeight="1">
      <c r="A34" s="92" t="s">
        <v>152</v>
      </c>
      <c r="B34" s="93"/>
      <c r="C34" s="97">
        <f>+C31+C27</f>
        <v>0</v>
      </c>
      <c r="D34" s="97">
        <f>+D31+D27</f>
        <v>0</v>
      </c>
      <c r="E34" s="97">
        <f>+E31+E27</f>
        <v>0</v>
      </c>
      <c r="F34" s="97">
        <f>+F31+F27</f>
        <v>0</v>
      </c>
      <c r="G34" s="97">
        <f>G31+G27</f>
        <v>0</v>
      </c>
      <c r="H34" s="97">
        <f t="shared" ref="H34:M34" si="15">H31+H27</f>
        <v>0</v>
      </c>
      <c r="I34" s="97">
        <f t="shared" si="15"/>
        <v>0</v>
      </c>
      <c r="J34" s="97">
        <f t="shared" si="15"/>
        <v>0</v>
      </c>
      <c r="K34" s="97">
        <f t="shared" si="15"/>
        <v>0</v>
      </c>
      <c r="L34" s="97">
        <f t="shared" si="15"/>
        <v>0</v>
      </c>
      <c r="M34" s="97">
        <f t="shared" si="15"/>
        <v>25.567754578380914</v>
      </c>
      <c r="N34" s="97">
        <f t="shared" ref="N34:S34" si="16">N31+N27</f>
        <v>79.802075590042477</v>
      </c>
      <c r="O34" s="97">
        <f t="shared" si="16"/>
        <v>139.76056706386504</v>
      </c>
      <c r="P34" s="97">
        <f t="shared" si="16"/>
        <v>194.64368381369061</v>
      </c>
      <c r="Q34" s="97">
        <f t="shared" si="16"/>
        <v>242.64926597368128</v>
      </c>
      <c r="R34" s="97">
        <f t="shared" si="16"/>
        <v>296.70936555025327</v>
      </c>
      <c r="S34" s="97">
        <f t="shared" si="16"/>
        <v>372.90009191833622</v>
      </c>
    </row>
    <row r="35" spans="1:19" ht="12.2" customHeight="1"/>
    <row r="36" spans="1:19" ht="12.2" customHeight="1"/>
    <row r="37" spans="1:19" ht="12.2" customHeight="1"/>
    <row r="38" spans="1:19" ht="12.2" customHeight="1">
      <c r="A38" s="8" t="s">
        <v>136</v>
      </c>
      <c r="B38" s="98"/>
    </row>
    <row r="39" spans="1:19" ht="12.2" customHeight="1">
      <c r="A39" s="99" t="s">
        <v>137</v>
      </c>
      <c r="B39" s="100">
        <v>0.2</v>
      </c>
    </row>
    <row r="40" spans="1:19" ht="12.2" customHeight="1">
      <c r="A40" s="99" t="s">
        <v>138</v>
      </c>
      <c r="B40" s="259">
        <v>24000</v>
      </c>
    </row>
    <row r="41" spans="1:19" ht="12.2" customHeight="1">
      <c r="A41" s="99" t="s">
        <v>139</v>
      </c>
      <c r="B41" s="100">
        <v>0.02</v>
      </c>
    </row>
    <row r="42" spans="1:19" ht="12.2" customHeight="1">
      <c r="A42" s="101" t="s">
        <v>140</v>
      </c>
      <c r="B42" s="102">
        <v>0.4</v>
      </c>
    </row>
    <row r="43" spans="1:19" ht="12.2" customHeight="1"/>
    <row r="44" spans="1:19" ht="12.2" customHeight="1"/>
    <row r="45" spans="1:19" ht="12.2" customHeight="1"/>
    <row r="46" spans="1:19" ht="12.2" customHeight="1"/>
    <row r="47" spans="1:19" ht="12.2" customHeight="1"/>
    <row r="48" spans="1:19" ht="12.2" customHeight="1"/>
    <row r="49" ht="12.2" customHeight="1"/>
    <row r="50" ht="12.2" customHeight="1"/>
    <row r="51" ht="12.2" customHeight="1"/>
    <row r="52" ht="12.2" customHeight="1"/>
    <row r="53" ht="12.2" customHeight="1"/>
    <row r="54" ht="12.2" customHeight="1"/>
    <row r="55" ht="12.2" customHeight="1"/>
    <row r="56" ht="12.2" customHeight="1"/>
    <row r="57" ht="12.2" customHeight="1"/>
    <row r="58" ht="12.2" customHeight="1"/>
    <row r="59" ht="12.2" customHeight="1"/>
    <row r="60" ht="12.2" customHeight="1"/>
    <row r="61" ht="12.2" customHeight="1"/>
    <row r="62" ht="12.2" customHeight="1"/>
    <row r="63" ht="12.2" customHeight="1"/>
    <row r="64" ht="12.2" customHeight="1"/>
    <row r="65" ht="12.2" customHeight="1"/>
    <row r="66" ht="12.2" customHeight="1"/>
    <row r="67" ht="12.2" customHeight="1"/>
    <row r="68" ht="12.2" customHeight="1"/>
    <row r="69" ht="12.2" customHeight="1"/>
    <row r="70" ht="12.2" customHeight="1"/>
    <row r="71" ht="12.2" customHeight="1"/>
    <row r="72" ht="12.2" customHeight="1"/>
    <row r="73" ht="12.2" customHeight="1"/>
    <row r="74" ht="12.2" customHeight="1"/>
    <row r="75" ht="12.2" customHeight="1"/>
    <row r="76" ht="12.2" customHeight="1"/>
    <row r="77" ht="12.2" customHeight="1"/>
    <row r="78" ht="12.2" customHeight="1"/>
    <row r="79" ht="12.2" customHeight="1"/>
    <row r="80" ht="12.2" customHeight="1"/>
    <row r="81" ht="12.2" customHeight="1"/>
    <row r="82" ht="12.2" customHeight="1"/>
    <row r="83" ht="12.2" customHeight="1"/>
    <row r="84" ht="12.2" customHeight="1"/>
    <row r="85" ht="12.2" customHeight="1"/>
    <row r="86" ht="12.2" customHeight="1"/>
    <row r="87" ht="12.2" customHeight="1"/>
    <row r="88" ht="12.2" customHeight="1"/>
    <row r="89" ht="12.2" customHeight="1"/>
    <row r="90" ht="12.2" customHeight="1"/>
    <row r="91" ht="12.2" customHeight="1"/>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6"/>
  <sheetViews>
    <sheetView workbookViewId="0">
      <selection activeCell="D42" sqref="D42"/>
    </sheetView>
  </sheetViews>
  <sheetFormatPr defaultRowHeight="15"/>
  <cols>
    <col min="1" max="1" width="31.140625" customWidth="1"/>
    <col min="3" max="3" width="14.85546875" customWidth="1"/>
    <col min="4" max="4" width="13.5703125" customWidth="1"/>
    <col min="5" max="5" width="12.42578125" customWidth="1"/>
    <col min="6" max="6" width="12.28515625" customWidth="1"/>
    <col min="7" max="7" width="12.42578125" customWidth="1"/>
    <col min="8" max="8" width="13" customWidth="1"/>
    <col min="9" max="9" width="14.5703125" customWidth="1"/>
    <col min="10" max="10" width="15.140625" customWidth="1"/>
    <col min="11" max="11" width="13" customWidth="1"/>
    <col min="12" max="12" width="13.42578125" customWidth="1"/>
    <col min="13" max="13" width="12.7109375" customWidth="1"/>
    <col min="14" max="14" width="13.28515625" customWidth="1"/>
    <col min="15" max="15" width="14.7109375" customWidth="1"/>
    <col min="16" max="16" width="13.85546875" customWidth="1"/>
    <col min="17" max="17" width="15.140625" customWidth="1"/>
    <col min="18" max="18" width="12.5703125" customWidth="1"/>
    <col min="19" max="19" width="15.28515625" customWidth="1"/>
    <col min="20" max="20" width="15" customWidth="1"/>
    <col min="21" max="21" width="14.7109375" customWidth="1"/>
  </cols>
  <sheetData>
    <row r="1" spans="1:21" s="11" customFormat="1" ht="12">
      <c r="A1" s="254" t="s">
        <v>153</v>
      </c>
      <c r="B1" s="81"/>
      <c r="C1" s="82">
        <v>2020</v>
      </c>
      <c r="D1" s="82">
        <v>2021</v>
      </c>
      <c r="E1" s="82">
        <v>2022</v>
      </c>
      <c r="F1" s="82">
        <f>'P&amp;L'!B1</f>
        <v>2023</v>
      </c>
      <c r="G1" s="82">
        <f>'P&amp;L'!C1</f>
        <v>2024</v>
      </c>
      <c r="H1" s="82" t="str">
        <f>'P&amp;L'!G1</f>
        <v>2025E</v>
      </c>
      <c r="I1" s="82" t="str">
        <f>'P&amp;L'!H1</f>
        <v>2026E</v>
      </c>
      <c r="J1" s="82" t="str">
        <f>'P&amp;L'!I1</f>
        <v>2027E</v>
      </c>
      <c r="K1" s="82" t="str">
        <f>'P&amp;L'!J1</f>
        <v>2028E</v>
      </c>
      <c r="L1" s="82" t="str">
        <f>'P&amp;L'!K1</f>
        <v>2029E</v>
      </c>
      <c r="M1" s="82" t="str">
        <f>'P&amp;L'!L1</f>
        <v>2030E</v>
      </c>
      <c r="N1" s="82" t="str">
        <f>'P&amp;L'!M1</f>
        <v>2031E</v>
      </c>
      <c r="O1" s="82" t="str">
        <f>'P&amp;L'!N1</f>
        <v>2032E</v>
      </c>
      <c r="P1" s="82" t="str">
        <f>'P&amp;L'!O1</f>
        <v>2033E</v>
      </c>
      <c r="Q1" s="82" t="str">
        <f>'P&amp;L'!P1</f>
        <v>2034E</v>
      </c>
      <c r="R1" s="82" t="str">
        <f>'P&amp;L'!Q1</f>
        <v>2035E</v>
      </c>
      <c r="S1" s="82" t="s">
        <v>20</v>
      </c>
      <c r="T1" s="82" t="s">
        <v>21</v>
      </c>
      <c r="U1" s="82" t="s">
        <v>22</v>
      </c>
    </row>
    <row r="2" spans="1:21" s="11" customFormat="1" ht="5.0999999999999996" customHeight="1">
      <c r="A2" s="40"/>
      <c r="S2" s="11" t="s">
        <v>72</v>
      </c>
    </row>
    <row r="3" spans="1:21" s="11" customFormat="1" ht="12">
      <c r="A3" s="255" t="s">
        <v>154</v>
      </c>
      <c r="B3" s="83"/>
      <c r="C3" s="83"/>
      <c r="D3" s="83"/>
      <c r="E3" s="83"/>
      <c r="F3" s="83"/>
      <c r="G3" s="83"/>
      <c r="H3" s="83"/>
      <c r="I3" s="83"/>
      <c r="J3" s="83"/>
      <c r="K3" s="83"/>
      <c r="L3" s="83"/>
      <c r="M3" s="83"/>
      <c r="N3" s="83"/>
      <c r="O3" s="83"/>
      <c r="P3" s="83"/>
      <c r="Q3" s="83"/>
      <c r="R3" s="83"/>
      <c r="S3" s="83"/>
      <c r="T3" s="83"/>
      <c r="U3" s="83"/>
    </row>
    <row r="5" spans="1:21" s="11" customFormat="1" ht="12" customHeight="1">
      <c r="A5" s="11" t="s">
        <v>155</v>
      </c>
      <c r="B5" s="85">
        <v>2.1999999999999999E-2</v>
      </c>
      <c r="C5" s="251">
        <v>258828543.57993138</v>
      </c>
      <c r="D5" s="251">
        <f>+C5*(1+$B$5)</f>
        <v>264522771.53868988</v>
      </c>
      <c r="E5" s="251">
        <f t="shared" ref="E5:N5" si="0">+D5*(1+$B$5)</f>
        <v>270342272.51254106</v>
      </c>
      <c r="F5" s="251">
        <f t="shared" si="0"/>
        <v>276289802.50781697</v>
      </c>
      <c r="G5" s="251">
        <f t="shared" si="0"/>
        <v>282368178.16298896</v>
      </c>
      <c r="H5" s="251">
        <f t="shared" si="0"/>
        <v>288580278.08257473</v>
      </c>
      <c r="I5" s="251">
        <f t="shared" si="0"/>
        <v>294929044.20039135</v>
      </c>
      <c r="J5" s="251">
        <f t="shared" si="0"/>
        <v>301417483.17279994</v>
      </c>
      <c r="K5" s="251">
        <f t="shared" si="0"/>
        <v>308048667.80260158</v>
      </c>
      <c r="L5" s="251">
        <f t="shared" si="0"/>
        <v>314825738.49425882</v>
      </c>
      <c r="M5" s="251">
        <f t="shared" si="0"/>
        <v>321751904.7411325</v>
      </c>
      <c r="N5" s="251">
        <f t="shared" si="0"/>
        <v>328830446.64543742</v>
      </c>
      <c r="O5" s="251">
        <f t="shared" ref="O5:U5" si="1">+N5*(1+$B$5)</f>
        <v>336064716.47163707</v>
      </c>
      <c r="P5" s="251">
        <f t="shared" si="1"/>
        <v>343458140.23401308</v>
      </c>
      <c r="Q5" s="251">
        <f t="shared" si="1"/>
        <v>351014219.31916136</v>
      </c>
      <c r="R5" s="251">
        <f t="shared" si="1"/>
        <v>358736532.14418292</v>
      </c>
      <c r="S5" s="251">
        <f t="shared" si="1"/>
        <v>366628735.85135496</v>
      </c>
      <c r="T5" s="251">
        <f t="shared" si="1"/>
        <v>374694568.04008478</v>
      </c>
      <c r="U5" s="251">
        <f t="shared" si="1"/>
        <v>382937848.53696668</v>
      </c>
    </row>
    <row r="6" spans="1:21" s="11" customFormat="1" ht="12" customHeight="1">
      <c r="A6" s="86" t="s">
        <v>156</v>
      </c>
      <c r="B6" s="252">
        <v>1.25E-3</v>
      </c>
      <c r="C6" s="251">
        <f>C5*B6</f>
        <v>323535.67947491421</v>
      </c>
      <c r="D6" s="251">
        <f>D5*B6</f>
        <v>330653.46442336234</v>
      </c>
      <c r="E6" s="251">
        <f>E5*B6</f>
        <v>337927.84064067632</v>
      </c>
      <c r="F6" s="251">
        <f>F5*B6</f>
        <v>345362.25313477119</v>
      </c>
      <c r="G6" s="251">
        <f>G5*B6</f>
        <v>352960.22270373622</v>
      </c>
      <c r="H6" s="251">
        <f>H5*B6</f>
        <v>360725.3476032184</v>
      </c>
      <c r="I6" s="251">
        <f>I5*B6</f>
        <v>368661.30525048921</v>
      </c>
      <c r="J6" s="251">
        <f>J5*B6</f>
        <v>376771.85396599997</v>
      </c>
      <c r="K6" s="251">
        <f>K5*B6</f>
        <v>385060.83475325198</v>
      </c>
      <c r="L6" s="251">
        <f>L5*B6</f>
        <v>393532.17311782355</v>
      </c>
      <c r="M6" s="251">
        <f>M5*B6</f>
        <v>402189.88092641562</v>
      </c>
      <c r="N6" s="251">
        <f>N5*B6</f>
        <v>411038.05830679677</v>
      </c>
      <c r="O6" s="251">
        <f>O5*B6</f>
        <v>420080.89558954636</v>
      </c>
      <c r="P6" s="251">
        <f>P5*B6</f>
        <v>429322.67529251636</v>
      </c>
      <c r="Q6" s="251">
        <f>Q5*B6</f>
        <v>438767.77414895169</v>
      </c>
      <c r="R6" s="251">
        <f>R5*B6</f>
        <v>448420.66518022865</v>
      </c>
      <c r="S6" s="251">
        <f>S5*B6</f>
        <v>458285.91981419368</v>
      </c>
      <c r="T6" s="251">
        <f>T5*B6</f>
        <v>468368.21005010599</v>
      </c>
      <c r="U6" s="251">
        <f>U5*B6</f>
        <v>478672.31067120837</v>
      </c>
    </row>
    <row r="7" spans="1:21" s="11" customFormat="1" ht="12" customHeight="1">
      <c r="A7" s="11" t="s">
        <v>157</v>
      </c>
      <c r="B7" s="85"/>
      <c r="C7" s="87">
        <f>C6</f>
        <v>323535.67947491421</v>
      </c>
      <c r="D7" s="87">
        <f t="shared" ref="D7:U7" si="2">D6</f>
        <v>330653.46442336234</v>
      </c>
      <c r="E7" s="87">
        <f t="shared" si="2"/>
        <v>337927.84064067632</v>
      </c>
      <c r="F7" s="87">
        <f t="shared" si="2"/>
        <v>345362.25313477119</v>
      </c>
      <c r="G7" s="87">
        <f t="shared" si="2"/>
        <v>352960.22270373622</v>
      </c>
      <c r="H7" s="87">
        <f t="shared" si="2"/>
        <v>360725.3476032184</v>
      </c>
      <c r="I7" s="87">
        <f t="shared" si="2"/>
        <v>368661.30525048921</v>
      </c>
      <c r="J7" s="87">
        <f t="shared" si="2"/>
        <v>376771.85396599997</v>
      </c>
      <c r="K7" s="87">
        <f t="shared" si="2"/>
        <v>385060.83475325198</v>
      </c>
      <c r="L7" s="87">
        <f t="shared" si="2"/>
        <v>393532.17311782355</v>
      </c>
      <c r="M7" s="87">
        <f t="shared" si="2"/>
        <v>402189.88092641562</v>
      </c>
      <c r="N7" s="87">
        <f t="shared" si="2"/>
        <v>411038.05830679677</v>
      </c>
      <c r="O7" s="87">
        <f t="shared" si="2"/>
        <v>420080.89558954636</v>
      </c>
      <c r="P7" s="87">
        <f t="shared" si="2"/>
        <v>429322.67529251636</v>
      </c>
      <c r="Q7" s="87">
        <f t="shared" si="2"/>
        <v>438767.77414895169</v>
      </c>
      <c r="R7" s="87">
        <f t="shared" si="2"/>
        <v>448420.66518022865</v>
      </c>
      <c r="S7" s="87">
        <f t="shared" si="2"/>
        <v>458285.91981419368</v>
      </c>
      <c r="T7" s="87">
        <f t="shared" si="2"/>
        <v>468368.21005010599</v>
      </c>
      <c r="U7" s="87">
        <f t="shared" si="2"/>
        <v>478672.31067120837</v>
      </c>
    </row>
    <row r="8" spans="1:21" s="11" customFormat="1" ht="12" customHeight="1">
      <c r="B8" s="85"/>
      <c r="C8" s="87"/>
      <c r="D8" s="87"/>
      <c r="E8" s="87"/>
      <c r="F8" s="87"/>
      <c r="G8" s="87"/>
      <c r="H8" s="87"/>
      <c r="I8" s="87"/>
      <c r="J8" s="87"/>
      <c r="K8" s="87"/>
      <c r="L8" s="87"/>
      <c r="M8" s="87"/>
      <c r="N8" s="87"/>
      <c r="O8" s="87"/>
      <c r="P8" s="87"/>
      <c r="Q8" s="87"/>
      <c r="R8" s="87"/>
      <c r="S8" s="87"/>
      <c r="T8" s="87"/>
      <c r="U8" s="87"/>
    </row>
    <row r="9" spans="1:21" s="11" customFormat="1" ht="12" customHeight="1">
      <c r="A9" s="11" t="s">
        <v>158</v>
      </c>
      <c r="B9" s="85">
        <v>0.55000000000000004</v>
      </c>
      <c r="C9" s="87">
        <f>C7*B9</f>
        <v>177944.62371120282</v>
      </c>
      <c r="D9" s="87">
        <f>D7*B9</f>
        <v>181859.40543284931</v>
      </c>
      <c r="E9" s="87">
        <f>E7*B9</f>
        <v>185860.31235237198</v>
      </c>
      <c r="F9" s="87">
        <f>F7*B9</f>
        <v>189949.23922412418</v>
      </c>
      <c r="G9" s="87">
        <f>G7*B9</f>
        <v>194128.12248705493</v>
      </c>
      <c r="H9" s="87">
        <f>H7*B9</f>
        <v>198398.94118177015</v>
      </c>
      <c r="I9" s="87">
        <f>I7*B9</f>
        <v>202763.71788776907</v>
      </c>
      <c r="J9" s="87">
        <f>J7*B9</f>
        <v>207224.51968130001</v>
      </c>
      <c r="K9" s="87">
        <f>K7*B9</f>
        <v>211783.45911428862</v>
      </c>
      <c r="L9" s="87">
        <f>L7*B9</f>
        <v>216442.69521480298</v>
      </c>
      <c r="M9" s="87">
        <f>M7*B9</f>
        <v>221204.4345095286</v>
      </c>
      <c r="N9" s="87">
        <f>N7*B9</f>
        <v>226070.93206873824</v>
      </c>
      <c r="O9" s="87">
        <f>O7*B9</f>
        <v>231044.49257425053</v>
      </c>
      <c r="P9" s="87">
        <f>P7*B9</f>
        <v>236127.47141088403</v>
      </c>
      <c r="Q9" s="87">
        <f>Q7*B9</f>
        <v>241322.27578192344</v>
      </c>
      <c r="R9" s="87">
        <f>R7*B9</f>
        <v>246631.36584912578</v>
      </c>
      <c r="S9" s="87">
        <f>S7*B9</f>
        <v>252057.25589780655</v>
      </c>
      <c r="T9" s="87">
        <f>T7*B9</f>
        <v>257602.51552755831</v>
      </c>
      <c r="U9" s="87">
        <f>U7*B9</f>
        <v>263269.77086916461</v>
      </c>
    </row>
    <row r="10" spans="1:21" s="11" customFormat="1" ht="12" customHeight="1">
      <c r="A10" s="11" t="s">
        <v>159</v>
      </c>
      <c r="B10" s="85">
        <v>0.3</v>
      </c>
      <c r="C10" s="87">
        <f>C7*B10</f>
        <v>97060.703842474264</v>
      </c>
      <c r="D10" s="87">
        <f>D7*B10</f>
        <v>99196.039327008693</v>
      </c>
      <c r="E10" s="87">
        <f>E7*B10</f>
        <v>101378.35219220289</v>
      </c>
      <c r="F10" s="87">
        <f>F7*B10</f>
        <v>103608.67594043135</v>
      </c>
      <c r="G10" s="87">
        <f>G7*B10</f>
        <v>105888.06681112087</v>
      </c>
      <c r="H10" s="87">
        <f>H7*B10</f>
        <v>108217.60428096552</v>
      </c>
      <c r="I10" s="87">
        <f>I7*B10</f>
        <v>110598.39157514676</v>
      </c>
      <c r="J10" s="87">
        <f>J7*B10</f>
        <v>113031.55618979999</v>
      </c>
      <c r="K10" s="87">
        <f>K7*B10</f>
        <v>115518.2504259756</v>
      </c>
      <c r="L10" s="87">
        <f>L7*B10</f>
        <v>118059.65193534706</v>
      </c>
      <c r="M10" s="87">
        <f>M7*B10</f>
        <v>120656.96427792468</v>
      </c>
      <c r="N10" s="87">
        <f>N7*B10</f>
        <v>123311.41749203902</v>
      </c>
      <c r="O10" s="87">
        <f>O7*B10</f>
        <v>126024.2686768639</v>
      </c>
      <c r="P10" s="87">
        <f>P7*B10</f>
        <v>128796.80258775491</v>
      </c>
      <c r="Q10" s="87">
        <f>Q7*B10</f>
        <v>131630.3322446855</v>
      </c>
      <c r="R10" s="87">
        <f>R7*B10</f>
        <v>134526.19955406859</v>
      </c>
      <c r="S10" s="87">
        <f>S7*B10</f>
        <v>137485.77594425809</v>
      </c>
      <c r="T10" s="87">
        <f>T7*B10</f>
        <v>140510.4630150318</v>
      </c>
      <c r="U10" s="87">
        <f>U7*B10</f>
        <v>143601.6932013625</v>
      </c>
    </row>
    <row r="11" spans="1:21" s="11" customFormat="1" ht="12" customHeight="1">
      <c r="A11" s="11" t="s">
        <v>160</v>
      </c>
      <c r="B11" s="85">
        <v>0.15</v>
      </c>
      <c r="C11" s="87">
        <f>C7*B11</f>
        <v>48530.351921237132</v>
      </c>
      <c r="D11" s="87">
        <f>D7*B11</f>
        <v>49598.019663504347</v>
      </c>
      <c r="E11" s="87">
        <f>E7*B11</f>
        <v>50689.176096101444</v>
      </c>
      <c r="F11" s="87">
        <f>F7*B11</f>
        <v>51804.337970215674</v>
      </c>
      <c r="G11" s="87">
        <f>G7*B11</f>
        <v>52944.033405560433</v>
      </c>
      <c r="H11" s="87">
        <f>H7*B11</f>
        <v>54108.80214048276</v>
      </c>
      <c r="I11" s="87">
        <f>I7*B11</f>
        <v>55299.195787573379</v>
      </c>
      <c r="J11" s="87">
        <f>J7*B11</f>
        <v>56515.778094899993</v>
      </c>
      <c r="K11" s="87">
        <f>K7*B11</f>
        <v>57759.125212987798</v>
      </c>
      <c r="L11" s="87">
        <f>L7*B11</f>
        <v>59029.825967673532</v>
      </c>
      <c r="M11" s="87">
        <f>M7*B11</f>
        <v>60328.482138962339</v>
      </c>
      <c r="N11" s="87">
        <f>N7*B11</f>
        <v>61655.708746019511</v>
      </c>
      <c r="O11" s="87">
        <f>O7*B11</f>
        <v>63012.134338431948</v>
      </c>
      <c r="P11" s="87">
        <f>P7*B11</f>
        <v>64398.401293877454</v>
      </c>
      <c r="Q11" s="87">
        <f>Q7*B11</f>
        <v>65815.166122342751</v>
      </c>
      <c r="R11" s="87">
        <f>R7*B11</f>
        <v>67263.099777034295</v>
      </c>
      <c r="S11" s="87">
        <f>S7*B11</f>
        <v>68742.887972129043</v>
      </c>
      <c r="T11" s="87">
        <f>T7*B11</f>
        <v>70255.231507515899</v>
      </c>
      <c r="U11" s="87">
        <f>U7*B11</f>
        <v>71800.846600681252</v>
      </c>
    </row>
    <row r="12" spans="1:21" s="11" customFormat="1" ht="12" customHeight="1">
      <c r="B12" s="85"/>
      <c r="C12" s="87"/>
      <c r="D12" s="87"/>
      <c r="E12" s="87"/>
      <c r="F12" s="87"/>
      <c r="G12" s="87"/>
      <c r="H12" s="87"/>
      <c r="I12" s="87"/>
      <c r="J12" s="87"/>
      <c r="K12" s="87"/>
      <c r="L12" s="87"/>
      <c r="M12" s="87"/>
      <c r="N12" s="87"/>
      <c r="O12" s="87"/>
      <c r="P12" s="87"/>
      <c r="Q12" s="87"/>
      <c r="R12" s="87"/>
      <c r="S12" s="87"/>
      <c r="T12" s="87"/>
      <c r="U12" s="87"/>
    </row>
    <row r="13" spans="1:21">
      <c r="A13" s="84" t="s">
        <v>161</v>
      </c>
    </row>
    <row r="14" spans="1:21">
      <c r="A14" s="86" t="s">
        <v>162</v>
      </c>
    </row>
    <row r="15" spans="1:21">
      <c r="A15" s="86" t="s">
        <v>163</v>
      </c>
    </row>
    <row r="16" spans="1:21">
      <c r="A16" s="86" t="s">
        <v>164</v>
      </c>
    </row>
    <row r="17" spans="1:1">
      <c r="A17" s="86" t="s">
        <v>165</v>
      </c>
    </row>
    <row r="18" spans="1:1">
      <c r="A18" s="86" t="s">
        <v>166</v>
      </c>
    </row>
    <row r="19" spans="1:1">
      <c r="A19" s="86" t="s">
        <v>167</v>
      </c>
    </row>
    <row r="20" spans="1:1">
      <c r="A20" s="86" t="s">
        <v>168</v>
      </c>
    </row>
    <row r="21" spans="1:1">
      <c r="A21" s="86" t="s">
        <v>169</v>
      </c>
    </row>
    <row r="22" spans="1:1">
      <c r="A22" s="86" t="s">
        <v>170</v>
      </c>
    </row>
    <row r="23" spans="1:1">
      <c r="A23" s="86" t="s">
        <v>171</v>
      </c>
    </row>
    <row r="26" spans="1:1">
      <c r="A26" s="84" t="s">
        <v>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2B2BA8-9BB6-4754-851A-0F69D65EE08B}"/>
</file>

<file path=customXml/itemProps2.xml><?xml version="1.0" encoding="utf-8"?>
<ds:datastoreItem xmlns:ds="http://schemas.openxmlformats.org/officeDocument/2006/customXml" ds:itemID="{2E1F07C0-3457-4E4E-8142-F30DE4526391}"/>
</file>

<file path=customXml/itemProps3.xml><?xml version="1.0" encoding="utf-8"?>
<ds:datastoreItem xmlns:ds="http://schemas.openxmlformats.org/officeDocument/2006/customXml" ds:itemID="{E1D2DBFB-5B3B-4955-84AF-3E1419E4D9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SAGE - Model</dc:title>
  <dc:subject/>
  <dc:creator>Paul Matteis</dc:creator>
  <cp:keywords/>
  <dc:description/>
  <cp:lastModifiedBy>Hannah Cabot</cp:lastModifiedBy>
  <cp:revision/>
  <dcterms:created xsi:type="dcterms:W3CDTF">2014-07-18T14:58:35Z</dcterms:created>
  <dcterms:modified xsi:type="dcterms:W3CDTF">2026-01-15T17:38:14Z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0x010100C5125C545D03AB44BD1A74E0497B8F76</vt:lpwstr>
  </property>
  <property fmtid="{D5CDD505-2E9C-101B-9397-08002B2CF9AE}" pid="3" name="MediaServiceImageTags">
    <vt:lpwstr/>
  </property>
</Properties>
</file>