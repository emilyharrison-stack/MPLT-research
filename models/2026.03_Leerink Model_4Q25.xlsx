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style1.xml" ContentType="application/vnd.ms-office.chartstyle+xml"/>
  <Override PartName="/xl/worksheets/sheet9.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olors1.xml" ContentType="application/vnd.ms-office.chartcolorstyle+xml"/>
  <Override PartName="/xl/metadata.xml" ContentType="application/vnd.openxmlformats-officedocument.spreadsheetml.sheetMetadata+xml"/>
  <Override PartName="/xl/comments1.xml" ContentType="application/vnd.openxmlformats-officedocument.spreadsheetml.comments+xml"/>
  <Override PartName="/xl/comments3.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xl/comments2.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R:\Goodman\MODELS FOR DISTRIBUTION\"/>
    </mc:Choice>
  </mc:AlternateContent>
  <xr:revisionPtr revIDLastSave="0" documentId="13_ncr:1_{AC3EBA8F-70D3-4103-8D26-F33C9A7398BE}" xr6:coauthVersionLast="47" xr6:coauthVersionMax="47" xr10:uidLastSave="{00000000-0000-0000-0000-000000000000}"/>
  <bookViews>
    <workbookView xWindow="-110" yWindow="-110" windowWidth="19420" windowHeight="10300" tabRatio="1000" firstSheet="5" activeTab="12" xr2:uid="{00000000-000D-0000-FFFF-FFFF00000000}"/>
  </bookViews>
  <sheets>
    <sheet name="__FDSCACHE__" sheetId="11" state="veryHidden" r:id="rId1"/>
    <sheet name="Disclosures" sheetId="67" r:id="rId2"/>
    <sheet name="CATALYSTS" sheetId="7" r:id="rId3"/>
    <sheet name="Catalyst Tracker" sheetId="57" r:id="rId4"/>
    <sheet name="INCOME STATEMENT" sheetId="2" r:id="rId5"/>
    <sheet name="REVENUES" sheetId="4" r:id="rId6"/>
    <sheet name="EXPENSES" sheetId="5" r:id="rId7"/>
    <sheet name="ML-007" sheetId="65" r:id="rId8"/>
    <sheet name="ML-004" sheetId="66" r:id="rId9"/>
    <sheet name="BALANCE SHEET" sheetId="1" r:id="rId10"/>
    <sheet name="CASH FLOW" sheetId="3" r:id="rId11"/>
    <sheet name="SOTP" sheetId="9" r:id="rId12"/>
    <sheet name="Questions for Mgmt" sheetId="42" r:id="rId13"/>
  </sheets>
  <definedNames>
    <definedName name="__CTO05" localSheetId="1">#REF!</definedName>
    <definedName name="__CTO05">#REF!</definedName>
    <definedName name="__DSO01" localSheetId="1">#REF!</definedName>
    <definedName name="__DSO01">#REF!</definedName>
    <definedName name="__DSO02" localSheetId="1">#REF!</definedName>
    <definedName name="__DSO02">#REF!</definedName>
    <definedName name="__DSO03" localSheetId="1">#REF!</definedName>
    <definedName name="__DSO03">#REF!</definedName>
    <definedName name="__DSO04" localSheetId="1">#REF!</definedName>
    <definedName name="__DSO04">#REF!</definedName>
    <definedName name="__dso05" localSheetId="1">#REF!</definedName>
    <definedName name="__dso05">#REF!</definedName>
    <definedName name="__dso98" localSheetId="1">#REF!</definedName>
    <definedName name="__dso98">#REF!</definedName>
    <definedName name="__dso99" localSheetId="1">#REF!</definedName>
    <definedName name="__dso99">#REF!</definedName>
    <definedName name="__EPS01" localSheetId="1">#REF!</definedName>
    <definedName name="__EPS01">#REF!</definedName>
    <definedName name="__eps02" localSheetId="1">#REF!</definedName>
    <definedName name="__eps02">#REF!</definedName>
    <definedName name="__eps03" localSheetId="1">#REF!</definedName>
    <definedName name="__eps03">#REF!</definedName>
    <definedName name="__eps04" localSheetId="1">#REF!</definedName>
    <definedName name="__eps04">#REF!</definedName>
    <definedName name="__eps05" localSheetId="1">#REF!</definedName>
    <definedName name="__eps05">#REF!</definedName>
    <definedName name="__EPS98" localSheetId="1">#REF!</definedName>
    <definedName name="__EPS98">#REF!</definedName>
    <definedName name="__EPS99" localSheetId="1">#REF!</definedName>
    <definedName name="__EPS99">#REF!</definedName>
    <definedName name="__FDS_HYPERLINK_TOGGLE_STATE__" hidden="1">"ON"</definedName>
    <definedName name="__FDS_UNIQUE_RANGE_ID_GENERATOR_COUNTER" hidden="1">136</definedName>
    <definedName name="__FDS_USED_FOR_REUSING_RANGE_IDS_RECYCLE" localSheetId="1" hidden="1">{32,45}</definedName>
    <definedName name="__FDS_USED_FOR_REUSING_RANGE_IDS_RECYCLE" localSheetId="12" hidden="1">{32,45}</definedName>
    <definedName name="__FDS_USED_FOR_REUSING_RANGE_IDS_RECYCLE" hidden="1">{32,45}</definedName>
    <definedName name="__nd0306" localSheetId="1">#REF!</definedName>
    <definedName name="__nd0306">#REF!</definedName>
    <definedName name="__nd0606" localSheetId="1">#REF!</definedName>
    <definedName name="__nd0606">#REF!</definedName>
    <definedName name="__nd0906" localSheetId="1">#REF!</definedName>
    <definedName name="__nd0906">#REF!</definedName>
    <definedName name="__ni01" localSheetId="1">#REF!</definedName>
    <definedName name="__ni01">#REF!</definedName>
    <definedName name="__ni02" localSheetId="1">#REF!</definedName>
    <definedName name="__ni02">#REF!</definedName>
    <definedName name="__ni03" localSheetId="1">#REF!</definedName>
    <definedName name="__ni03">#REF!</definedName>
    <definedName name="__ni04" localSheetId="1">#REF!</definedName>
    <definedName name="__ni04">#REF!</definedName>
    <definedName name="__ni98" localSheetId="1">#REF!</definedName>
    <definedName name="__ni98">#REF!</definedName>
    <definedName name="__ni99" localSheetId="1">#REF!</definedName>
    <definedName name="__ni99">#REF!</definedName>
    <definedName name="__rev01" localSheetId="1">#REF!</definedName>
    <definedName name="__rev01">#REF!</definedName>
    <definedName name="__rev02" localSheetId="1">#REF!</definedName>
    <definedName name="__rev02">#REF!</definedName>
    <definedName name="__rev03" localSheetId="1">#REF!</definedName>
    <definedName name="__rev03">#REF!</definedName>
    <definedName name="__rev04" localSheetId="1">#REF!</definedName>
    <definedName name="__rev04">#REF!</definedName>
    <definedName name="__rev05" localSheetId="1">#REF!</definedName>
    <definedName name="__rev05">#REF!</definedName>
    <definedName name="__rev98" localSheetId="1">#REF!</definedName>
    <definedName name="__rev98">#REF!</definedName>
    <definedName name="__rev99" localSheetId="1">#REF!</definedName>
    <definedName name="__rev99">#REF!</definedName>
    <definedName name="__roa01" localSheetId="1">#REF!</definedName>
    <definedName name="__roa01">#REF!</definedName>
    <definedName name="__roa02" localSheetId="1">#REF!</definedName>
    <definedName name="__roa02">#REF!</definedName>
    <definedName name="__roa03" localSheetId="1">#REF!</definedName>
    <definedName name="__roa03">#REF!</definedName>
    <definedName name="__roa04" localSheetId="1">#REF!</definedName>
    <definedName name="__roa04">#REF!</definedName>
    <definedName name="__roa05" localSheetId="1">#REF!</definedName>
    <definedName name="__roa05">#REF!</definedName>
    <definedName name="__roa98" localSheetId="1">#REF!</definedName>
    <definedName name="__roa98">#REF!</definedName>
    <definedName name="__roa99" localSheetId="1">#REF!</definedName>
    <definedName name="__roa99">#REF!</definedName>
    <definedName name="__roe01" localSheetId="1">#REF!</definedName>
    <definedName name="__roe01">#REF!</definedName>
    <definedName name="__roe02" localSheetId="1">#REF!</definedName>
    <definedName name="__roe02">#REF!</definedName>
    <definedName name="__roe03" localSheetId="1">#REF!</definedName>
    <definedName name="__roe03">#REF!</definedName>
    <definedName name="__roe04" localSheetId="1">#REF!</definedName>
    <definedName name="__roe04">#REF!</definedName>
    <definedName name="__roe05" localSheetId="1">#REF!</definedName>
    <definedName name="__roe05">#REF!</definedName>
    <definedName name="__roe98" localSheetId="1">#REF!</definedName>
    <definedName name="__roe98">#REF!</definedName>
    <definedName name="__roe99" localSheetId="1">#REF!</definedName>
    <definedName name="__roe99">#REF!</definedName>
    <definedName name="_1__FDSAUDITLINK__" localSheetId="1"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__FDSAUDITLINK__" localSheetId="12"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11012210&amp;VAR:RCODE=DSTT&amp;VAR:SDATE=20081299&amp;VAR:FREQ=FISCAL_QUARTERLY&amp;VAR:RELITEM=&amp;VAR:CURRENCY=&amp;VAR:CURRSOUR","CE=EXSHARE&amp;VAR:NATFREQ=QUARTERLY&amp;VAR:RFIELD=FINALIZED&amp;VAR:DB_TYPE=&amp;VAR:UNITS=M&amp;window=popup&amp;width=450&amp;height=300&amp;START_MAXIMIZED=FALSE"}</definedName>
    <definedName name="_10__FDSAUDITLINK__" localSheetId="1"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__FDSAUDITLINK__" localSheetId="12"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100__FDSAUDITLINK__" localSheetId="1"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0__FDSAUDITLINK__" localSheetId="12"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0__FDSAUDITLINK__"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101__FDSAUDITLINK__" localSheetId="1"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1__FDSAUDITLINK__" localSheetId="12"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1__FDSAUDITLINK__"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102__FDSAUDITLINK__" localSheetId="1"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2__FDSAUDITLINK__" localSheetId="12"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2__FDSAUDITLINK__"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103__FDSAUDITLINK__" localSheetId="1"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3__FDSAUDITLINK__" localSheetId="12"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3__FDSAUDITLINK__"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104__FDSAUDITLINK__" localSheetId="1"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4__FDSAUDITLINK__" localSheetId="12"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4__FDSAUDITLINK__"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105__FDSAUDITLINK__" localSheetId="1"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5__FDSAUDITLINK__" localSheetId="12"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106__FDSAUDITLINK__" localSheetId="1"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6__FDSAUDITLINK__" localSheetId="12"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6__FDSAUDITLINK__"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107__FDSAUDITLINK__" localSheetId="1"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7__FDSAUDITLINK__" localSheetId="12"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7__FDSAUDITLINK__"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108__FDSAUDITLINK__" localSheetId="1"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8__FDSAUDITLINK__" localSheetId="12"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8__FDSAUDITLINK__"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109__FDSAUDITLINK__" localSheetId="1"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09__FDSAUDITLINK__" localSheetId="12"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09__FDSAUDITLINK__"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11__FDSAUDITLINK__" localSheetId="1"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__FDSAUDITLINK__" localSheetId="12"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110__FDSAUDITLINK__" localSheetId="1"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0__FDSAUDITLINK__" localSheetId="12"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0__FDSAUDITLINK__"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111__FDSAUDITLINK__" localSheetId="1"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1__FDSAUDITLINK__" localSheetId="12"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1__FDSAUDITLINK__"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112__FDSAUDITLINK__" localSheetId="1"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2__FDSAUDITLINK__" localSheetId="12"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2__FDSAUDITLINK__"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113__FDSAUDITLINK__" localSheetId="1"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3__FDSAUDITLINK__" localSheetId="12"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3__FDSAUDITLINK__"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114__FDSAUDITLINK__" localSheetId="1"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4__FDSAUDITLINK__" localSheetId="12"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4__FDSAUDITLINK__"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115__FDSAUDITLINK__" localSheetId="1"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5__FDSAUDITLINK__" localSheetId="12"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5__FDSAUDITLINK__"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116__FDSAUDITLINK__" localSheetId="1"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6__FDSAUDITLINK__" localSheetId="12"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6__FDSAUDITLINK__"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117__FDSAUDITLINK__" localSheetId="1"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7__FDSAUDITLINK__" localSheetId="12"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7__FDSAUDITLINK__"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118__FDSAUDITLINK__" localSheetId="1"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8__FDSAUDITLINK__" localSheetId="12"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8__FDSAUDITLINK__"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119__FDSAUDITLINK__" localSheetId="1"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19__FDSAUDITLINK__" localSheetId="12"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19__FDSAUDITLINK__"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2__FDSAUDITLINK__" localSheetId="1"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__FDSAUDITLINK__" localSheetId="12"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120__FDSAUDITLINK__" localSheetId="1"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0__FDSAUDITLINK__" localSheetId="12"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0__FDSAUDITLINK__"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121__FDSAUDITLINK__" localSheetId="1"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1__FDSAUDITLINK__" localSheetId="12"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1__FDSAUDITLINK__"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122__FDSAUDITLINK__" localSheetId="1"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2__FDSAUDITLINK__" localSheetId="12"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2__FDSAUDITLINK__"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123__FDSAUDITLINK__" localSheetId="1"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3__FDSAUDITLINK__" localSheetId="12"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3__FDSAUDITLINK__"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124__FDSAUDITLINK__" localSheetId="1"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4__FDSAUDITLINK__" localSheetId="12"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4__FDSAUDITLINK__"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125__FDSAUDITLINK__" localSheetId="1"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5__FDSAUDITLINK__" localSheetId="12"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5__FDSAUDITLINK__"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126__FDSAUDITLINK__" localSheetId="1"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6__FDSAUDITLINK__" localSheetId="12"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6__FDSAUDITLINK__"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127__FDSAUDITLINK__" localSheetId="1"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7__FDSAUDITLINK__" localSheetId="12"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7__FDSAUDITLINK__"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128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8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8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29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13__FDSAUDITLINK__" localSheetId="1"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__FDSAUDITLINK__" localSheetId="12"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130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0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0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1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2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3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4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5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localSheetId="1"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localSheetId="12"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6__FDSAUDITLINK__"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137__FDSAUDITLINK__" localSheetId="1"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7__FDSAUDITLINK__" localSheetId="12"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7__FDSAUDITLINK__"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138__FDSAUDITLINK__" localSheetId="1"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8__FDSAUDITLINK__" localSheetId="12"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8__FDSAUDITLINK__"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139__FDSAUDITLINK__" localSheetId="1"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39__FDSAUDITLINK__" localSheetId="12"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39__FDSAUDITLINK__"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14__FDSAUDITLINK__" localSheetId="1"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__FDSAUDITLINK__" localSheetId="12"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localSheetId="1"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localSheetId="12"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0__FDSAUDITLINK__"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141__FDSAUDITLINK__" localSheetId="1"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1__FDSAUDITLINK__" localSheetId="12"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1__FDSAUDITLINK__"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142__FDSAUDITLINK__" localSheetId="1"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2__FDSAUDITLINK__" localSheetId="12"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2__FDSAUDITLINK__"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143__FDSAUDITLINK__" localSheetId="1"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3__FDSAUDITLINK__" localSheetId="12"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3__FDSAUDITLINK__"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144__FDSAUDITLINK__" localSheetId="1"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4__FDSAUDITLINK__" localSheetId="12"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4__FDSAUDITLINK__"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145__FDSAUDITLINK__" localSheetId="1"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5__FDSAUDITLINK__" localSheetId="12"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5__FDSAUDITLINK__"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146__FDSAUDITLINK__" localSheetId="1"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6__FDSAUDITLINK__" localSheetId="12"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6__FDSAUDITLINK__"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147__FDSAUDITLINK__" localSheetId="1"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7__FDSAUDITLINK__" localSheetId="12"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7__FDSAUDITLINK__"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148__FDSAUDITLINK__" localSheetId="1"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8__FDSAUDITLINK__" localSheetId="12"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8__FDSAUDITLINK__"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149__FDSAUDITLINK__" localSheetId="1"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49__FDSAUDITLINK__" localSheetId="12"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49__FDSAUDITLINK__"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15__FDSAUDITLINK__" localSheetId="1"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__FDSAUDITLINK__" localSheetId="12"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150__FDSAUDITLINK__" localSheetId="1"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0__FDSAUDITLINK__" localSheetId="12"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0__FDSAUDITLINK__"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151__FDSAUDITLINK__" localSheetId="1"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1__FDSAUDITLINK__" localSheetId="12"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1__FDSAUDITLINK__"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152__FDSAUDITLINK__" localSheetId="1"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2__FDSAUDITLINK__" localSheetId="12"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2__FDSAUDITLINK__"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153__FDSAUDITLINK__" localSheetId="1"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3__FDSAUDITLINK__" localSheetId="12"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3__FDSAUDITLINK__"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154__FDSAUDITLINK__" localSheetId="1"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4__FDSAUDITLINK__" localSheetId="12"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4__FDSAUDITLINK__"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155__FDSAUDITLINK__" localSheetId="1"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5__FDSAUDITLINK__" localSheetId="12"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5__FDSAUDITLINK__"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156__FDSAUDITLINK__" localSheetId="1"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6__FDSAUDITLINK__" localSheetId="12"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6__FDSAUDITLINK__"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157__FDSAUDITLINK__" localSheetId="1"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7__FDSAUDITLINK__" localSheetId="12"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7__FDSAUDITLINK__"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158__FDSAUDITLINK__" localSheetId="1"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8__FDSAUDITLINK__" localSheetId="12"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8__FDSAUDITLINK__"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159__FDSAUDITLINK__" localSheetId="1"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59__FDSAUDITLINK__" localSheetId="12"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59__FDSAUDITLINK__"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16__FDSAUDITLINK__" localSheetId="1"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__FDSAUDITLINK__" localSheetId="12"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160__FDSAUDITLINK__" localSheetId="1"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0__FDSAUDITLINK__" localSheetId="12"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0__FDSAUDITLINK__"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161__FDSAUDITLINK__" localSheetId="1"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1__FDSAUDITLINK__" localSheetId="12"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1__FDSAUDITLINK__"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162__FDSAUDITLINK__" localSheetId="1"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2__FDSAUDITLINK__" localSheetId="12"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2__FDSAUDITLINK__"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163__FDSAUDITLINK__" localSheetId="1"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3__FDSAUDITLINK__" localSheetId="12"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3__FDSAUDITLINK__"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164__FDSAUDITLINK__" localSheetId="1"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4__FDSAUDITLINK__" localSheetId="12"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4__FDSAUDITLINK__"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165__FDSAUDITLINK__" localSheetId="1"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5__FDSAUDITLINK__" localSheetId="12"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5__FDSAUDITLINK__"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166__FDSAUDITLINK__" localSheetId="1"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6__FDSAUDITLINK__" localSheetId="12"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6__FDSAUDITLINK__"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167__FDSAUDITLINK__" localSheetId="1"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7__FDSAUDITLINK__" localSheetId="12"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7__FDSAUDITLINK__"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168__FDSAUDITLINK__" localSheetId="1"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8__FDSAUDITLINK__" localSheetId="12"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8__FDSAUDITLINK__"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169__FDSAUDITLINK__" localSheetId="1"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69__FDSAUDITLINK__" localSheetId="12"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69__FDSAUDITLINK__"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17__FDSAUDITLINK__" localSheetId="1"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__FDSAUDITLINK__" localSheetId="12"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170__FDSAUDITLINK__" localSheetId="1"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0__FDSAUDITLINK__" localSheetId="12"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0__FDSAUDITLINK__"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171__FDSAUDITLINK__" localSheetId="1"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1__FDSAUDITLINK__" localSheetId="12"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1__FDSAUDITLINK__"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172__FDSAUDITLINK__" localSheetId="1"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2__FDSAUDITLINK__" localSheetId="12"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2__FDSAUDITLINK__"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173__FDSAUDITLINK__" localSheetId="1"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3__FDSAUDITLINK__" localSheetId="12"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3__FDSAUDITLINK__"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174__FDSAUDITLINK__" localSheetId="1"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4__FDSAUDITLINK__" localSheetId="12"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4__FDSAUDITLINK__"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175__FDSAUDITLINK__" localSheetId="1"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5__FDSAUDITLINK__" localSheetId="12"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5__FDSAUDITLINK__"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176__FDSAUDITLINK__" localSheetId="1"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6__FDSAUDITLINK__" localSheetId="12"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6__FDSAUDITLINK__"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177__FDSAUDITLINK__" localSheetId="1"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7__FDSAUDITLINK__" localSheetId="12"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7__FDSAUDITLINK__"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178__FDSAUDITLINK__" localSheetId="1"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8__FDSAUDITLINK__" localSheetId="12"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8__FDSAUDITLINK__"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179__FDSAUDITLINK__" localSheetId="1"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79__FDSAUDITLINK__" localSheetId="12"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79__FDSAUDITLINK__"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18__FDSAUDITLINK__" localSheetId="1"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__FDSAUDITLINK__" localSheetId="12"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__FDSAUDITLINK__"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180__FDSAUDITLINK__" localSheetId="1"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0__FDSAUDITLINK__" localSheetId="12"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0__FDSAUDITLINK__"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181__FDSAUDITLINK__" localSheetId="1"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1__FDSAUDITLINK__" localSheetId="12"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182__FDSAUDITLINK__" localSheetId="1"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2__FDSAUDITLINK__" localSheetId="12"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2__FDSAUDITLINK__"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183__FDSAUDITLINK__" localSheetId="1"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3__FDSAUDITLINK__" localSheetId="12"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184__FDSAUDITLINK__" localSheetId="1"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4__FDSAUDITLINK__" localSheetId="12"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185__FDSAUDITLINK__" localSheetId="1"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5__FDSAUDITLINK__" localSheetId="12"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186__FDSAUDITLINK__" localSheetId="1"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6__FDSAUDITLINK__" localSheetId="12"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6__FDSAUDITLINK__"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187__FDSAUDITLINK__" localSheetId="1"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7__FDSAUDITLINK__" localSheetId="12"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7__FDSAUDITLINK__"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188__FDSAUDITLINK__" localSheetId="1"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8__FDSAUDITLINK__" localSheetId="12"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189__FDSAUDITLINK__" localSheetId="1"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89__FDSAUDITLINK__" localSheetId="12"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19__FDSAUDITLINK__" localSheetId="1"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__FDSAUDITLINK__" localSheetId="12"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__FDSAUDITLINK__"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190__FDSAUDITLINK__" localSheetId="1"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0__FDSAUDITLINK__" localSheetId="12"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0__FDSAUDITLINK__"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191__FDSAUDITLINK__" localSheetId="1"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1__FDSAUDITLINK__" localSheetId="12"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1__FDSAUDITLINK__"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192__FDSAUDITLINK__" localSheetId="1"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2__FDSAUDITLINK__" localSheetId="12"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193__FDSAUDITLINK__" localSheetId="1"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3__FDSAUDITLINK__" localSheetId="12"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3__FDSAUDITLINK__"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194__FDSAUDITLINK__" localSheetId="1"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4__FDSAUDITLINK__" localSheetId="12"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4__FDSAUDITLINK__"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195__FDSAUDITLINK__" localSheetId="1"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5__FDSAUDITLINK__" localSheetId="12"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5__FDSAUDITLINK__"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196__FDSAUDITLINK__" localSheetId="1"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6__FDSAUDITLINK__" localSheetId="12"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6__FDSAUDITLINK__"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197__FDSAUDITLINK__" localSheetId="1"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7__FDSAUDITLINK__" localSheetId="12"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7__FDSAUDITLINK__"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198__FDSAUDITLINK__" localSheetId="1"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8__FDSAUDITLINK__" localSheetId="12"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199__FDSAUDITLINK__" localSheetId="1"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__FDSAUDITLINK__" localSheetId="12"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1998" localSheetId="1">#REF!</definedName>
    <definedName name="_1998">#REF!</definedName>
    <definedName name="_2__FDSAUDITLINK__" localSheetId="1"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__FDSAUDITLINK__" localSheetId="12"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11012210&amp;VAR:RCODE=LLTD&amp;VAR:SDATE=20081299&amp;VAR:FREQ=FISCAL_QUARTERLY&amp;VAR:RELITEM=&amp;VAR:CURRENCY=&amp;VAR:CURRSOUR","CE=EXSHARE&amp;VAR:NATFREQ=QUARTERLY&amp;VAR:RFIELD=FINALIZED&amp;VAR:DB_TYPE=&amp;VAR:UNITS=M&amp;window=popup&amp;width=450&amp;height=300&amp;START_MAXIMIZED=FALSE"}</definedName>
    <definedName name="_20__FDSAUDITLINK__" localSheetId="1"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__FDSAUDITLINK__" localSheetId="12"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__FDSAUDITLINK__"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00__FDSAUDITLINK__" localSheetId="1"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0__FDSAUDITLINK__" localSheetId="12"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0__FDSAUDITLINK__"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201__FDSAUDITLINK__" localSheetId="1"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1__FDSAUDITLINK__" localSheetId="12"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202__FDSAUDITLINK__" localSheetId="1"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2__FDSAUDITLINK__" localSheetId="12"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203__FDSAUDITLINK__" localSheetId="1"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3__FDSAUDITLINK__" localSheetId="12"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3__FDSAUDITLINK__"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204__FDSAUDITLINK__" localSheetId="1"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4__FDSAUDITLINK__" localSheetId="12"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4__FDSAUDITLINK__"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205__FDSAUDITLINK__" localSheetId="1"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5__FDSAUDITLINK__" localSheetId="12"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206__FDSAUDITLINK__" localSheetId="1"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6__FDSAUDITLINK__" localSheetId="12"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6__FDSAUDITLINK__"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207__FDSAUDITLINK__" localSheetId="1"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7__FDSAUDITLINK__" localSheetId="12"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7__FDSAUDITLINK__"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208__FDSAUDITLINK__" localSheetId="1"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8__FDSAUDITLINK__" localSheetId="12"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8__FDSAUDITLINK__"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209__FDSAUDITLINK__" localSheetId="1"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09__FDSAUDITLINK__" localSheetId="12"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21__FDSAUDITLINK__" localSheetId="1"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__FDSAUDITLINK__" localSheetId="12"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__FDSAUDITLINK__"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10__FDSAUDITLINK__" localSheetId="1"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0__FDSAUDITLINK__" localSheetId="12"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0__FDSAUDITLINK__"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211__FDSAUDITLINK__" localSheetId="1"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1__FDSAUDITLINK__" localSheetId="12"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212__FDSAUDITLINK__" localSheetId="1"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2__FDSAUDITLINK__" localSheetId="12"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2__FDSAUDITLINK__"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213__FDSAUDITLINK__" localSheetId="1"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3__FDSAUDITLINK__" localSheetId="12"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3__FDSAUDITLINK__"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214__FDSAUDITLINK__" localSheetId="1"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4__FDSAUDITLINK__" localSheetId="12"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215__FDSAUDITLINK__" localSheetId="1"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5__FDSAUDITLINK__" localSheetId="12"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216__FDSAUDITLINK__" localSheetId="1"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6__FDSAUDITLINK__" localSheetId="12"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217__FDSAUDITLINK__" localSheetId="1"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7__FDSAUDITLINK__" localSheetId="12"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7__FDSAUDITLINK__"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218__FDSAUDITLINK__" localSheetId="1"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8__FDSAUDITLINK__" localSheetId="12"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219__FDSAUDITLINK__" localSheetId="1"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19__FDSAUDITLINK__" localSheetId="12"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22__FDSAUDITLINK__" localSheetId="1"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__FDSAUDITLINK__" localSheetId="12"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__FDSAUDITLINK__"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20__FDSAUDITLINK__" localSheetId="1"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0__FDSAUDITLINK__" localSheetId="12"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0__FDSAUDITLINK__"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221__FDSAUDITLINK__" localSheetId="1"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1__FDSAUDITLINK__" localSheetId="12"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1__FDSAUDITLINK__"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222__FDSAUDITLINK__" localSheetId="1"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2__FDSAUDITLINK__" localSheetId="12"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2__FDSAUDITLINK__"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223__FDSAUDITLINK__" localSheetId="1"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3__FDSAUDITLINK__" localSheetId="12"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224__FDSAUDITLINK__" localSheetId="1"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4__FDSAUDITLINK__" localSheetId="12"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225__FDSAUDITLINK__" localSheetId="1"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5__FDSAUDITLINK__" localSheetId="12"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226__FDSAUDITLINK__" localSheetId="1"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6__FDSAUDITLINK__" localSheetId="12"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6__FDSAUDITLINK__"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227__FDSAUDITLINK__" localSheetId="1"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7__FDSAUDITLINK__" localSheetId="12"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228__FDSAUDITLINK__" localSheetId="1"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8__FDSAUDITLINK__" localSheetId="12"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229__FDSAUDITLINK__" localSheetId="1"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29__FDSAUDITLINK__" localSheetId="12"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23__FDSAUDITLINK__" localSheetId="1"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__FDSAUDITLINK__" localSheetId="12"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__FDSAUDITLINK__"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30__FDSAUDITLINK__" localSheetId="1"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0__FDSAUDITLINK__" localSheetId="12"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0__FDSAUDITLINK__"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231__FDSAUDITLINK__" localSheetId="1"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1__FDSAUDITLINK__" localSheetId="12"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1__FDSAUDITLINK__"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232__FDSAUDITLINK__" localSheetId="1"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2__FDSAUDITLINK__" localSheetId="12"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233__FDSAUDITLINK__" localSheetId="1"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3__FDSAUDITLINK__" localSheetId="12"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234__FDSAUDITLINK__" localSheetId="1"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4__FDSAUDITLINK__" localSheetId="12"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235__FDSAUDITLINK__" localSheetId="1"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5__FDSAUDITLINK__" localSheetId="12"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5__FDSAUDITLINK__"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236__FDSAUDITLINK__" localSheetId="1"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6__FDSAUDITLINK__" localSheetId="12"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237__FDSAUDITLINK__" localSheetId="1"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7__FDSAUDITLINK__" localSheetId="12"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238__FDSAUDITLINK__" localSheetId="1"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8__FDSAUDITLINK__" localSheetId="12"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239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39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39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24__FDSAUDITLINK__" localSheetId="1"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__FDSAUDITLINK__" localSheetId="12"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__FDSAUDITLINK__"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40__FDSAUDITLINK__" localSheetId="1"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0__FDSAUDITLINK__" localSheetId="12"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0__FDSAUDITLINK__"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241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1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1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242__FDSAUDITLINK__" localSheetId="1"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2__FDSAUDITLINK__" localSheetId="12"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2__FDSAUDITLINK__"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243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3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3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244__FDSAUDITLINK__" localSheetId="1"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4__FDSAUDITLINK__" localSheetId="12"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4__FDSAUDITLINK__"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245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5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5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246__FDSAUDITLINK__" localSheetId="1"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6__FDSAUDITLINK__" localSheetId="12"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6__FDSAUDITLINK__"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247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7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7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248__FDSAUDITLINK__" localSheetId="1"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8__FDSAUDITLINK__" localSheetId="12"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8__FDSAUDITLINK__"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249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49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49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25__FDSAUDITLINK__" localSheetId="1"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__FDSAUDITLINK__" localSheetId="12"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__FDSAUDITLINK__"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250__FDSAUDITLINK__" localSheetId="1"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0__FDSAUDITLINK__" localSheetId="12"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0__FDSAUDITLINK__"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251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1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1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252__FDSAUDITLINK__" localSheetId="1"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2__FDSAUDITLINK__" localSheetId="12"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2__FDSAUDITLINK__"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253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3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3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254__FDSAUDITLINK__" localSheetId="1"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4__FDSAUDITLINK__" localSheetId="12"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4__FDSAUDITLINK__"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255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5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5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256__FDSAUDITLINK__" localSheetId="1"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6__FDSAUDITLINK__" localSheetId="12"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6__FDSAUDITLINK__"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257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7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7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258__FDSAUDITLINK__" localSheetId="1"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8__FDSAUDITLINK__" localSheetId="12"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8__FDSAUDITLINK__"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259__FDSAUDITLINK__" localSheetId="1"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59__FDSAUDITLINK__" localSheetId="12"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59__FDSAUDITLINK__"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26__FDSAUDITLINK__" localSheetId="1"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__FDSAUDITLINK__" localSheetId="12"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__FDSAUDITLINK__"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260__FDSAUDITLINK__" localSheetId="1"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0__FDSAUDITLINK__" localSheetId="12"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0__FDSAUDITLINK__"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261__FDSAUDITLINK__" localSheetId="1"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1__FDSAUDITLINK__" localSheetId="12"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1__FDSAUDITLINK__"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localSheetId="1"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localSheetId="12"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2__FDSAUDITLINK__"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localSheetId="1"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localSheetId="12"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3__FDSAUDITLINK__"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localSheetId="1"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localSheetId="12"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4__FDSAUDITLINK__"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localSheetId="1"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localSheetId="12"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5__FDSAUDITLINK__"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66__FDSAUDITLINK__" localSheetId="1"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6__FDSAUDITLINK__" localSheetId="12"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6__FDSAUDITLINK__"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67__FDSAUDITLINK__" localSheetId="1"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7__FDSAUDITLINK__" localSheetId="12"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7__FDSAUDITLINK__"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68__FDSAUDITLINK__" localSheetId="1"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8__FDSAUDITLINK__" localSheetId="12"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8__FDSAUDITLINK__"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69__FDSAUDITLINK__" localSheetId="1"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69__FDSAUDITLINK__" localSheetId="12"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69__FDSAUDITLINK__"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7__FDSAUDITLINK__" localSheetId="1"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__FDSAUDITLINK__" localSheetId="12"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__FDSAUDITLINK__"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270__FDSAUDITLINK__" localSheetId="1"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0__FDSAUDITLINK__" localSheetId="12"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localSheetId="1"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localSheetId="12"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1__FDSAUDITLINK__"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localSheetId="1"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localSheetId="12"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2__FDSAUDITLINK__"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localSheetId="1"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localSheetId="12"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3__FDSAUDITLINK__"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localSheetId="1"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localSheetId="12"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4__FDSAUDITLINK__"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localSheetId="1"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localSheetId="12"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5__FDSAUDITLINK__"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localSheetId="1"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localSheetId="12"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6__FDSAUDITLINK__"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localSheetId="1"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localSheetId="12"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7__FDSAUDITLINK__"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278__FDSAUDITLINK__" localSheetId="1"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8__FDSAUDITLINK__" localSheetId="12"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8__FDSAUDITLINK__"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279__FDSAUDITLINK__" localSheetId="1"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79__FDSAUDITLINK__" localSheetId="12"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79__FDSAUDITLINK__"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28__FDSAUDITLINK__" localSheetId="1"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__FDSAUDITLINK__" localSheetId="12"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__FDSAUDITLINK__"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280__FDSAUDITLINK__" localSheetId="1"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0__FDSAUDITLINK__" localSheetId="12"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localSheetId="1"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localSheetId="12"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1__FDSAUDITLINK__"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localSheetId="1"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localSheetId="12"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2__FDSAUDITLINK__"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283__FDSAUDITLINK__" localSheetId="1"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3__FDSAUDITLINK__" localSheetId="12"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3__FDSAUDITLINK__"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284__FDSAUDITLINK__" localSheetId="1"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4__FDSAUDITLINK__" localSheetId="12"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4__FDSAUDITLINK__"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285__FDSAUDITLINK__" localSheetId="1"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5__FDSAUDITLINK__" localSheetId="12"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5__FDSAUDITLINK__"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286__FDSAUDITLINK__" localSheetId="1"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6__FDSAUDITLINK__" localSheetId="12"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6__FDSAUDITLINK__"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localSheetId="1"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localSheetId="12"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7__FDSAUDITLINK__"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localSheetId="1"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localSheetId="12"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8__FDSAUDITLINK__"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localSheetId="1"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localSheetId="12"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89__FDSAUDITLINK__"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29__FDSAUDITLINK__" localSheetId="1"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__FDSAUDITLINK__" localSheetId="12"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__FDSAUDITLINK__"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290__FDSAUDITLINK__" localSheetId="1"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0__FDSAUDITLINK__" localSheetId="12"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localSheetId="1"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localSheetId="12"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1__FDSAUDITLINK__"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292__FDSAUDITLINK__" localSheetId="1"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2__FDSAUDITLINK__" localSheetId="12"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2__FDSAUDITLINK__" hidden="1">{"fdsup://IBCentral/FAT Viewer?action=UPDATE&amp;creator=factset&amp;DOC_NAME=fat:reuters_qtrly_source_window.fat&amp;display_string=Audit&amp;DYN_ARGS=TRUE&amp;VAR:ID1=15102010&amp;VAR:RCODE=SCSI&amp;VAR:SDATE=20081299&amp;VAR:FREQ=Quarterly&amp;VAR:RELITEM=RF&amp;VAR:CURRENCY=&amp;VAR:CURRSOURCE=EX","SHARE&amp;VAR:NATFREQ=QUARTERLY&amp;VAR:RFIELD=FINALIZED&amp;VAR:DB_TYPE=&amp;VAR:UNITS=M&amp;window=popup&amp;width=450&amp;height=300&amp;START_MAXIMIZED=FALSE"}</definedName>
    <definedName name="_293__FDSAUDITLINK__" localSheetId="1"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3__FDSAUDITLINK__" localSheetId="12"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98302410&amp;VAR:RCODE=NIBX&amp;VAR:SDATE=20081299&amp;VAR:FREQ=FISCAL_YEARLY&amp;VAR:RELITEM=NOAUDIT&amp;VAR:CURRENCY=&amp;VAR:CUR","RSOURCE=EXSHARE&amp;VAR:NATFREQ=ANNUAL&amp;VAR:RFIELD=FINALIZED&amp;VAR:DB_TYPE=&amp;VAR:UNITS=M&amp;window=popup&amp;width=450&amp;height=300&amp;START_MAXIMIZED=FALSE"}</definedName>
    <definedName name="_294__FDSAUDITLINK__" localSheetId="1"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4__FDSAUDITLINK__" localSheetId="12"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98302410&amp;VAR:RCODE=EIBT&amp;VAR:SDATE=20081299&amp;VAR:FREQ=FISCAL_YEARLY&amp;VAR:RELITEM=NOAUDIT&amp;VAR:CURRENCY=&amp;VAR:CUR","RSOURCE=EXSHARE&amp;VAR:NATFREQ=ANNUAL&amp;VAR:RFIELD=FINALIZED&amp;VAR:DB_TYPE=&amp;VAR:UNITS=M&amp;window=popup&amp;width=450&amp;height=300&amp;START_MAXIMIZED=FALSE"}</definedName>
    <definedName name="_295__FDSAUDITLINK__" localSheetId="1"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5__FDSAUDITLINK__" localSheetId="12"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80660510&amp;VAR:RCODE=NIBX&amp;VAR:SDATE=20081299&amp;VAR:FREQ=FISCAL_YEARLY&amp;VAR:RELITEM=NOAUDIT&amp;VAR:CURRENCY=&amp;VAR:CUR","RSOURCE=EXSHARE&amp;VAR:NATFREQ=ANNUAL&amp;VAR:RFIELD=FINALIZED&amp;VAR:DB_TYPE=&amp;VAR:UNITS=M&amp;window=popup&amp;width=450&amp;height=300&amp;START_MAXIMIZED=FALSE"}</definedName>
    <definedName name="_296__FDSAUDITLINK__" localSheetId="1"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6__FDSAUDITLINK__" localSheetId="12"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80660510&amp;VAR:RCODE=EIBT&amp;VAR:SDATE=20081299&amp;VAR:FREQ=FISCAL_YEARLY&amp;VAR:RELITEM=NOAUDIT&amp;VAR:CURRENCY=&amp;VAR:CUR","RSOURCE=EXSHARE&amp;VAR:NATFREQ=ANNUAL&amp;VAR:RFIELD=FINALIZED&amp;VAR:DB_TYPE=&amp;VAR:UNITS=M&amp;window=popup&amp;width=450&amp;height=300&amp;START_MAXIMIZED=FALSE"}</definedName>
    <definedName name="_297__FDSAUDITLINK__" localSheetId="1"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7__FDSAUDITLINK__" localSheetId="12"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71708110&amp;VAR:RCODE=NIBX&amp;VAR:SDATE=20081299&amp;VAR:FREQ=FISCAL_YEARLY&amp;VAR:RELITEM=NOAUDIT&amp;VAR:CURRENCY=&amp;VAR:CUR","RSOURCE=EXSHARE&amp;VAR:NATFREQ=ANNUAL&amp;VAR:RFIELD=FINALIZED&amp;VAR:DB_TYPE=&amp;VAR:UNITS=M&amp;window=popup&amp;width=450&amp;height=300&amp;START_MAXIMIZED=FALSE"}</definedName>
    <definedName name="_298__FDSAUDITLINK__" localSheetId="1"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8__FDSAUDITLINK__" localSheetId="12"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71708110&amp;VAR:RCODE=EIBT&amp;VAR:SDATE=20081299&amp;VAR:FREQ=FISCAL_YEARLY&amp;VAR:RELITEM=NOAUDIT&amp;VAR:CURRENCY=&amp;VAR:CUR","RSOURCE=EXSHARE&amp;VAR:NATFREQ=ANNUAL&amp;VAR:RFIELD=FINALIZED&amp;VAR:DB_TYPE=&amp;VAR:UNITS=M&amp;window=popup&amp;width=450&amp;height=300&amp;START_MAXIMIZED=FALSE"}</definedName>
    <definedName name="_299__FDSAUDITLINK__" localSheetId="1"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99__FDSAUDITLINK__" localSheetId="12"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58933110&amp;VAR:RCODE=NIBX&amp;VAR:SDATE=20081299&amp;VAR:FREQ=FISCAL_YEARLY&amp;VAR:RELITEM=NOAUDIT&amp;VAR:CURRENCY=&amp;VAR:CUR","RSOURCE=EXSHARE&amp;VAR:NATFREQ=ANNUAL&amp;VAR:RFIELD=FINALIZED&amp;VAR:DB_TYPE=&amp;VAR:UNITS=M&amp;window=popup&amp;width=450&amp;height=300&amp;START_MAXIMIZED=FALSE"}</definedName>
    <definedName name="_3__FDSAUDITLINK__" localSheetId="1"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__FDSAUDITLINK__" localSheetId="12"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92532F10&amp;VAR:RCODE=SCSI&amp;VAR:SDATE=20081299&amp;VAR:FREQ=Quarterly&amp;VAR:RELITEM=RF&amp;VAR:CURRENCY=&amp;VAR:CURRSOURCE=EX","SHARE&amp;VAR:NATFREQ=QUARTERLY&amp;VAR:RFIELD=FINALIZED&amp;VAR:DB_TYPE=&amp;VAR:UNITS=M&amp;window=popup&amp;width=450&amp;height=300&amp;START_MAXIMIZED=FALSE"}</definedName>
    <definedName name="_30__FDSAUDITLINK__" localSheetId="1"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__FDSAUDITLINK__" localSheetId="12"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__FDSAUDITLINK__"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0__FDSAUDITLINK__" localSheetId="1"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0__FDSAUDITLINK__" localSheetId="12"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0__FDSAUDITLINK__" hidden="1">{"fdsup://IBCentral/FAT Viewer?action=UPDATE&amp;creator=factset&amp;DOC_NAME=fat:reuters_annual_source_window.fat&amp;display_string=Audit&amp;DYN_ARGS=TRUE&amp;VAR:ID1=58933110&amp;VAR:RCODE=EIBT&amp;VAR:SDATE=20081299&amp;VAR:FREQ=FISCAL_YEARLY&amp;VAR:RELITEM=NOAUDIT&amp;VAR:CURRENCY=&amp;VAR:CUR","RSOURCE=EXSHARE&amp;VAR:NATFREQ=ANNUAL&amp;VAR:RFIELD=FINALIZED&amp;VAR:DB_TYPE=&amp;VAR:UNITS=M&amp;window=popup&amp;width=450&amp;height=300&amp;START_MAXIMIZED=FALSE"}</definedName>
    <definedName name="_301__FDSAUDITLINK__" localSheetId="1"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1__FDSAUDITLINK__" localSheetId="12"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53245710&amp;VAR:RCODE=NIBX&amp;VAR:SDATE=20081299&amp;VAR:FREQ=FISCAL_YEARLY&amp;VAR:RELITEM=NOAUDIT&amp;VAR:CURRENCY=&amp;VAR:CUR","RSOURCE=EXSHARE&amp;VAR:NATFREQ=ANNUAL&amp;VAR:RFIELD=FINALIZED&amp;VAR:DB_TYPE=&amp;VAR:UNITS=M&amp;window=popup&amp;width=450&amp;height=300&amp;START_MAXIMIZED=FALSE"}</definedName>
    <definedName name="_302__FDSAUDITLINK__" localSheetId="1"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2__FDSAUDITLINK__" localSheetId="12"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53245710&amp;VAR:RCODE=EIBT&amp;VAR:SDATE=20081299&amp;VAR:FREQ=FISCAL_YEARLY&amp;VAR:RELITEM=NOAUDIT&amp;VAR:CURRENCY=&amp;VAR:CUR","RSOURCE=EXSHARE&amp;VAR:NATFREQ=ANNUAL&amp;VAR:RFIELD=FINALIZED&amp;VAR:DB_TYPE=&amp;VAR:UNITS=M&amp;window=popup&amp;width=450&amp;height=300&amp;START_MAXIMIZED=FALSE"}</definedName>
    <definedName name="_303__FDSAUDITLINK__" localSheetId="1"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3__FDSAUDITLINK__" localSheetId="12"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11012210&amp;VAR:RCODE=NIBX&amp;VAR:SDATE=20081299&amp;VAR:FREQ=FISCAL_YEARLY&amp;VAR:RELITEM=NOAUDIT&amp;VAR:CURRENCY=&amp;VAR:CUR","RSOURCE=EXSHARE&amp;VAR:NATFREQ=ANNUAL&amp;VAR:RFIELD=FINALIZED&amp;VAR:DB_TYPE=&amp;VAR:UNITS=M&amp;window=popup&amp;width=450&amp;height=300&amp;START_MAXIMIZED=FALSE"}</definedName>
    <definedName name="_304__FDSAUDITLINK__" localSheetId="1"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4__FDSAUDITLINK__" localSheetId="12"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11012210&amp;VAR:RCODE=EIBT&amp;VAR:SDATE=20081299&amp;VAR:FREQ=FISCAL_YEARLY&amp;VAR:RELITEM=NOAUDIT&amp;VAR:CURRENCY=&amp;VAR:CUR","RSOURCE=EXSHARE&amp;VAR:NATFREQ=ANNUAL&amp;VAR:RFIELD=FINALIZED&amp;VAR:DB_TYPE=&amp;VAR:UNITS=M&amp;window=popup&amp;width=450&amp;height=300&amp;START_MAXIMIZED=FALSE"}</definedName>
    <definedName name="_305__FDSAUDITLINK__" localSheetId="1"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5__FDSAUDITLINK__" localSheetId="12"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98302410&amp;VAR:RCODE=SGAFDS&amp;VAR:SDATE=20081299&amp;VAR:FREQ=FISCAL_YEARLY&amp;VAR:RELITEM=NOAUDIT&amp;VAR:CURRENCY=&amp;VAR:C","URRSOURCE=EXSHARE&amp;VAR:NATFREQ=ANNUAL&amp;VAR:RFIELD=FINALIZED&amp;VAR:DB_TYPE=&amp;VAR:UNITS=M&amp;window=popup&amp;width=450&amp;height=300&amp;START_MAXIMIZED=FALSE"}</definedName>
    <definedName name="_306__FDSAUDITLINK__" localSheetId="1"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6__FDSAUDITLINK__" localSheetId="12"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07__FDSAUDITLINK__" localSheetId="1"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7__FDSAUDITLINK__" localSheetId="12"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08__FDSAUDITLINK__" localSheetId="1"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8__FDSAUDITLINK__" localSheetId="12"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09__FDSAUDITLINK__" localSheetId="1"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09__FDSAUDITLINK__" localSheetId="12"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localSheetId="1"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localSheetId="12"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__FDSAUDITLINK__"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310__FDSAUDITLINK__" localSheetId="1"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0__FDSAUDITLINK__" localSheetId="12"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11__FDSAUDITLINK__" localSheetId="1"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1__FDSAUDITLINK__" localSheetId="12"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12__FDSAUDITLINK__" localSheetId="1"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2__FDSAUDITLINK__" localSheetId="12"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13__FDSAUDITLINK__" localSheetId="1"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3__FDSAUDITLINK__" localSheetId="12"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14__FDSAUDITLINK__" localSheetId="1"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4__FDSAUDITLINK__" localSheetId="12"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15__FDSAUDITLINK__" localSheetId="1"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5__FDSAUDITLINK__" localSheetId="12"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316__FDSAUDITLINK__" localSheetId="1"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6__FDSAUDITLINK__" localSheetId="12"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317__FDSAUDITLINK__" localSheetId="1"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7__FDSAUDITLINK__" localSheetId="12"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318__FDSAUDITLINK__" localSheetId="1"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8__FDSAUDITLINK__" localSheetId="12"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319__FDSAUDITLINK__" localSheetId="1"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19__FDSAUDITLINK__" localSheetId="12"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localSheetId="1"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localSheetId="12"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__FDSAUDITLINK__" hidden="1">{"fdsup://IBCentral/FAT Viewer?action=UPDATE&amp;creator=factset&amp;DOC_NAME=fat:reuters_annual_source_window.fat&amp;display_string=Audit&amp;DYN_ARGS=TRUE&amp;VAR:ID1=98302410&amp;VAR:RCODE=COGSFDS&amp;VAR:SDATE=20081299&amp;VAR:FREQ=FISCAL_YEARLY&amp;VAR:RELITEM=NOAUDIT&amp;VAR:CURRENCY=&amp;VAR:","CURRSOURCE=EXSHARE&amp;VAR:NATFREQ=ANNUAL&amp;VAR:RFIELD=FINALIZED&amp;VAR:DB_TYPE=&amp;VAR:UNITS=M&amp;window=popup&amp;width=450&amp;height=300&amp;START_MAXIMIZED=FALSE"}</definedName>
    <definedName name="_320__FDSAUDITLINK__" localSheetId="1"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0__FDSAUDITLINK__" localSheetId="12"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0__FDSAUDITLINK__"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321__FDSAUDITLINK__" localSheetId="1"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1__FDSAUDITLINK__" localSheetId="12"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322__FDSAUDITLINK__" localSheetId="1"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2__FDSAUDITLINK__" localSheetId="12"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323__FDSAUDITLINK__" localSheetId="1"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3__FDSAUDITLINK__" localSheetId="12"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3__FDSAUDITLINK__"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324__FDSAUDITLINK__" localSheetId="1"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4__FDSAUDITLINK__" localSheetId="12"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4__FDSAUDITLINK__"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325__FDSAUDITLINK__" localSheetId="1"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5__FDSAUDITLINK__" localSheetId="12"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5__FDSAUDITLINK__"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326__FDSAUDITLINK__" localSheetId="1"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6__FDSAUDITLINK__" localSheetId="12"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6__FDSAUDITLINK__"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327__FDSAUDITLINK__" localSheetId="1"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7__FDSAUDITLINK__" localSheetId="12"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7__FDSAUDITLINK__"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328__FDSAUDITLINK__" localSheetId="1"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8__FDSAUDITLINK__" localSheetId="12"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8__FDSAUDITLINK__"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329__FDSAUDITLINK__" localSheetId="1"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29__FDSAUDITLINK__" localSheetId="12"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29__FDSAUDITLINK__"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33__FDSAUDITLINK__" localSheetId="1"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__FDSAUDITLINK__" localSheetId="12"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__FDSAUDITLINK__" hidden="1">{"fdsup://IBCentral/FAT Viewer?action=UPDATE&amp;creator=factset&amp;DOC_NAME=fat:reuters_annual_source_window.fat&amp;display_string=Audit&amp;DYN_ARGS=TRUE&amp;VAR:ID1=80660510&amp;VAR:RCODE=SGAFDS&amp;VAR:SDATE=20081299&amp;VAR:FREQ=FISCAL_YEARLY&amp;VAR:RELITEM=NOAUDIT&amp;VAR:CURRENCY=&amp;VAR:C","URRSOURCE=EXSHARE&amp;VAR:NATFREQ=ANNUAL&amp;VAR:RFIELD=FINALIZED&amp;VAR:DB_TYPE=&amp;VAR:UNITS=M&amp;window=popup&amp;width=450&amp;height=300&amp;START_MAXIMIZED=FALSE"}</definedName>
    <definedName name="_330__FDSAUDITLINK__" localSheetId="1"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0__FDSAUDITLINK__" localSheetId="12"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0__FDSAUDITLINK__"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331__FDSAUDITLINK__" localSheetId="1"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1__FDSAUDITLINK__" localSheetId="12"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1__FDSAUDITLINK__"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332__FDSAUDITLINK__" localSheetId="1"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2__FDSAUDITLINK__" localSheetId="12"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2__FDSAUDITLINK__"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333__FDSAUDITLINK__" localSheetId="1"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3__FDSAUDITLINK__" localSheetId="12"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3__FDSAUDITLINK__"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334__FDSAUDITLINK__" localSheetId="1"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4__FDSAUDITLINK__" localSheetId="12"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4__FDSAUDITLINK__"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335__FDSAUDITLINK__" localSheetId="1"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5__FDSAUDITLINK__" localSheetId="12"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5__FDSAUDITLINK__"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336__FDSAUDITLINK__" localSheetId="1"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6__FDSAUDITLINK__" localSheetId="12"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337__FDSAUDITLINK__" localSheetId="1"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7__FDSAUDITLINK__" localSheetId="12"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7__FDSAUDITLINK__"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338__FDSAUDITLINK__" localSheetId="1"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8__FDSAUDITLINK__" localSheetId="12"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339__FDSAUDITLINK__" localSheetId="1"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39__FDSAUDITLINK__" localSheetId="12"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39__FDSAUDITLINK__"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34__FDSAUDITLINK__" localSheetId="1"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__FDSAUDITLINK__" localSheetId="12"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__FDSAUDITLINK__"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340__FDSAUDITLINK__" localSheetId="1"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0__FDSAUDITLINK__" localSheetId="12"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0__FDSAUDITLINK__"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341__FDSAUDITLINK__" localSheetId="1"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1__FDSAUDITLINK__" localSheetId="12"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1__FDSAUDITLINK__"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342__FDSAUDITLINK__" localSheetId="1"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2__FDSAUDITLINK__" localSheetId="12"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343__FDSAUDITLINK__" localSheetId="1"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3__FDSAUDITLINK__" localSheetId="12"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3__FDSAUDITLINK__"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344__FDSAUDITLINK__" localSheetId="1"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4__FDSAUDITLINK__" localSheetId="12"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345__FDSAUDITLINK__" localSheetId="1"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5__FDSAUDITLINK__" localSheetId="12"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5__FDSAUDITLINK__"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346__FDSAUDITLINK__" localSheetId="1"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6__FDSAUDITLINK__" localSheetId="12"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347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7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7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8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49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__FDSAUDITLINK__" localSheetId="1"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__FDSAUDITLINK__" localSheetId="12"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__FDSAUDITLINK__" hidden="1">{"fdsup://IBCentral/FAT Viewer?action=UPDATE&amp;creator=factset&amp;DOC_NAME=fat:reuters_annual_source_window.fat&amp;display_string=Audit&amp;DYN_ARGS=TRUE&amp;VAR:ID1=80660510&amp;VAR:RCODE=COGSFDS&amp;VAR:SDATE=20081299&amp;VAR:FREQ=FISCAL_YEARLY&amp;VAR:RELITEM=NOAUDIT&amp;VAR:CURRENCY=&amp;VAR:","CURRSOURCE=EXSHARE&amp;VAR:NATFREQ=ANNUAL&amp;VAR:RFIELD=FINALIZED&amp;VAR:DB_TYPE=&amp;VAR:UNITS=M&amp;window=popup&amp;width=450&amp;height=300&amp;START_MAXIMIZED=FALSE"}</definedName>
    <definedName name="_350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0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0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1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2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3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4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5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6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7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8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359__FDSAUDITLINK__" localSheetId="1"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59__FDSAUDITLINK__" localSheetId="12"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36__FDSAUDITLINK__" localSheetId="1"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__FDSAUDITLINK__" localSheetId="12"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__FDSAUDITLINK__" hidden="1">{"fdsup://IBCentral/FAT Viewer?action=UPDATE&amp;creator=factset&amp;DOC_NAME=fat:reuters_annual_source_window.fat&amp;display_string=Audit&amp;DYN_ARGS=TRUE&amp;VAR:ID1=71708110&amp;VAR:RCODE=SGAFDS&amp;VAR:SDATE=20081299&amp;VAR:FREQ=FISCAL_YEARLY&amp;VAR:RELITEM=NOAUDIT&amp;VAR:CURRENCY=&amp;VAR:C","URRSOURCE=EXSHARE&amp;VAR:NATFREQ=ANNUAL&amp;VAR:RFIELD=FINALIZED&amp;VAR:DB_TYPE=&amp;VAR:UNITS=M&amp;window=popup&amp;width=450&amp;height=300&amp;START_MAXIMIZED=FALSE"}</definedName>
    <definedName name="_360__FDSAUDITLINK__" localSheetId="1"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0__FDSAUDITLINK__" localSheetId="12"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0__FDSAUDITLINK__"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361__FDSAUDITLINK__" localSheetId="1"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1__FDSAUDITLINK__" localSheetId="12"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362__FDSAUDITLINK__" localSheetId="1"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2__FDSAUDITLINK__" localSheetId="12"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363__FDSAUDITLINK__" localSheetId="1"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3__FDSAUDITLINK__" localSheetId="12"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364__FDSAUDITLINK__" localSheetId="1"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4__FDSAUDITLINK__" localSheetId="12"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4__FDSAUDITLINK__"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365__FDSAUDITLINK__" localSheetId="1"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5__FDSAUDITLINK__" localSheetId="12"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5__FDSAUDITLINK__"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366__FDSAUDITLINK__" localSheetId="1"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6__FDSAUDITLINK__" localSheetId="12"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6__FDSAUDITLINK__"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367__FDSAUDITLINK__" localSheetId="1"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7__FDSAUDITLINK__" localSheetId="12"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7__FDSAUDITLINK__"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368__FDSAUDITLINK__" localSheetId="1"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8__FDSAUDITLINK__" localSheetId="12"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369__FDSAUDITLINK__" localSheetId="1"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69__FDSAUDITLINK__" localSheetId="12"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37__FDSAUDITLINK__" localSheetId="1"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__FDSAUDITLINK__" localSheetId="12"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__FDSAUDITLINK__"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localSheetId="1"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localSheetId="12"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0__FDSAUDITLINK__"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371__FDSAUDITLINK__" localSheetId="1"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1__FDSAUDITLINK__" localSheetId="12"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1__FDSAUDITLINK__"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372__FDSAUDITLINK__" localSheetId="1"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2__FDSAUDITLINK__" localSheetId="12"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2__FDSAUDITLINK__"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373__FDSAUDITLINK__" localSheetId="1"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3__FDSAUDITLINK__" localSheetId="12"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374__FDSAUDITLINK__" localSheetId="1"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4__FDSAUDITLINK__" localSheetId="12"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375__FDSAUDITLINK__" localSheetId="1"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5__FDSAUDITLINK__" localSheetId="12"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376__FDSAUDITLINK__" localSheetId="1"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6__FDSAUDITLINK__" localSheetId="12"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15102010&amp;VAR:RCODE=COGSFDS&amp;VAR:SDATE=20081299&amp;VAR:FREQ=FISCAL_YEARLY&amp;VAR:RELITEM=NOAUDIT&amp;VAR:CURRENCY=&amp;VAR:","CURRSOURCE=EXSHARE&amp;VAR:NATFREQ=ANNUAL&amp;VAR:RFIELD=FINALIZED&amp;VAR:DB_TYPE=&amp;VAR:UNITS=M&amp;window=popup&amp;width=450&amp;height=300&amp;START_MAXIMIZED=FALSE"}</definedName>
    <definedName name="_377__FDSAUDITLINK__" localSheetId="1"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7__FDSAUDITLINK__" localSheetId="12"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09062X10&amp;VAR:RCODE=SGAFDS&amp;VAR:SDATE=20081299&amp;VAR:FREQ=FISCAL_YEARLY&amp;VAR:RELITEM=NOAUDIT&amp;VAR:CURRENCY=&amp;VAR:C","URRSOURCE=EXSHARE&amp;VAR:NATFREQ=ANNUAL&amp;VAR:RFIELD=FINALIZED&amp;VAR:DB_TYPE=&amp;VAR:UNITS=M&amp;window=popup&amp;width=450&amp;height=300&amp;START_MAXIMIZED=FALSE"}</definedName>
    <definedName name="_378__FDSAUDITLINK__" localSheetId="1"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8__FDSAUDITLINK__" localSheetId="12"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379__FDSAUDITLINK__" localSheetId="1"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79__FDSAUDITLINK__" localSheetId="12"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09062X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localSheetId="1"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localSheetId="12"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__FDSAUDITLINK__" hidden="1">{"fdsup://IBCentral/FAT Viewer?action=UPDATE&amp;creator=factset&amp;DOC_NAME=fat:reuters_annual_source_window.fat&amp;display_string=Audit&amp;DYN_ARGS=TRUE&amp;VAR:ID1=71708110&amp;VAR:RCODE=COGSFDS&amp;VAR:SDATE=20081299&amp;VAR:FREQ=FISCAL_YEARLY&amp;VAR:RELITEM=NOAUDIT&amp;VAR:CURRENCY=&amp;VAR:","CURRSOURCE=EXSHARE&amp;VAR:NATFREQ=ANNUAL&amp;VAR:RFIELD=FINALIZED&amp;VAR:DB_TYPE=&amp;VAR:UNITS=M&amp;window=popup&amp;width=450&amp;height=300&amp;START_MAXIMIZED=FALSE"}</definedName>
    <definedName name="_380__FDSAUDITLINK__" localSheetId="1"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0__FDSAUDITLINK__" localSheetId="12"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0__FDSAUDITLINK__" hidden="1">{"fdsup://IBCentral/FAT Viewer?action=UPDATE&amp;creator=factset&amp;DOC_NAME=fat:reuters_annual_source_window.fat&amp;display_string=Audit&amp;DYN_ARGS=TRUE&amp;VAR:ID1=03116210&amp;VAR:RCODE=SGAFDS&amp;VAR:SDATE=20081299&amp;VAR:FREQ=FISCAL_YEARLY&amp;VAR:RELITEM=NOAUDIT&amp;VAR:CURRENCY=&amp;VAR:C","URRSOURCE=EXSHARE&amp;VAR:NATFREQ=ANNUAL&amp;VAR:RFIELD=FINALIZED&amp;VAR:DB_TYPE=&amp;VAR:UNITS=M&amp;window=popup&amp;width=450&amp;height=300&amp;START_MAXIMIZED=FALSE"}</definedName>
    <definedName name="_381__FDSAUDITLINK__" localSheetId="1"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1__FDSAUDITLINK__" localSheetId="12"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382__FDSAUDITLINK__" localSheetId="1"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2__FDSAUDITLINK__" localSheetId="12"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03116210&amp;VAR:RCODE=COGSFDS&amp;VAR:SDATE=20081299&amp;VAR:FREQ=FISCAL_YEARLY&amp;VAR:RELITEM=NOAUDIT&amp;VAR:CURRENCY=&amp;VAR:","CURRSOURCE=EXSHARE&amp;VAR:NATFREQ=ANNUAL&amp;VAR:RFIELD=FINALIZED&amp;VAR:DB_TYPE=&amp;VAR:UNITS=M&amp;window=popup&amp;width=450&amp;height=300&amp;START_MAXIMIZED=FALSE"}</definedName>
    <definedName name="_383__FDSAUDITLINK__" localSheetId="1"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3__FDSAUDITLINK__" localSheetId="12"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3__FDSAUDITLINK__" hidden="1">{"fdsup://IBCentral/FAT Viewer?action=UPDATE&amp;creator=factset&amp;DOC_NAME=fat:reuters_annual_source_window.fat&amp;display_string=Audit&amp;DYN_ARGS=TRUE&amp;VAR:ID1=37291710&amp;VAR:RCODE=TIAT&amp;VAR:SDATE=20081299&amp;VAR:FREQ=CALENDAR_YEARLY&amp;VAR:RELITEM=RP&amp;VAR:CURRENCY=&amp;VAR:CURRSO","URCE=EXSHARE&amp;VAR:NATFREQ=ANNUAL&amp;VAR:RFIELD=FINALIZED&amp;VAR:DB_TYPE=&amp;VAR:UNITS=MONTHLY&amp;window=popup&amp;width=450&amp;height=300&amp;START_MAXIMIZED=FALSE"}</definedName>
    <definedName name="_384__FDSAUDITLINK__" localSheetId="1"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4__FDSAUDITLINK__" localSheetId="12"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4__FDSAUDITLINK__" hidden="1">{"fdsup://IBCentral/FAT Viewer?action=UPDATE&amp;creator=factset&amp;DOC_NAME=fat:reuters_annual_source_window.fat&amp;display_string=Audit&amp;DYN_ARGS=TRUE&amp;VAR:ID1=37291710&amp;VAR:RCODE=EIBT&amp;VAR:SDATE=20081299&amp;VAR:FREQ=CALENDAR_YEARLY&amp;VAR:RELITEM=RP&amp;VAR:CURRENCY=&amp;VAR:CURRSO","URCE=EXSHARE&amp;VAR:NATFREQ=ANNUAL&amp;VAR:RFIELD=FINALIZED&amp;VAR:DB_TYPE=&amp;VAR:UNITS=MONTHLY&amp;window=popup&amp;width=450&amp;height=300&amp;START_MAXIMIZED=FALSE"}</definedName>
    <definedName name="_385__FDSAUDITLINK__" localSheetId="1"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5__FDSAUDITLINK__" localSheetId="12"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5__FDSAUDITLINK__" hidden="1">{"fdsup://IBCentral/FAT Viewer?action=UPDATE&amp;creator=factset&amp;DOC_NAME=fat:reuters_annual_source_window.fat&amp;display_string=Audit&amp;DYN_ARGS=TRUE&amp;VAR:ID1=36871040&amp;VAR:RCODE=TIAT&amp;VAR:SDATE=20081299&amp;VAR:FREQ=CALENDAR_YEARLY&amp;VAR:RELITEM=RP&amp;VAR:CURRENCY=&amp;VAR:CURRSO","URCE=EXSHARE&amp;VAR:NATFREQ=ANNUAL&amp;VAR:RFIELD=FINALIZED&amp;VAR:DB_TYPE=&amp;VAR:UNITS=MONTHLY&amp;window=popup&amp;width=450&amp;height=300&amp;START_MAXIMIZED=FALSE"}</definedName>
    <definedName name="_386__FDSAUDITLINK__" localSheetId="1"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6__FDSAUDITLINK__" localSheetId="12"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6__FDSAUDITLINK__" hidden="1">{"fdsup://IBCentral/FAT Viewer?action=UPDATE&amp;creator=factset&amp;DOC_NAME=fat:reuters_annual_source_window.fat&amp;display_string=Audit&amp;DYN_ARGS=TRUE&amp;VAR:ID1=36871040&amp;VAR:RCODE=EIBT&amp;VAR:SDATE=20081299&amp;VAR:FREQ=CALENDAR_YEARLY&amp;VAR:RELITEM=RP&amp;VAR:CURRENCY=&amp;VAR:CURRSO","URCE=EXSHARE&amp;VAR:NATFREQ=ANNUAL&amp;VAR:RFIELD=FINALIZED&amp;VAR:DB_TYPE=&amp;VAR:UNITS=MONTHLY&amp;window=popup&amp;width=450&amp;height=300&amp;START_MAXIMIZED=FALSE"}</definedName>
    <definedName name="_387__FDSAUDITLINK__" localSheetId="1"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7__FDSAUDITLINK__" localSheetId="12"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7__FDSAUDITLINK__" hidden="1">{"fdsup://IBCentral/FAT Viewer?action=UPDATE&amp;creator=factset&amp;DOC_NAME=fat:reuters_annual_source_window.fat&amp;display_string=Audit&amp;DYN_ARGS=TRUE&amp;VAR:ID1=15102010&amp;VAR:RCODE=TIAT&amp;VAR:SDATE=20081299&amp;VAR:FREQ=CALENDAR_YEARLY&amp;VAR:RELITEM=RP&amp;VAR:CURRENCY=&amp;VAR:CURRSO","URCE=EXSHARE&amp;VAR:NATFREQ=ANNUAL&amp;VAR:RFIELD=FINALIZED&amp;VAR:DB_TYPE=&amp;VAR:UNITS=MONTHLY&amp;window=popup&amp;width=450&amp;height=300&amp;START_MAXIMIZED=FALSE"}</definedName>
    <definedName name="_388__FDSAUDITLINK__" localSheetId="1"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8__FDSAUDITLINK__" localSheetId="12"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8__FDSAUDITLINK__" hidden="1">{"fdsup://IBCentral/FAT Viewer?action=UPDATE&amp;creator=factset&amp;DOC_NAME=fat:reuters_annual_source_window.fat&amp;display_string=Audit&amp;DYN_ARGS=TRUE&amp;VAR:ID1=15102010&amp;VAR:RCODE=EIBT&amp;VAR:SDATE=20081299&amp;VAR:FREQ=CALENDAR_YEARLY&amp;VAR:RELITEM=RP&amp;VAR:CURRENCY=&amp;VAR:CURRSO","URCE=EXSHARE&amp;VAR:NATFREQ=ANNUAL&amp;VAR:RFIELD=FINALIZED&amp;VAR:DB_TYPE=&amp;VAR:UNITS=MONTHLY&amp;window=popup&amp;width=450&amp;height=300&amp;START_MAXIMIZED=FALSE"}</definedName>
    <definedName name="_389__FDSAUDITLINK__" localSheetId="1"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89__FDSAUDITLINK__" localSheetId="12"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89__FDSAUDITLINK__" hidden="1">{"fdsup://IBCentral/FAT Viewer?action=UPDATE&amp;creator=factset&amp;DOC_NAME=fat:reuters_annual_source_window.fat&amp;display_string=Audit&amp;DYN_ARGS=TRUE&amp;VAR:ID1=09062X10&amp;VAR:RCODE=TIAT&amp;VAR:SDATE=20081299&amp;VAR:FREQ=CALENDAR_YEARLY&amp;VAR:RELITEM=RP&amp;VAR:CURRENCY=&amp;VAR:CURRSO","URCE=EXSHARE&amp;VAR:NATFREQ=ANNUAL&amp;VAR:RFIELD=FINALIZED&amp;VAR:DB_TYPE=&amp;VAR:UNITS=MONTHLY&amp;window=popup&amp;width=450&amp;height=300&amp;START_MAXIMIZED=FALSE"}</definedName>
    <definedName name="_39__FDSAUDITLINK__" localSheetId="1"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__FDSAUDITLINK__" localSheetId="12"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__FDSAUDITLINK__" hidden="1">{"fdsup://IBCentral/FAT Viewer?action=UPDATE&amp;creator=factset&amp;DOC_NAME=fat:reuters_annual_source_window.fat&amp;display_string=Audit&amp;DYN_ARGS=TRUE&amp;VAR:ID1=58933110&amp;VAR:RCODE=SGAFDS&amp;VAR:SDATE=20081299&amp;VAR:FREQ=FISCAL_YEARLY&amp;VAR:RELITEM=NOAUDIT&amp;VAR:CURRENCY=&amp;VAR:C","URRSOURCE=EXSHARE&amp;VAR:NATFREQ=ANNUAL&amp;VAR:RFIELD=FINALIZED&amp;VAR:DB_TYPE=&amp;VAR:UNITS=M&amp;window=popup&amp;width=450&amp;height=300&amp;START_MAXIMIZED=FALSE"}</definedName>
    <definedName name="_390__FDSAUDITLINK__" localSheetId="1"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0__FDSAUDITLINK__" localSheetId="12"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0__FDSAUDITLINK__" hidden="1">{"fdsup://IBCentral/FAT Viewer?action=UPDATE&amp;creator=factset&amp;DOC_NAME=fat:reuters_annual_source_window.fat&amp;display_string=Audit&amp;DYN_ARGS=TRUE&amp;VAR:ID1=09062X10&amp;VAR:RCODE=EIBT&amp;VAR:SDATE=20081299&amp;VAR:FREQ=CALENDAR_YEARLY&amp;VAR:RELITEM=RP&amp;VAR:CURRENCY=&amp;VAR:CURRSO","URCE=EXSHARE&amp;VAR:NATFREQ=ANNUAL&amp;VAR:RFIELD=FINALIZED&amp;VAR:DB_TYPE=&amp;VAR:UNITS=MONTHLY&amp;window=popup&amp;width=450&amp;height=300&amp;START_MAXIMIZED=FALSE"}</definedName>
    <definedName name="_391__FDSAUDITLINK__" localSheetId="1"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1__FDSAUDITLINK__" localSheetId="12"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1__FDSAUDITLINK__" hidden="1">{"fdsup://IBCentral/FAT Viewer?action=UPDATE&amp;creator=factset&amp;DOC_NAME=fat:reuters_annual_source_window.fat&amp;display_string=Audit&amp;DYN_ARGS=TRUE&amp;VAR:ID1=03116210&amp;VAR:RCODE=TIAT&amp;VAR:SDATE=20081299&amp;VAR:FREQ=CALENDAR_YEARLY&amp;VAR:RELITEM=RP&amp;VAR:CURRENCY=&amp;VAR:CURRSO","URCE=EXSHARE&amp;VAR:NATFREQ=ANNUAL&amp;VAR:RFIELD=FINALIZED&amp;VAR:DB_TYPE=&amp;VAR:UNITS=MONTHLY&amp;window=popup&amp;width=450&amp;height=300&amp;START_MAXIMIZED=FALSE"}</definedName>
    <definedName name="_392__FDSAUDITLINK__" localSheetId="1"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2__FDSAUDITLINK__" localSheetId="12"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2__FDSAUDITLINK__" hidden="1">{"fdsup://IBCentral/FAT Viewer?action=UPDATE&amp;creator=factset&amp;DOC_NAME=fat:reuters_annual_source_window.fat&amp;display_string=Audit&amp;DYN_ARGS=TRUE&amp;VAR:ID1=03116210&amp;VAR:RCODE=EIBT&amp;VAR:SDATE=20081299&amp;VAR:FREQ=CALENDAR_YEARLY&amp;VAR:RELITEM=RP&amp;VAR:CURRENCY=&amp;VAR:CURRSO","URCE=EXSHARE&amp;VAR:NATFREQ=ANNUAL&amp;VAR:RFIELD=FINALIZED&amp;VAR:DB_TYPE=&amp;VAR:UNITS=MONTHLY&amp;window=popup&amp;width=450&amp;height=300&amp;START_MAXIMIZED=FALSE"}</definedName>
    <definedName name="_393__FDSAUDITLINK__" localSheetId="1"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3__FDSAUDITLINK__" localSheetId="12"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3__FDSAUDITLINK__" hidden="1">{"fdsup://IBCentral/FAT Viewer?action=UPDATE&amp;creator=factset&amp;DOC_NAME=fat:reuters_annual_source_window.fat&amp;display_string=Audit&amp;DYN_ARGS=TRUE&amp;VAR:ID1=37291710&amp;VAR:RCODE=SGAFDS&amp;VAR:SDATE=20081299&amp;VAR:FREQ=CALENDAR_YEARLY&amp;VAR:RELITEM=RP&amp;VAR:CURRENCY=&amp;VAR:CURR","SOURCE=EXSHARE&amp;VAR:NATFREQ=ANNUAL&amp;VAR:RFIELD=FINALIZED&amp;VAR:DB_TYPE=&amp;VAR:UNITS=MONTHLY&amp;window=popup&amp;width=450&amp;height=300&amp;START_MAXIMIZED=FALSE"}</definedName>
    <definedName name="_394__FDSAUDITLINK__" localSheetId="1"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4__FDSAUDITLINK__" localSheetId="12"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395__FDSAUDITLINK__" localSheetId="1"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5__FDSAUDITLINK__" localSheetId="12"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5__FDSAUDITLINK__" hidden="1">{"fdsup://IBCentral/FAT Viewer?action=UPDATE&amp;creator=factset&amp;DOC_NAME=fat:reuters_annual_source_window.fat&amp;display_string=Audit&amp;DYN_ARGS=TRUE&amp;VAR:ID1=36871040&amp;VAR:RCODE=SGAFDS&amp;VAR:SDATE=20081299&amp;VAR:FREQ=CALENDAR_YEARLY&amp;VAR:RELITEM=RP&amp;VAR:CURRENCY=&amp;VAR:CURR","SOURCE=EXSHARE&amp;VAR:NATFREQ=ANNUAL&amp;VAR:RFIELD=FINALIZED&amp;VAR:DB_TYPE=&amp;VAR:UNITS=MONTHLY&amp;window=popup&amp;width=450&amp;height=300&amp;START_MAXIMIZED=FALSE"}</definedName>
    <definedName name="_396__FDSAUDITLINK__" localSheetId="1"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6__FDSAUDITLINK__" localSheetId="12"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397__FDSAUDITLINK__" localSheetId="1"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7__FDSAUDITLINK__" localSheetId="12"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7__FDSAUDITLINK__" hidden="1">{"fdsup://IBCentral/FAT Viewer?action=UPDATE&amp;creator=factset&amp;DOC_NAME=fat:reuters_annual_source_window.fat&amp;display_string=Audit&amp;DYN_ARGS=TRUE&amp;VAR:ID1=15102010&amp;VAR:RCODE=SGAFDS&amp;VAR:SDATE=20081299&amp;VAR:FREQ=CALENDAR_YEARLY&amp;VAR:RELITEM=RP&amp;VAR:CURRENCY=&amp;VAR:CURR","SOURCE=EXSHARE&amp;VAR:NATFREQ=ANNUAL&amp;VAR:RFIELD=FINALIZED&amp;VAR:DB_TYPE=&amp;VAR:UNITS=MONTHLY&amp;window=popup&amp;width=450&amp;height=300&amp;START_MAXIMIZED=FALSE"}</definedName>
    <definedName name="_398__FDSAUDITLINK__" localSheetId="1"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8__FDSAUDITLINK__" localSheetId="12"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399__FDSAUDITLINK__" localSheetId="1"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399__FDSAUDITLINK__" localSheetId="12"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399__FDSAUDITLINK__" hidden="1">{"fdsup://IBCentral/FAT Viewer?action=UPDATE&amp;creator=factset&amp;DOC_NAME=fat:reuters_annual_source_window.fat&amp;display_string=Audit&amp;DYN_ARGS=TRUE&amp;VAR:ID1=09062X10&amp;VAR:RCODE=SGAFDS&amp;VAR:SDATE=20081299&amp;VAR:FREQ=CALENDAR_YEARLY&amp;VAR:RELITEM=RP&amp;VAR:CURRENCY=&amp;VAR:CURR","SOURCE=EXSHARE&amp;VAR:NATFREQ=ANNUAL&amp;VAR:RFIELD=FINALIZED&amp;VAR:DB_TYPE=&amp;VAR:UNITS=MONTHLY&amp;window=popup&amp;width=450&amp;height=300&amp;START_MAXIMIZED=FALSE"}</definedName>
    <definedName name="_4__FDSAUDITLINK__" localSheetId="1"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__FDSAUDITLINK__" localSheetId="12"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40__FDSAUDITLINK__" localSheetId="1"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__FDSAUDITLINK__" localSheetId="12"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__FDSAUDITLINK__"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00__FDSAUDITLINK__" localSheetId="1"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0__FDSAUDITLINK__" localSheetId="12"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0__FDSAUDITLINK__"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01__FDSAUDITLINK__" localSheetId="1"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1__FDSAUDITLINK__" localSheetId="12"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1__FDSAUDITLINK__" hidden="1">{"fdsup://IBCentral/FAT Viewer?action=UPDATE&amp;creator=factset&amp;DOC_NAME=fat:reuters_annual_source_window.fat&amp;display_string=Audit&amp;DYN_ARGS=TRUE&amp;VAR:ID1=03116210&amp;VAR:RCODE=SGAFDS&amp;VAR:SDATE=20081299&amp;VAR:FREQ=CALENDAR_YEARLY&amp;VAR:RELITEM=RP&amp;VAR:CURRENCY=&amp;VAR:CURR","SOURCE=EXSHARE&amp;VAR:NATFREQ=ANNUAL&amp;VAR:RFIELD=FINALIZED&amp;VAR:DB_TYPE=&amp;VAR:UNITS=MONTHLY&amp;window=popup&amp;width=450&amp;height=300&amp;START_MAXIMIZED=FALSE"}</definedName>
    <definedName name="_402__FDSAUDITLINK__" localSheetId="1"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2__FDSAUDITLINK__" localSheetId="12"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403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3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3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4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5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6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7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8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09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__FDSAUDITLINK__" localSheetId="1"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__FDSAUDITLINK__" localSheetId="12"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__FDSAUDITLINK__" hidden="1">{"fdsup://IBCentral/FAT Viewer?action=UPDATE&amp;creator=factset&amp;DOC_NAME=fat:reuters_annual_source_window.fat&amp;display_string=Audit&amp;DYN_ARGS=TRUE&amp;VAR:ID1=58933110&amp;VAR:RCODE=COGSFDS&amp;VAR:SDATE=20081299&amp;VAR:FREQ=FISCAL_YEARLY&amp;VAR:RELITEM=NOAUDIT&amp;VAR:CURRENCY=&amp;VAR:","CURRSOURCE=EXSHARE&amp;VAR:NATFREQ=ANNUAL&amp;VAR:RFIELD=FINALIZED&amp;VAR:DB_TYPE=&amp;VAR:UNITS=M&amp;window=popup&amp;width=450&amp;height=300&amp;START_MAXIMIZED=FALSE"}</definedName>
    <definedName name="_410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0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0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localSheetId="1"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localSheetId="12"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1__FDSAUDITLINK__"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412__FDSAUDITLINK__" localSheetId="1"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2__FDSAUDITLINK__" localSheetId="12"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2__FDSAUDITLINK__"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413__FDSAUDITLINK__" localSheetId="1"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3__FDSAUDITLINK__" localSheetId="12"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3__FDSAUDITLINK__"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414__FDSAUDITLINK__" localSheetId="1"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4__FDSAUDITLINK__" localSheetId="12"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4__FDSAUDITLINK__" hidden="1">{"fdsup://IBCentral/FAT Viewer?action=UPDATE&amp;creator=factset&amp;DOC_NAME=fat:reuters_qtrly_source_window.fat&amp;display_string=Audit&amp;DYN_ARGS=TRUE&amp;VAR:ID1=04269X10&amp;VAR:RCODE=SCSI&amp;VAR:SDATE=20081299&amp;VAR:FREQ=Quarterly&amp;VAR:RELITEM=RF&amp;VAR:CURRENCY=&amp;VAR:CURRSOURCE=EX","SHARE&amp;VAR:NATFREQ=QUARTERLY&amp;VAR:RFIELD=FINALIZED&amp;VAR:DB_TYPE=&amp;VAR:UNITS=M&amp;window=popup&amp;width=450&amp;height=300&amp;START_MAXIMIZED=FALSE"}</definedName>
    <definedName name="_415__FDSAUDITLINK__" localSheetId="1"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5__FDSAUDITLINK__" localSheetId="12"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5__FDSAUDITLINK__"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416__FDSAUDITLINK__" localSheetId="1"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6__FDSAUDITLINK__" localSheetId="12"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6__FDSAUDITLINK__" hidden="1">{"fdsup://IBCentral/FAT Viewer?action=UPDATE&amp;creator=factset&amp;DOC_NAME=fat:reuters_annual_source_window.fat&amp;display_string=Audit&amp;DYN_ARGS=TRUE&amp;VAR:ID1=98302410&amp;VAR:RCODE=TIAT&amp;VAR:SDATE=20071299&amp;VAR:FREQ=CALENDAR_YEARLY&amp;VAR:RELITEM=RP&amp;VAR:CURRENCY=&amp;VAR:CURRSO","URCE=EXSHARE&amp;VAR:NATFREQ=ANNUAL&amp;VAR:RFIELD=FINALIZED&amp;VAR:DB_TYPE=&amp;VAR:UNITS=MONTHLY&amp;window=popup&amp;width=450&amp;height=300&amp;START_MAXIMIZED=FALSE"}</definedName>
    <definedName name="_417__FDSAUDITLINK__" localSheetId="1"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7__FDSAUDITLINK__" localSheetId="12"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7__FDSAUDITLINK__" hidden="1">{"fdsup://IBCentral/FAT Viewer?action=UPDATE&amp;creator=factset&amp;DOC_NAME=fat:reuters_annual_source_window.fat&amp;display_string=Audit&amp;DYN_ARGS=TRUE&amp;VAR:ID1=98302410&amp;VAR:RCODE=SGAFDS&amp;VAR:SDATE=20071299&amp;VAR:FREQ=CALENDAR_YEARLY&amp;VAR:RELITEM=RP&amp;VAR:CURRENCY=&amp;VAR:CURR","SOURCE=EXSHARE&amp;VAR:NATFREQ=ANNUAL&amp;VAR:RFIELD=FINALIZED&amp;VAR:DB_TYPE=&amp;VAR:UNITS=MONTHLY&amp;window=popup&amp;width=450&amp;height=300&amp;START_MAXIMIZED=FALSE"}</definedName>
    <definedName name="_418__FDSAUDITLINK__" localSheetId="1"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8__FDSAUDITLINK__" localSheetId="12"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419__FDSAUDITLINK__" localSheetId="1"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19__FDSAUDITLINK__" localSheetId="12"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98302410&amp;VAR:RCODE=EIBT&amp;VAR:SDATE=20071299&amp;VAR:FREQ=FISCAL_YEARLY&amp;VAR:RELITEM=RP&amp;VAR:CURRENCY=&amp;VAR:CURRSOUR","CE=EXSHARE&amp;VAR:NATFREQ=ANNUAL&amp;VAR:RFIELD=FINALIZED&amp;VAR:DB_TYPE=&amp;VAR:UNITS=M&amp;window=popup&amp;width=450&amp;height=300&amp;START_MAXIMIZED=FALSE"}</definedName>
    <definedName name="_42__FDSAUDITLINK__" localSheetId="1"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__FDSAUDITLINK__" localSheetId="12"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__FDSAUDITLINK__" hidden="1">{"fdsup://IBCentral/FAT Viewer?action=UPDATE&amp;creator=factset&amp;DOC_NAME=fat:reuters_annual_source_window.fat&amp;display_string=Audit&amp;DYN_ARGS=TRUE&amp;VAR:ID1=53245710&amp;VAR:RCODE=SGAFDS&amp;VAR:SDATE=20081299&amp;VAR:FREQ=FISCAL_YEARLY&amp;VAR:RELITEM=NOAUDIT&amp;VAR:CURRENCY=&amp;VAR:C","URRSOURCE=EXSHARE&amp;VAR:NATFREQ=ANNUAL&amp;VAR:RFIELD=FINALIZED&amp;VAR:DB_TYPE=&amp;VAR:UNITS=M&amp;window=popup&amp;width=450&amp;height=300&amp;START_MAXIMIZED=FALSE"}</definedName>
    <definedName name="_420__FDSAUDITLINK__" localSheetId="1"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0__FDSAUDITLINK__" localSheetId="12"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0__FDSAUDITLINK__" hidden="1">{"fdsup://IBCentral/FAT Viewer?action=UPDATE&amp;creator=factset&amp;DOC_NAME=fat:reuters_annual_source_window.fat&amp;display_string=Audit&amp;DYN_ARGS=TRUE&amp;VAR:ID1=98302410&amp;VAR:RCODE=NIBX&amp;VAR:SDATE=20071299&amp;VAR:FREQ=FISCAL_YEARLY&amp;VAR:RELITEM=RP&amp;VAR:CURRENCY=&amp;VAR:CURRSOUR","CE=EXSHARE&amp;VAR:NATFREQ=ANNUAL&amp;VAR:RFIELD=FINALIZED&amp;VAR:DB_TYPE=&amp;VAR:UNITS=M&amp;window=popup&amp;width=450&amp;height=300&amp;START_MAXIMIZED=FALSE"}</definedName>
    <definedName name="_421__FDSAUDITLINK__" localSheetId="1"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1__FDSAUDITLINK__" localSheetId="12"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1__FDSAUDITLINK__" hidden="1">{"fdsup://IBCentral/FAT Viewer?action=UPDATE&amp;creator=factset&amp;DOC_NAME=fat:reuters_annual_source_window.fat&amp;display_string=Audit&amp;DYN_ARGS=TRUE&amp;VAR:ID1=98302410&amp;VAR:RCODE=EIBT&amp;VAR:SDATE=20071299&amp;VAR:FREQ=CALENDAR_YEARLY&amp;VAR:RELITEM=RP&amp;VAR:CURRENCY=&amp;VAR:CURRSO","URCE=EXSHARE&amp;VAR:NATFREQ=ANNUAL&amp;VAR:RFIELD=FINALIZED&amp;VAR:DB_TYPE=&amp;VAR:UNITS=MONTHLY&amp;window=popup&amp;width=450&amp;height=300&amp;START_MAXIMIZED=FALSE"}</definedName>
    <definedName name="_422__FDSAUDITLINK__" localSheetId="1"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2__FDSAUDITLINK__" localSheetId="12"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98302410&amp;VAR:RCODE=SGAFDS&amp;VAR:SDATE=20071299&amp;VAR:FREQ=FISCAL_YEARLY&amp;VAR:RELITEM=RP&amp;VAR:CURRENCY=&amp;VAR:CURRSO","URCE=EXSHARE&amp;VAR:NATFREQ=ANNUAL&amp;VAR:RFIELD=FINALIZED&amp;VAR:DB_TYPE=&amp;VAR:UNITS=M&amp;window=popup&amp;width=450&amp;height=300&amp;START_MAXIMIZED=FALSE"}</definedName>
    <definedName name="_423__FDSAUDITLINK__" localSheetId="1"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3__FDSAUDITLINK__" localSheetId="12"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98302410&amp;VAR:RCODE=ERAD&amp;VAR:SDATE=20071299&amp;VAR:FREQ=Quarterly&amp;VAR:RELITEM=RP&amp;VAR:CURRENCY=&amp;VAR:CURRSOURCE=E","XSHARE&amp;VAR:NATFREQ=ANNUAL&amp;VAR:RFIELD=FINALIZED&amp;VAR:DB_TYPE=&amp;VAR:UNITS=M&amp;window=popup&amp;width=450&amp;height=300&amp;START_MAXIMIZED=FALSE"}</definedName>
    <definedName name="_424__FDSAUDITLINK__" localSheetId="1"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4__FDSAUDITLINK__" localSheetId="12"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98302410&amp;VAR:RCODE=COGSFDS&amp;VAR:SDATE=20071299&amp;VAR:FREQ=FISCAL_YEARLY&amp;VAR:RELITEM=RP&amp;VAR:CURRENCY=&amp;VAR:CURRS","OURCE=EXSHARE&amp;VAR:NATFREQ=ANNUAL&amp;VAR:RFIELD=FINALIZED&amp;VAR:DB_TYPE=&amp;VAR:UNITS=M&amp;window=popup&amp;width=450&amp;height=300&amp;START_MAXIMIZED=FALSE"}</definedName>
    <definedName name="_425__FDSAUDITLINK__" localSheetId="1"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5__FDSAUDITLINK__" localSheetId="12"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5__FDSAUDITLINK__" hidden="1">{"fdsup://IBCentral/FAT Viewer?action=UPDATE&amp;creator=factset&amp;DOC_NAME=fat:reuters_annual_source_window.fat&amp;display_string=Audit&amp;DYN_ARGS=TRUE&amp;VAR:ID1=80660510&amp;VAR:RCODE=TIAT&amp;VAR:SDATE=20071299&amp;VAR:FREQ=CALENDAR_YEARLY&amp;VAR:RELITEM=RP&amp;VAR:CURRENCY=&amp;VAR:CURRSO","URCE=EXSHARE&amp;VAR:NATFREQ=ANNUAL&amp;VAR:RFIELD=FINALIZED&amp;VAR:DB_TYPE=&amp;VAR:UNITS=MONTHLY&amp;window=popup&amp;width=450&amp;height=300&amp;START_MAXIMIZED=FALSE"}</definedName>
    <definedName name="_426__FDSAUDITLINK__" localSheetId="1"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6__FDSAUDITLINK__" localSheetId="12"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6__FDSAUDITLINK__" hidden="1">{"fdsup://IBCentral/FAT Viewer?action=UPDATE&amp;creator=factset&amp;DOC_NAME=fat:reuters_annual_source_window.fat&amp;display_string=Audit&amp;DYN_ARGS=TRUE&amp;VAR:ID1=80660510&amp;VAR:RCODE=SGAFDS&amp;VAR:SDATE=20071299&amp;VAR:FREQ=CALENDAR_YEARLY&amp;VAR:RELITEM=RP&amp;VAR:CURRENCY=&amp;VAR:CURR","SOURCE=EXSHARE&amp;VAR:NATFREQ=ANNUAL&amp;VAR:RFIELD=FINALIZED&amp;VAR:DB_TYPE=&amp;VAR:UNITS=MONTHLY&amp;window=popup&amp;width=450&amp;height=300&amp;START_MAXIMIZED=FALSE"}</definedName>
    <definedName name="_427__FDSAUDITLINK__" localSheetId="1"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7__FDSAUDITLINK__" localSheetId="12"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428__FDSAUDITLINK__" localSheetId="1"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8__FDSAUDITLINK__" localSheetId="12"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80660510&amp;VAR:RCODE=EIBT&amp;VAR:SDATE=20071299&amp;VAR:FREQ=FISCAL_YEARLY&amp;VAR:RELITEM=RP&amp;VAR:CURRENCY=&amp;VAR:CURRSOUR","CE=EXSHARE&amp;VAR:NATFREQ=ANNUAL&amp;VAR:RFIELD=FINALIZED&amp;VAR:DB_TYPE=&amp;VAR:UNITS=M&amp;window=popup&amp;width=450&amp;height=300&amp;START_MAXIMIZED=FALSE"}</definedName>
    <definedName name="_429__FDSAUDITLINK__" localSheetId="1"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29__FDSAUDITLINK__" localSheetId="12"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80660510&amp;VAR:RCODE=NIBX&amp;VAR:SDATE=20071299&amp;VAR:FREQ=FISCAL_YEARLY&amp;VAR:RELITEM=RP&amp;VAR:CURRENCY=&amp;VAR:CURRSOUR","CE=EXSHARE&amp;VAR:NATFREQ=ANNUAL&amp;VAR:RFIELD=FINALIZED&amp;VAR:DB_TYPE=&amp;VAR:UNITS=M&amp;window=popup&amp;width=450&amp;height=300&amp;START_MAXIMIZED=FALSE"}</definedName>
    <definedName name="_43__FDSAUDITLINK__" localSheetId="1"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__FDSAUDITLINK__" localSheetId="12"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__FDSAUDITLINK__"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30__FDSAUDITLINK__" localSheetId="1"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0__FDSAUDITLINK__" localSheetId="12"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0__FDSAUDITLINK__" hidden="1">{"fdsup://IBCentral/FAT Viewer?action=UPDATE&amp;creator=factset&amp;DOC_NAME=fat:reuters_annual_source_window.fat&amp;display_string=Audit&amp;DYN_ARGS=TRUE&amp;VAR:ID1=80660510&amp;VAR:RCODE=EIBT&amp;VAR:SDATE=20071299&amp;VAR:FREQ=CALENDAR_YEARLY&amp;VAR:RELITEM=RP&amp;VAR:CURRENCY=&amp;VAR:CURRSO","URCE=EXSHARE&amp;VAR:NATFREQ=ANNUAL&amp;VAR:RFIELD=FINALIZED&amp;VAR:DB_TYPE=&amp;VAR:UNITS=MONTHLY&amp;window=popup&amp;width=450&amp;height=300&amp;START_MAXIMIZED=FALSE"}</definedName>
    <definedName name="_431__FDSAUDITLINK__" localSheetId="1"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1__FDSAUDITLINK__" localSheetId="12"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80660510&amp;VAR:RCODE=SGAFDS&amp;VAR:SDATE=20071299&amp;VAR:FREQ=FISCAL_YEARLY&amp;VAR:RELITEM=RP&amp;VAR:CURRENCY=&amp;VAR:CURRSO","URCE=EXSHARE&amp;VAR:NATFREQ=ANNUAL&amp;VAR:RFIELD=FINALIZED&amp;VAR:DB_TYPE=&amp;VAR:UNITS=M&amp;window=popup&amp;width=450&amp;height=300&amp;START_MAXIMIZED=FALSE"}</definedName>
    <definedName name="_432__FDSAUDITLINK__" localSheetId="1"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2__FDSAUDITLINK__" localSheetId="12"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80660510&amp;VAR:RCODE=ERAD&amp;VAR:SDATE=20071299&amp;VAR:FREQ=Quarterly&amp;VAR:RELITEM=RP&amp;VAR:CURRENCY=&amp;VAR:CURRSOURCE=E","XSHARE&amp;VAR:NATFREQ=ANNUAL&amp;VAR:RFIELD=FINALIZED&amp;VAR:DB_TYPE=&amp;VAR:UNITS=M&amp;window=popup&amp;width=450&amp;height=300&amp;START_MAXIMIZED=FALSE"}</definedName>
    <definedName name="_433__FDSAUDITLINK__" localSheetId="1"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3__FDSAUDITLINK__" localSheetId="12"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80660510&amp;VAR:RCODE=COGSFDS&amp;VAR:SDATE=20071299&amp;VAR:FREQ=FISCAL_YEARLY&amp;VAR:RELITEM=RP&amp;VAR:CURRENCY=&amp;VAR:CURRS","OURCE=EXSHARE&amp;VAR:NATFREQ=ANNUAL&amp;VAR:RFIELD=FINALIZED&amp;VAR:DB_TYPE=&amp;VAR:UNITS=M&amp;window=popup&amp;width=450&amp;height=300&amp;START_MAXIMIZED=FALSE"}</definedName>
    <definedName name="_434__FDSAUDITLINK__" localSheetId="1"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4__FDSAUDITLINK__" localSheetId="12"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4__FDSAUDITLINK__" hidden="1">{"fdsup://IBCentral/FAT Viewer?action=UPDATE&amp;creator=factset&amp;DOC_NAME=fat:reuters_annual_source_window.fat&amp;display_string=Audit&amp;DYN_ARGS=TRUE&amp;VAR:ID1=71708110&amp;VAR:RCODE=TIAT&amp;VAR:SDATE=20071299&amp;VAR:FREQ=CALENDAR_YEARLY&amp;VAR:RELITEM=RP&amp;VAR:CURRENCY=&amp;VAR:CURRSO","URCE=EXSHARE&amp;VAR:NATFREQ=ANNUAL&amp;VAR:RFIELD=FINALIZED&amp;VAR:DB_TYPE=&amp;VAR:UNITS=MONTHLY&amp;window=popup&amp;width=450&amp;height=300&amp;START_MAXIMIZED=FALSE"}</definedName>
    <definedName name="_435__FDSAUDITLINK__" localSheetId="1"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5__FDSAUDITLINK__" localSheetId="12"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5__FDSAUDITLINK__" hidden="1">{"fdsup://IBCentral/FAT Viewer?action=UPDATE&amp;creator=factset&amp;DOC_NAME=fat:reuters_annual_source_window.fat&amp;display_string=Audit&amp;DYN_ARGS=TRUE&amp;VAR:ID1=71708110&amp;VAR:RCODE=SGAFDS&amp;VAR:SDATE=20071299&amp;VAR:FREQ=CALENDAR_YEARLY&amp;VAR:RELITEM=RP&amp;VAR:CURRENCY=&amp;VAR:CURR","SOURCE=EXSHARE&amp;VAR:NATFREQ=ANNUAL&amp;VAR:RFIELD=FINALIZED&amp;VAR:DB_TYPE=&amp;VAR:UNITS=MONTHLY&amp;window=popup&amp;width=450&amp;height=300&amp;START_MAXIMIZED=FALSE"}</definedName>
    <definedName name="_436__FDSAUDITLINK__" localSheetId="1"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6__FDSAUDITLINK__" localSheetId="12"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437__FDSAUDITLINK__" localSheetId="1"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7__FDSAUDITLINK__" localSheetId="12"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71708110&amp;VAR:RCODE=EIBT&amp;VAR:SDATE=20071299&amp;VAR:FREQ=FISCAL_YEARLY&amp;VAR:RELITEM=RP&amp;VAR:CURRENCY=&amp;VAR:CURRSOUR","CE=EXSHARE&amp;VAR:NATFREQ=ANNUAL&amp;VAR:RFIELD=FINALIZED&amp;VAR:DB_TYPE=&amp;VAR:UNITS=M&amp;window=popup&amp;width=450&amp;height=300&amp;START_MAXIMIZED=FALSE"}</definedName>
    <definedName name="_438__FDSAUDITLINK__" localSheetId="1"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8__FDSAUDITLINK__" localSheetId="12"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71708110&amp;VAR:RCODE=NIBX&amp;VAR:SDATE=20071299&amp;VAR:FREQ=FISCAL_YEARLY&amp;VAR:RELITEM=RP&amp;VAR:CURRENCY=&amp;VAR:CURRSOUR","CE=EXSHARE&amp;VAR:NATFREQ=ANNUAL&amp;VAR:RFIELD=FINALIZED&amp;VAR:DB_TYPE=&amp;VAR:UNITS=M&amp;window=popup&amp;width=450&amp;height=300&amp;START_MAXIMIZED=FALSE"}</definedName>
    <definedName name="_439__FDSAUDITLINK__" localSheetId="1"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39__FDSAUDITLINK__" localSheetId="12"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39__FDSAUDITLINK__" hidden="1">{"fdsup://IBCentral/FAT Viewer?action=UPDATE&amp;creator=factset&amp;DOC_NAME=fat:reuters_annual_source_window.fat&amp;display_string=Audit&amp;DYN_ARGS=TRUE&amp;VAR:ID1=71708110&amp;VAR:RCODE=EIBT&amp;VAR:SDATE=20071299&amp;VAR:FREQ=CALENDAR_YEARLY&amp;VAR:RELITEM=RP&amp;VAR:CURRENCY=&amp;VAR:CURRSO","URCE=EXSHARE&amp;VAR:NATFREQ=ANNUAL&amp;VAR:RFIELD=FINALIZED&amp;VAR:DB_TYPE=&amp;VAR:UNITS=MONTHLY&amp;window=popup&amp;width=450&amp;height=300&amp;START_MAXIMIZED=FALSE"}</definedName>
    <definedName name="_44__FDSAUDITLINK__" localSheetId="1"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__FDSAUDITLINK__" localSheetId="12"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__FDSAUDITLINK__" hidden="1">{"fdsup://IBCentral/FAT Viewer?action=UPDATE&amp;creator=factset&amp;DOC_NAME=fat:reuters_annual_source_window.fat&amp;display_string=Audit&amp;DYN_ARGS=TRUE&amp;VAR:ID1=53245710&amp;VAR:RCODE=COGSFDS&amp;VAR:SDATE=20081299&amp;VAR:FREQ=FISCAL_YEARLY&amp;VAR:RELITEM=NOAUDIT&amp;VAR:CURRENCY=&amp;VAR:","CURRSOURCE=EXSHARE&amp;VAR:NATFREQ=ANNUAL&amp;VAR:RFIELD=FINALIZED&amp;VAR:DB_TYPE=&amp;VAR:UNITS=M&amp;window=popup&amp;width=450&amp;height=300&amp;START_MAXIMIZED=FALSE"}</definedName>
    <definedName name="_440__FDSAUDITLINK__" localSheetId="1"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0__FDSAUDITLINK__" localSheetId="12"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0__FDSAUDITLINK__" hidden="1">{"fdsup://IBCentral/FAT Viewer?action=UPDATE&amp;creator=factset&amp;DOC_NAME=fat:reuters_annual_source_window.fat&amp;display_string=Audit&amp;DYN_ARGS=TRUE&amp;VAR:ID1=71708110&amp;VAR:RCODE=SGAFDS&amp;VAR:SDATE=20071299&amp;VAR:FREQ=FISCAL_YEARLY&amp;VAR:RELITEM=RP&amp;VAR:CURRENCY=&amp;VAR:CURRSO","URCE=EXSHARE&amp;VAR:NATFREQ=ANNUAL&amp;VAR:RFIELD=FINALIZED&amp;VAR:DB_TYPE=&amp;VAR:UNITS=M&amp;window=popup&amp;width=450&amp;height=300&amp;START_MAXIMIZED=FALSE"}</definedName>
    <definedName name="_441__FDSAUDITLINK__" localSheetId="1"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1__FDSAUDITLINK__" localSheetId="12"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71708110&amp;VAR:RCODE=ERAD&amp;VAR:SDATE=20071299&amp;VAR:FREQ=Quarterly&amp;VAR:RELITEM=RP&amp;VAR:CURRENCY=&amp;VAR:CURRSOURCE=E","XSHARE&amp;VAR:NATFREQ=ANNUAL&amp;VAR:RFIELD=FINALIZED&amp;VAR:DB_TYPE=&amp;VAR:UNITS=M&amp;window=popup&amp;width=450&amp;height=300&amp;START_MAXIMIZED=FALSE"}</definedName>
    <definedName name="_442__FDSAUDITLINK__" localSheetId="1"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2__FDSAUDITLINK__" localSheetId="12"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71708110&amp;VAR:RCODE=COGSFDS&amp;VAR:SDATE=20071299&amp;VAR:FREQ=FISCAL_YEARLY&amp;VAR:RELITEM=RP&amp;VAR:CURRENCY=&amp;VAR:CURRS","OURCE=EXSHARE&amp;VAR:NATFREQ=ANNUAL&amp;VAR:RFIELD=FINALIZED&amp;VAR:DB_TYPE=&amp;VAR:UNITS=M&amp;window=popup&amp;width=450&amp;height=300&amp;START_MAXIMIZED=FALSE"}</definedName>
    <definedName name="_443__FDSAUDITLINK__" localSheetId="1"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3__FDSAUDITLINK__" localSheetId="12"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3__FDSAUDITLINK__" hidden="1">{"fdsup://IBCentral/FAT Viewer?action=UPDATE&amp;creator=factset&amp;DOC_NAME=fat:reuters_annual_source_window.fat&amp;display_string=Audit&amp;DYN_ARGS=TRUE&amp;VAR:ID1=58933110&amp;VAR:RCODE=TIAT&amp;VAR:SDATE=20071299&amp;VAR:FREQ=CALENDAR_YEARLY&amp;VAR:RELITEM=RP&amp;VAR:CURRENCY=&amp;VAR:CURRSO","URCE=EXSHARE&amp;VAR:NATFREQ=ANNUAL&amp;VAR:RFIELD=FINALIZED&amp;VAR:DB_TYPE=&amp;VAR:UNITS=MONTHLY&amp;window=popup&amp;width=450&amp;height=300&amp;START_MAXIMIZED=FALSE"}</definedName>
    <definedName name="_444__FDSAUDITLINK__" localSheetId="1"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4__FDSAUDITLINK__" localSheetId="12"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4__FDSAUDITLINK__" hidden="1">{"fdsup://IBCentral/FAT Viewer?action=UPDATE&amp;creator=factset&amp;DOC_NAME=fat:reuters_annual_source_window.fat&amp;display_string=Audit&amp;DYN_ARGS=TRUE&amp;VAR:ID1=58933110&amp;VAR:RCODE=SGAFDS&amp;VAR:SDATE=20071299&amp;VAR:FREQ=CALENDAR_YEARLY&amp;VAR:RELITEM=RP&amp;VAR:CURRENCY=&amp;VAR:CURR","SOURCE=EXSHARE&amp;VAR:NATFREQ=ANNUAL&amp;VAR:RFIELD=FINALIZED&amp;VAR:DB_TYPE=&amp;VAR:UNITS=MONTHLY&amp;window=popup&amp;width=450&amp;height=300&amp;START_MAXIMIZED=FALSE"}</definedName>
    <definedName name="_445__FDSAUDITLINK__" localSheetId="1"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5__FDSAUDITLINK__" localSheetId="12"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446__FDSAUDITLINK__" localSheetId="1"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6__FDSAUDITLINK__" localSheetId="12"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58933110&amp;VAR:RCODE=EIBT&amp;VAR:SDATE=20071299&amp;VAR:FREQ=FISCAL_YEARLY&amp;VAR:RELITEM=RP&amp;VAR:CURRENCY=&amp;VAR:CURRSOUR","CE=EXSHARE&amp;VAR:NATFREQ=ANNUAL&amp;VAR:RFIELD=FINALIZED&amp;VAR:DB_TYPE=&amp;VAR:UNITS=M&amp;window=popup&amp;width=450&amp;height=300&amp;START_MAXIMIZED=FALSE"}</definedName>
    <definedName name="_447__FDSAUDITLINK__" localSheetId="1"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7__FDSAUDITLINK__" localSheetId="12"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58933110&amp;VAR:RCODE=NIBX&amp;VAR:SDATE=20071299&amp;VAR:FREQ=FISCAL_YEARLY&amp;VAR:RELITEM=RP&amp;VAR:CURRENCY=&amp;VAR:CURRSOUR","CE=EXSHARE&amp;VAR:NATFREQ=ANNUAL&amp;VAR:RFIELD=FINALIZED&amp;VAR:DB_TYPE=&amp;VAR:UNITS=M&amp;window=popup&amp;width=450&amp;height=300&amp;START_MAXIMIZED=FALSE"}</definedName>
    <definedName name="_448__FDSAUDITLINK__" localSheetId="1"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8__FDSAUDITLINK__" localSheetId="12"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8__FDSAUDITLINK__" hidden="1">{"fdsup://IBCentral/FAT Viewer?action=UPDATE&amp;creator=factset&amp;DOC_NAME=fat:reuters_annual_source_window.fat&amp;display_string=Audit&amp;DYN_ARGS=TRUE&amp;VAR:ID1=58933110&amp;VAR:RCODE=EIBT&amp;VAR:SDATE=20071299&amp;VAR:FREQ=CALENDAR_YEARLY&amp;VAR:RELITEM=RP&amp;VAR:CURRENCY=&amp;VAR:CURRSO","URCE=EXSHARE&amp;VAR:NATFREQ=ANNUAL&amp;VAR:RFIELD=FINALIZED&amp;VAR:DB_TYPE=&amp;VAR:UNITS=MONTHLY&amp;window=popup&amp;width=450&amp;height=300&amp;START_MAXIMIZED=FALSE"}</definedName>
    <definedName name="_449__FDSAUDITLINK__" localSheetId="1"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49__FDSAUDITLINK__" localSheetId="12"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58933110&amp;VAR:RCODE=SGAFDS&amp;VAR:SDATE=20071299&amp;VAR:FREQ=FISCAL_YEARLY&amp;VAR:RELITEM=RP&amp;VAR:CURRENCY=&amp;VAR:CURRSO","URCE=EXSHARE&amp;VAR:NATFREQ=ANNUAL&amp;VAR:RFIELD=FINALIZED&amp;VAR:DB_TYPE=&amp;VAR:UNITS=M&amp;window=popup&amp;width=450&amp;height=300&amp;START_MAXIMIZED=FALSE"}</definedName>
    <definedName name="_45__FDSAUDITLINK__" localSheetId="1"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__FDSAUDITLINK__" localSheetId="12"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__FDSAUDITLINK__" hidden="1">{"fdsup://IBCentral/FAT Viewer?action=UPDATE&amp;creator=factset&amp;DOC_NAME=fat:reuters_annual_source_window.fat&amp;display_string=Audit&amp;DYN_ARGS=TRUE&amp;VAR:ID1=11012210&amp;VAR:RCODE=SGAFDS&amp;VAR:SDATE=20081299&amp;VAR:FREQ=FISCAL_YEARLY&amp;VAR:RELITEM=NOAUDIT&amp;VAR:CURRENCY=&amp;VAR:C","URRSOURCE=EXSHARE&amp;VAR:NATFREQ=ANNUAL&amp;VAR:RFIELD=FINALIZED&amp;VAR:DB_TYPE=&amp;VAR:UNITS=M&amp;window=popup&amp;width=450&amp;height=300&amp;START_MAXIMIZED=FALSE"}</definedName>
    <definedName name="_450__FDSAUDITLINK__" localSheetId="1"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0__FDSAUDITLINK__" localSheetId="12"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0__FDSAUDITLINK__" hidden="1">{"fdsup://IBCentral/FAT Viewer?action=UPDATE&amp;creator=factset&amp;DOC_NAME=fat:reuters_annual_source_window.fat&amp;display_string=Audit&amp;DYN_ARGS=TRUE&amp;VAR:ID1=58933110&amp;VAR:RCODE=ERAD&amp;VAR:SDATE=20071299&amp;VAR:FREQ=Quarterly&amp;VAR:RELITEM=RP&amp;VAR:CURRENCY=&amp;VAR:CURRSOURCE=E","XSHARE&amp;VAR:NATFREQ=ANNUAL&amp;VAR:RFIELD=FINALIZED&amp;VAR:DB_TYPE=&amp;VAR:UNITS=M&amp;window=popup&amp;width=450&amp;height=300&amp;START_MAXIMIZED=FALSE"}</definedName>
    <definedName name="_451__FDSAUDITLINK__" localSheetId="1"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1__FDSAUDITLINK__" localSheetId="12"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58933110&amp;VAR:RCODE=COGSFDS&amp;VAR:SDATE=20071299&amp;VAR:FREQ=FISCAL_YEARLY&amp;VAR:RELITEM=RP&amp;VAR:CURRENCY=&amp;VAR:CURRS","OURCE=EXSHARE&amp;VAR:NATFREQ=ANNUAL&amp;VAR:RFIELD=FINALIZED&amp;VAR:DB_TYPE=&amp;VAR:UNITS=M&amp;window=popup&amp;width=450&amp;height=300&amp;START_MAXIMIZED=FALSE"}</definedName>
    <definedName name="_452__FDSAUDITLINK__" localSheetId="1"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2__FDSAUDITLINK__" localSheetId="12"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2__FDSAUDITLINK__" hidden="1">{"fdsup://IBCentral/FAT Viewer?action=UPDATE&amp;creator=factset&amp;DOC_NAME=fat:reuters_annual_source_window.fat&amp;display_string=Audit&amp;DYN_ARGS=TRUE&amp;VAR:ID1=53245710&amp;VAR:RCODE=TIAT&amp;VAR:SDATE=20071299&amp;VAR:FREQ=CALENDAR_YEARLY&amp;VAR:RELITEM=RP&amp;VAR:CURRENCY=&amp;VAR:CURRSO","URCE=EXSHARE&amp;VAR:NATFREQ=ANNUAL&amp;VAR:RFIELD=FINALIZED&amp;VAR:DB_TYPE=&amp;VAR:UNITS=MONTHLY&amp;window=popup&amp;width=450&amp;height=300&amp;START_MAXIMIZED=FALSE"}</definedName>
    <definedName name="_453__FDSAUDITLINK__" localSheetId="1"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3__FDSAUDITLINK__" localSheetId="12"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3__FDSAUDITLINK__" hidden="1">{"fdsup://IBCentral/FAT Viewer?action=UPDATE&amp;creator=factset&amp;DOC_NAME=fat:reuters_annual_source_window.fat&amp;display_string=Audit&amp;DYN_ARGS=TRUE&amp;VAR:ID1=53245710&amp;VAR:RCODE=SGAFDS&amp;VAR:SDATE=20071299&amp;VAR:FREQ=CALENDAR_YEARLY&amp;VAR:RELITEM=RP&amp;VAR:CURRENCY=&amp;VAR:CURR","SOURCE=EXSHARE&amp;VAR:NATFREQ=ANNUAL&amp;VAR:RFIELD=FINALIZED&amp;VAR:DB_TYPE=&amp;VAR:UNITS=MONTHLY&amp;window=popup&amp;width=450&amp;height=300&amp;START_MAXIMIZED=FALSE"}</definedName>
    <definedName name="_454__FDSAUDITLINK__" localSheetId="1"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4__FDSAUDITLINK__" localSheetId="12"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455__FDSAUDITLINK__" localSheetId="1"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5__FDSAUDITLINK__" localSheetId="12"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53245710&amp;VAR:RCODE=EIBT&amp;VAR:SDATE=20071299&amp;VAR:FREQ=FISCAL_YEARLY&amp;VAR:RELITEM=RP&amp;VAR:CURRENCY=&amp;VAR:CURRSOUR","CE=EXSHARE&amp;VAR:NATFREQ=ANNUAL&amp;VAR:RFIELD=FINALIZED&amp;VAR:DB_TYPE=&amp;VAR:UNITS=M&amp;window=popup&amp;width=450&amp;height=300&amp;START_MAXIMIZED=FALSE"}</definedName>
    <definedName name="_456__FDSAUDITLINK__" localSheetId="1"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6__FDSAUDITLINK__" localSheetId="12"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6__FDSAUDITLINK__" hidden="1">{"fdsup://IBCentral/FAT Viewer?action=UPDATE&amp;creator=factset&amp;DOC_NAME=fat:reuters_annual_source_window.fat&amp;display_string=Audit&amp;DYN_ARGS=TRUE&amp;VAR:ID1=53245710&amp;VAR:RCODE=NIBX&amp;VAR:SDATE=20071299&amp;VAR:FREQ=FISCAL_YEARLY&amp;VAR:RELITEM=RP&amp;VAR:CURRENCY=&amp;VAR:CURRSOUR","CE=EXSHARE&amp;VAR:NATFREQ=ANNUAL&amp;VAR:RFIELD=FINALIZED&amp;VAR:DB_TYPE=&amp;VAR:UNITS=M&amp;window=popup&amp;width=450&amp;height=300&amp;START_MAXIMIZED=FALSE"}</definedName>
    <definedName name="_457__FDSAUDITLINK__" localSheetId="1"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7__FDSAUDITLINK__" localSheetId="12"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7__FDSAUDITLINK__" hidden="1">{"fdsup://IBCentral/FAT Viewer?action=UPDATE&amp;creator=factset&amp;DOC_NAME=fat:reuters_annual_source_window.fat&amp;display_string=Audit&amp;DYN_ARGS=TRUE&amp;VAR:ID1=53245710&amp;VAR:RCODE=EIBT&amp;VAR:SDATE=20071299&amp;VAR:FREQ=CALENDAR_YEARLY&amp;VAR:RELITEM=RP&amp;VAR:CURRENCY=&amp;VAR:CURRSO","URCE=EXSHARE&amp;VAR:NATFREQ=ANNUAL&amp;VAR:RFIELD=FINALIZED&amp;VAR:DB_TYPE=&amp;VAR:UNITS=MONTHLY&amp;window=popup&amp;width=450&amp;height=300&amp;START_MAXIMIZED=FALSE"}</definedName>
    <definedName name="_458__FDSAUDITLINK__" localSheetId="1"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8__FDSAUDITLINK__" localSheetId="12"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8__FDSAUDITLINK__" hidden="1">{"fdsup://IBCentral/FAT Viewer?action=UPDATE&amp;creator=factset&amp;DOC_NAME=fat:reuters_annual_source_window.fat&amp;display_string=Audit&amp;DYN_ARGS=TRUE&amp;VAR:ID1=53245710&amp;VAR:RCODE=SGAFDS&amp;VAR:SDATE=20071299&amp;VAR:FREQ=FISCAL_YEARLY&amp;VAR:RELITEM=RP&amp;VAR:CURRENCY=&amp;VAR:CURRSO","URCE=EXSHARE&amp;VAR:NATFREQ=ANNUAL&amp;VAR:RFIELD=FINALIZED&amp;VAR:DB_TYPE=&amp;VAR:UNITS=M&amp;window=popup&amp;width=450&amp;height=300&amp;START_MAXIMIZED=FALSE"}</definedName>
    <definedName name="_459__FDSAUDITLINK__" localSheetId="1"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59__FDSAUDITLINK__" localSheetId="12"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53245710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localSheetId="1"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localSheetId="12"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__FDSAUDITLINK__"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0__FDSAUDITLINK__" localSheetId="1"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0__FDSAUDITLINK__" localSheetId="12"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0__FDSAUDITLINK__"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_461__FDSAUDITLINK__" localSheetId="1"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1__FDSAUDITLINK__" localSheetId="12"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1__FDSAUDITLINK__" hidden="1">{"fdsup://IBCentral/FAT Viewer?action=UPDATE&amp;creator=factset&amp;DOC_NAME=fat:reuters_annual_source_window.fat&amp;display_string=Audit&amp;DYN_ARGS=TRUE&amp;VAR:ID1=11012210&amp;VAR:RCODE=TIAT&amp;VAR:SDATE=20071299&amp;VAR:FREQ=CALENDAR_YEARLY&amp;VAR:RELITEM=RP&amp;VAR:CURRENCY=&amp;VAR:CURRSO","URCE=EXSHARE&amp;VAR:NATFREQ=ANNUAL&amp;VAR:RFIELD=FINALIZED&amp;VAR:DB_TYPE=&amp;VAR:UNITS=MONTHLY&amp;window=popup&amp;width=450&amp;height=300&amp;START_MAXIMIZED=FALSE"}</definedName>
    <definedName name="_462__FDSAUDITLINK__" localSheetId="1"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2__FDSAUDITLINK__" localSheetId="12"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2__FDSAUDITLINK__" hidden="1">{"fdsup://IBCentral/FAT Viewer?action=UPDATE&amp;creator=factset&amp;DOC_NAME=fat:reuters_annual_source_window.fat&amp;display_string=Audit&amp;DYN_ARGS=TRUE&amp;VAR:ID1=11012210&amp;VAR:RCODE=SGAFDS&amp;VAR:SDATE=20071299&amp;VAR:FREQ=CALENDAR_YEARLY&amp;VAR:RELITEM=RP&amp;VAR:CURRENCY=&amp;VAR:CURR","SOURCE=EXSHARE&amp;VAR:NATFREQ=ANNUAL&amp;VAR:RFIELD=FINALIZED&amp;VAR:DB_TYPE=&amp;VAR:UNITS=MONTHLY&amp;window=popup&amp;width=450&amp;height=300&amp;START_MAXIMIZED=FALSE"}</definedName>
    <definedName name="_463__FDSAUDITLINK__" localSheetId="1"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3__FDSAUDITLINK__" localSheetId="12"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464__FDSAUDITLINK__" localSheetId="1"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4__FDSAUDITLINK__" localSheetId="12"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annual_source_window.fat&amp;display_string=Audit&amp;DYN_ARGS=TRUE&amp;VAR:ID1=11012210&amp;VAR:RCODE=EIBT&amp;VAR:SDATE=20071299&amp;VAR:FREQ=FISCAL_YEARLY&amp;VAR:RELITEM=RP&amp;VAR:CURRENCY=&amp;VAR:CURRSOUR","CE=EXSHARE&amp;VAR:NATFREQ=ANNUAL&amp;VAR:RFIELD=FINALIZED&amp;VAR:DB_TYPE=&amp;VAR:UNITS=M&amp;window=popup&amp;width=450&amp;height=300&amp;START_MAXIMIZED=FALSE"}</definedName>
    <definedName name="_465__FDSAUDITLINK__" localSheetId="1"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5__FDSAUDITLINK__" localSheetId="12"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11012210&amp;VAR:RCODE=NIBX&amp;VAR:SDATE=20071299&amp;VAR:FREQ=FISCAL_YEARLY&amp;VAR:RELITEM=RP&amp;VAR:CURRENCY=&amp;VAR:CURRSOUR","CE=EXSHARE&amp;VAR:NATFREQ=ANNUAL&amp;VAR:RFIELD=FINALIZED&amp;VAR:DB_TYPE=&amp;VAR:UNITS=M&amp;window=popup&amp;width=450&amp;height=300&amp;START_MAXIMIZED=FALSE"}</definedName>
    <definedName name="_466__FDSAUDITLINK__" localSheetId="1"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6__FDSAUDITLINK__" localSheetId="12"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6__FDSAUDITLINK__" hidden="1">{"fdsup://IBCentral/FAT Viewer?action=UPDATE&amp;creator=factset&amp;DOC_NAME=fat:reuters_annual_source_window.fat&amp;display_string=Audit&amp;DYN_ARGS=TRUE&amp;VAR:ID1=11012210&amp;VAR:RCODE=EIBT&amp;VAR:SDATE=20071299&amp;VAR:FREQ=CALENDAR_YEARLY&amp;VAR:RELITEM=RP&amp;VAR:CURRENCY=&amp;VAR:CURRSO","URCE=EXSHARE&amp;VAR:NATFREQ=ANNUAL&amp;VAR:RFIELD=FINALIZED&amp;VAR:DB_TYPE=&amp;VAR:UNITS=MONTHLY&amp;window=popup&amp;width=450&amp;height=300&amp;START_MAXIMIZED=FALSE"}</definedName>
    <definedName name="_467__FDSAUDITLINK__" localSheetId="1"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7__FDSAUDITLINK__" localSheetId="12"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11012210&amp;VAR:RCODE=SGAFDS&amp;VAR:SDATE=20071299&amp;VAR:FREQ=FISCAL_YEARLY&amp;VAR:RELITEM=RP&amp;VAR:CURRENCY=&amp;VAR:CURRSO","URCE=EXSHARE&amp;VAR:NATFREQ=ANNUAL&amp;VAR:RFIELD=FINALIZED&amp;VAR:DB_TYPE=&amp;VAR:UNITS=M&amp;window=popup&amp;width=450&amp;height=300&amp;START_MAXIMIZED=FALSE"}</definedName>
    <definedName name="_468__FDSAUDITLINK__" localSheetId="1"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8__FDSAUDITLINK__" localSheetId="12"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11012210&amp;VAR:RCODE=ERAD&amp;VAR:SDATE=20071299&amp;VAR:FREQ=Quarterly&amp;VAR:RELITEM=RP&amp;VAR:CURRENCY=&amp;VAR:CURRSOURCE=E","XSHARE&amp;VAR:NATFREQ=ANNUAL&amp;VAR:RFIELD=FINALIZED&amp;VAR:DB_TYPE=&amp;VAR:UNITS=M&amp;window=popup&amp;width=450&amp;height=300&amp;START_MAXIMIZED=FALSE"}</definedName>
    <definedName name="_469__FDSAUDITLINK__" localSheetId="1"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69__FDSAUDITLINK__" localSheetId="12"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annual_source_window.fat&amp;display_string=Audit&amp;DYN_ARGS=TRUE&amp;VAR:ID1=11012210&amp;VAR:RCODE=COGSFDS&amp;VAR:SDATE=20071299&amp;VAR:FREQ=FISCAL_YEARLY&amp;VAR:RELITEM=RP&amp;VAR:CURRENCY=&amp;VAR:CURRS","OURCE=EXSHARE&amp;VAR:NATFREQ=ANNUAL&amp;VAR:RFIELD=FINALIZED&amp;VAR:DB_TYPE=&amp;VAR:UNITS=M&amp;window=popup&amp;width=450&amp;height=300&amp;START_MAXIMIZED=FALSE"}</definedName>
    <definedName name="_47__FDSAUDITLINK__" localSheetId="1"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__FDSAUDITLINK__" localSheetId="12"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__FDSAUDITLINK__" hidden="1">{"fdsup://IBCentral/FAT Viewer?action=UPDATE&amp;creator=factset&amp;DOC_NAME=fat:reuters_annual_source_window.fat&amp;display_string=Audit&amp;DYN_ARGS=TRUE&amp;VAR:ID1=11012210&amp;VAR:RCODE=COGSFDS&amp;VAR:SDATE=20081299&amp;VAR:FREQ=FISCAL_YEARLY&amp;VAR:RELITEM=NOAUDIT&amp;VAR:CURRENCY=&amp;VAR:","CURRSOURCE=EXSHARE&amp;VAR:NATFREQ=ANNUAL&amp;VAR:RFIELD=FINALIZED&amp;VAR:DB_TYPE=&amp;VAR:UNITS=M&amp;window=popup&amp;width=450&amp;height=300&amp;START_MAXIMIZED=FALSE"}</definedName>
    <definedName name="_470__FDSAUDITLINK__" localSheetId="1"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0__FDSAUDITLINK__" localSheetId="12"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0__FDSAUDITLINK__" hidden="1">{"fdsup://IBCentral/FAT Viewer?action=UPDATE&amp;creator=factset&amp;DOC_NAME=fat:reuters_annual_source_window.fat&amp;display_string=Audit&amp;DYN_ARGS=TRUE&amp;VAR:ID1=37291710&amp;VAR:RCODE=TIAT&amp;VAR:SDATE=20071299&amp;VAR:FREQ=CALENDAR_YEARLY&amp;VAR:RELITEM=RP&amp;VAR:CURRENCY=&amp;VAR:CURRSO","URCE=EXSHARE&amp;VAR:NATFREQ=ANNUAL&amp;VAR:RFIELD=FINALIZED&amp;VAR:DB_TYPE=&amp;VAR:UNITS=MONTHLY&amp;window=popup&amp;width=450&amp;height=300&amp;START_MAXIMIZED=FALSE"}</definedName>
    <definedName name="_471__FDSAUDITLINK__" localSheetId="1"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1__FDSAUDITLINK__" localSheetId="12"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1__FDSAUDITLINK__" hidden="1">{"fdsup://IBCentral/FAT Viewer?action=UPDATE&amp;creator=factset&amp;DOC_NAME=fat:reuters_annual_source_window.fat&amp;display_string=Audit&amp;DYN_ARGS=TRUE&amp;VAR:ID1=37291710&amp;VAR:RCODE=SGAFDS&amp;VAR:SDATE=20071299&amp;VAR:FREQ=CALENDAR_YEARLY&amp;VAR:RELITEM=RP&amp;VAR:CURRENCY=&amp;VAR:CURR","SOURCE=EXSHARE&amp;VAR:NATFREQ=ANNUAL&amp;VAR:RFIELD=FINALIZED&amp;VAR:DB_TYPE=&amp;VAR:UNITS=MONTHLY&amp;window=popup&amp;width=450&amp;height=300&amp;START_MAXIMIZED=FALSE"}</definedName>
    <definedName name="_472__FDSAUDITLINK__" localSheetId="1"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2__FDSAUDITLINK__" localSheetId="12"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37291710&amp;VAR:RCODE=ERAD&amp;VAR:SDATE=20061299&amp;VAR:FREQ=Quarterly&amp;VAR:RELITEM=RP&amp;VAR:CURRENCY=&amp;VAR:CURRSOURCE=E","XSHARE&amp;VAR:NATFREQ=ANNUAL&amp;VAR:RFIELD=FINALIZED&amp;VAR:DB_TYPE=&amp;VAR:UNITS=M&amp;window=popup&amp;width=450&amp;height=300&amp;START_MAXIMIZED=FALSE"}</definedName>
    <definedName name="_473__FDSAUDITLINK__" localSheetId="1"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3__FDSAUDITLINK__" localSheetId="12"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37291710&amp;VAR:RCODE=EIBT&amp;VAR:SDATE=20071299&amp;VAR:FREQ=FISCAL_YEARLY&amp;VAR:RELITEM=RP&amp;VAR:CURRENCY=&amp;VAR:CURRSOUR","CE=EXSHARE&amp;VAR:NATFREQ=ANNUAL&amp;VAR:RFIELD=FINALIZED&amp;VAR:DB_TYPE=&amp;VAR:UNITS=M&amp;window=popup&amp;width=450&amp;height=300&amp;START_MAXIMIZED=FALSE"}</definedName>
    <definedName name="_474__FDSAUDITLINK__" localSheetId="1"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4__FDSAUDITLINK__" localSheetId="12"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37291710&amp;VAR:RCODE=NIBX&amp;VAR:SDATE=20071299&amp;VAR:FREQ=FISCAL_YEARLY&amp;VAR:RELITEM=RP&amp;VAR:CURRENCY=&amp;VAR:CURRSOUR","CE=EXSHARE&amp;VAR:NATFREQ=ANNUAL&amp;VAR:RFIELD=FINALIZED&amp;VAR:DB_TYPE=&amp;VAR:UNITS=M&amp;window=popup&amp;width=450&amp;height=300&amp;START_MAXIMIZED=FALSE"}</definedName>
    <definedName name="_475__FDSAUDITLINK__" localSheetId="1"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5__FDSAUDITLINK__" localSheetId="12"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5__FDSAUDITLINK__" hidden="1">{"fdsup://IBCentral/FAT Viewer?action=UPDATE&amp;creator=factset&amp;DOC_NAME=fat:reuters_annual_source_window.fat&amp;display_string=Audit&amp;DYN_ARGS=TRUE&amp;VAR:ID1=37291710&amp;VAR:RCODE=EIBT&amp;VAR:SDATE=20071299&amp;VAR:FREQ=CALENDAR_YEARLY&amp;VAR:RELITEM=RP&amp;VAR:CURRENCY=&amp;VAR:CURRSO","URCE=EXSHARE&amp;VAR:NATFREQ=ANNUAL&amp;VAR:RFIELD=FINALIZED&amp;VAR:DB_TYPE=&amp;VAR:UNITS=MONTHLY&amp;window=popup&amp;width=450&amp;height=300&amp;START_MAXIMIZED=FALSE"}</definedName>
    <definedName name="_476__FDSAUDITLINK__" localSheetId="1"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6__FDSAUDITLINK__" localSheetId="12"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6__FDSAUDITLINK__" hidden="1">{"fdsup://IBCentral/FAT Viewer?action=UPDATE&amp;creator=factset&amp;DOC_NAME=fat:reuters_annual_source_window.fat&amp;display_string=Audit&amp;DYN_ARGS=TRUE&amp;VAR:ID1=37291710&amp;VAR:RCODE=SGAFDS&amp;VAR:SDATE=20071299&amp;VAR:FREQ=FISCAL_YEARLY&amp;VAR:RELITEM=RP&amp;VAR:CURRENCY=&amp;VAR:CURRSO","URCE=EXSHARE&amp;VAR:NATFREQ=ANNUAL&amp;VAR:RFIELD=FINALIZED&amp;VAR:DB_TYPE=&amp;VAR:UNITS=M&amp;window=popup&amp;width=450&amp;height=300&amp;START_MAXIMIZED=FALSE"}</definedName>
    <definedName name="_477__FDSAUDITLINK__" localSheetId="1"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7__FDSAUDITLINK__" localSheetId="12"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7__FDSAUDITLINK__"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478__FDSAUDITLINK__" localSheetId="1"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8__FDSAUDITLINK__" localSheetId="12"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8__FDSAUDITLINK__" hidden="1">{"fdsup://IBCentral/FAT Viewer?action=UPDATE&amp;creator=factset&amp;DOC_NAME=fat:reuters_annual_source_window.fat&amp;display_string=Audit&amp;DYN_ARGS=TRUE&amp;VAR:ID1=36871040&amp;VAR:RCODE=TIAT&amp;VAR:SDATE=20071299&amp;VAR:FREQ=CALENDAR_YEARLY&amp;VAR:RELITEM=RP&amp;VAR:CURRENCY=&amp;VAR:CURRSO","URCE=EXSHARE&amp;VAR:NATFREQ=ANNUAL&amp;VAR:RFIELD=FINALIZED&amp;VAR:DB_TYPE=&amp;VAR:UNITS=MONTHLY&amp;window=popup&amp;width=450&amp;height=300&amp;START_MAXIMIZED=FALSE"}</definedName>
    <definedName name="_479__FDSAUDITLINK__" localSheetId="1"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79__FDSAUDITLINK__" localSheetId="12"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79__FDSAUDITLINK__" hidden="1">{"fdsup://IBCentral/FAT Viewer?action=UPDATE&amp;creator=factset&amp;DOC_NAME=fat:reuters_annual_source_window.fat&amp;display_string=Audit&amp;DYN_ARGS=TRUE&amp;VAR:ID1=36871040&amp;VAR:RCODE=SGAFDS&amp;VAR:SDATE=20071299&amp;VAR:FREQ=CALENDAR_YEARLY&amp;VAR:RELITEM=RP&amp;VAR:CURRENCY=&amp;VAR:CURR","SOURCE=EXSHARE&amp;VAR:NATFREQ=ANNUAL&amp;VAR:RFIELD=FINALIZED&amp;VAR:DB_TYPE=&amp;VAR:UNITS=MONTHLY&amp;window=popup&amp;width=450&amp;height=300&amp;START_MAXIMIZED=FALSE"}</definedName>
    <definedName name="_48__FDSAUDITLINK__" localSheetId="1"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__FDSAUDITLINK__" localSheetId="12"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__FDSAUDITLINK__" hidden="1">{"fdsup://IBCentral/FAT Viewer?action=UPDATE&amp;creator=factset&amp;DOC_NAME=fat:reuters_annual_source_window.fat&amp;display_string=Audit&amp;DYN_ARGS=TRUE&amp;VAR:ID1=98302410&amp;VAR:RCODE=TIAT&amp;VAR:SDATE=20081299&amp;VAR:FREQ=CALENDAR_YEARLY&amp;VAR:RELITEM=RP&amp;VAR:CURRENCY=&amp;VAR:CURRSO","URCE=EXSHARE&amp;VAR:NATFREQ=ANNUAL&amp;VAR:RFIELD=FINALIZED&amp;VAR:DB_TYPE=&amp;VAR:UNITS=MONTHLY&amp;window=popup&amp;width=450&amp;height=300&amp;START_MAXIMIZED=FALSE"}</definedName>
    <definedName name="_480__FDSAUDITLINK__" localSheetId="1"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0__FDSAUDITLINK__" localSheetId="12"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0__FDSAUDITLINK__" hidden="1">{"fdsup://IBCentral/FAT Viewer?action=UPDATE&amp;creator=factset&amp;DOC_NAME=fat:reuters_annual_source_window.fat&amp;display_string=Audit&amp;DYN_ARGS=TRUE&amp;VAR:ID1=36871040&amp;VAR:RCODE=ERAD&amp;VAR:SDATE=20061299&amp;VAR:FREQ=Quarterly&amp;VAR:RELITEM=RP&amp;VAR:CURRENCY=&amp;VAR:CURRSOURCE=E","XSHARE&amp;VAR:NATFREQ=ANNUAL&amp;VAR:RFIELD=FINALIZED&amp;VAR:DB_TYPE=&amp;VAR:UNITS=M&amp;window=popup&amp;width=450&amp;height=300&amp;START_MAXIMIZED=FALSE"}</definedName>
    <definedName name="_481__FDSAUDITLINK__" localSheetId="1"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1__FDSAUDITLINK__" localSheetId="12"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36871040&amp;VAR:RCODE=EIBT&amp;VAR:SDATE=20071299&amp;VAR:FREQ=FISCAL_YEARLY&amp;VAR:RELITEM=RP&amp;VAR:CURRENCY=&amp;VAR:CURRSOUR","CE=EXSHARE&amp;VAR:NATFREQ=ANNUAL&amp;VAR:RFIELD=FINALIZED&amp;VAR:DB_TYPE=&amp;VAR:UNITS=M&amp;window=popup&amp;width=450&amp;height=300&amp;START_MAXIMIZED=FALSE"}</definedName>
    <definedName name="_482__FDSAUDITLINK__" localSheetId="1"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2__FDSAUDITLINK__" localSheetId="12"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2__FDSAUDITLINK__" hidden="1">{"fdsup://IBCentral/FAT Viewer?action=UPDATE&amp;creator=factset&amp;DOC_NAME=fat:reuters_annual_source_window.fat&amp;display_string=Audit&amp;DYN_ARGS=TRUE&amp;VAR:ID1=36871040&amp;VAR:RCODE=NIBX&amp;VAR:SDATE=20071299&amp;VAR:FREQ=FISCAL_YEARLY&amp;VAR:RELITEM=RP&amp;VAR:CURRENCY=&amp;VAR:CURRSOUR","CE=EXSHARE&amp;VAR:NATFREQ=ANNUAL&amp;VAR:RFIELD=FINALIZED&amp;VAR:DB_TYPE=&amp;VAR:UNITS=M&amp;window=popup&amp;width=450&amp;height=300&amp;START_MAXIMIZED=FALSE"}</definedName>
    <definedName name="_483__FDSAUDITLINK__" localSheetId="1"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3__FDSAUDITLINK__" localSheetId="12"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3__FDSAUDITLINK__" hidden="1">{"fdsup://IBCentral/FAT Viewer?action=UPDATE&amp;creator=factset&amp;DOC_NAME=fat:reuters_annual_source_window.fat&amp;display_string=Audit&amp;DYN_ARGS=TRUE&amp;VAR:ID1=36871040&amp;VAR:RCODE=EIBT&amp;VAR:SDATE=20071299&amp;VAR:FREQ=CALENDAR_YEARLY&amp;VAR:RELITEM=RP&amp;VAR:CURRENCY=&amp;VAR:CURRSO","URCE=EXSHARE&amp;VAR:NATFREQ=ANNUAL&amp;VAR:RFIELD=FINALIZED&amp;VAR:DB_TYPE=&amp;VAR:UNITS=MONTHLY&amp;window=popup&amp;width=450&amp;height=300&amp;START_MAXIMIZED=FALSE"}</definedName>
    <definedName name="_484__FDSAUDITLINK__" localSheetId="1"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4__FDSAUDITLINK__" localSheetId="12"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36871040&amp;VAR:RCODE=SGAFDS&amp;VAR:SDATE=20071299&amp;VAR:FREQ=FISCAL_YEARLY&amp;VAR:RELITEM=RP&amp;VAR:CURRENCY=&amp;VAR:CURRSO","URCE=EXSHARE&amp;VAR:NATFREQ=ANNUAL&amp;VAR:RFIELD=FINALIZED&amp;VAR:DB_TYPE=&amp;VAR:UNITS=M&amp;window=popup&amp;width=450&amp;height=300&amp;START_MAXIMIZED=FALSE"}</definedName>
    <definedName name="_485__FDSAUDITLINK__" localSheetId="1"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5__FDSAUDITLINK__" localSheetId="12"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486__FDSAUDITLINK__" localSheetId="1"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6__FDSAUDITLINK__" localSheetId="12"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36871040&amp;VAR:RCODE=COGSFDS&amp;VAR:SDATE=20071299&amp;VAR:FREQ=FISCAL_YEARLY&amp;VAR:RELITEM=RP&amp;VAR:CURRENCY=&amp;VAR:CURRS","OURCE=EXSHARE&amp;VAR:NATFREQ=ANNUAL&amp;VAR:RFIELD=FINALIZED&amp;VAR:DB_TYPE=&amp;VAR:UNITS=M&amp;window=popup&amp;width=450&amp;height=300&amp;START_MAXIMIZED=FALSE"}</definedName>
    <definedName name="_487__FDSAUDITLINK__" localSheetId="1"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7__FDSAUDITLINK__" localSheetId="12"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7__FDSAUDITLINK__" hidden="1">{"fdsup://IBCentral/FAT Viewer?action=UPDATE&amp;creator=factset&amp;DOC_NAME=fat:reuters_annual_source_window.fat&amp;display_string=Audit&amp;DYN_ARGS=TRUE&amp;VAR:ID1=15102010&amp;VAR:RCODE=TIAT&amp;VAR:SDATE=20071299&amp;VAR:FREQ=CALENDAR_YEARLY&amp;VAR:RELITEM=RP&amp;VAR:CURRENCY=&amp;VAR:CURRSO","URCE=EXSHARE&amp;VAR:NATFREQ=ANNUAL&amp;VAR:RFIELD=FINALIZED&amp;VAR:DB_TYPE=&amp;VAR:UNITS=MONTHLY&amp;window=popup&amp;width=450&amp;height=300&amp;START_MAXIMIZED=FALSE"}</definedName>
    <definedName name="_488__FDSAUDITLINK__" localSheetId="1"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8__FDSAUDITLINK__" localSheetId="12"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8__FDSAUDITLINK__" hidden="1">{"fdsup://IBCentral/FAT Viewer?action=UPDATE&amp;creator=factset&amp;DOC_NAME=fat:reuters_annual_source_window.fat&amp;display_string=Audit&amp;DYN_ARGS=TRUE&amp;VAR:ID1=15102010&amp;VAR:RCODE=SGAFDS&amp;VAR:SDATE=20071299&amp;VAR:FREQ=CALENDAR_YEARLY&amp;VAR:RELITEM=RP&amp;VAR:CURRENCY=&amp;VAR:CURR","SOURCE=EXSHARE&amp;VAR:NATFREQ=ANNUAL&amp;VAR:RFIELD=FINALIZED&amp;VAR:DB_TYPE=&amp;VAR:UNITS=MONTHLY&amp;window=popup&amp;width=450&amp;height=300&amp;START_MAXIMIZED=FALSE"}</definedName>
    <definedName name="_489__FDSAUDITLINK__" localSheetId="1"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89__FDSAUDITLINK__" localSheetId="12"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15102010&amp;VAR:RCODE=ERAD&amp;VAR:SDATE=20061299&amp;VAR:FREQ=Quarterly&amp;VAR:RELITEM=RP&amp;VAR:CURRENCY=&amp;VAR:CURRSOURCE=E","XSHARE&amp;VAR:NATFREQ=ANNUAL&amp;VAR:RFIELD=FINALIZED&amp;VAR:DB_TYPE=&amp;VAR:UNITS=M&amp;window=popup&amp;width=450&amp;height=300&amp;START_MAXIMIZED=FALSE"}</definedName>
    <definedName name="_49__FDSAUDITLINK__" localSheetId="1"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__FDSAUDITLINK__" localSheetId="12"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__FDSAUDITLINK__" hidden="1">{"fdsup://IBCentral/FAT Viewer?action=UPDATE&amp;creator=factset&amp;DOC_NAME=fat:reuters_annual_source_window.fat&amp;display_string=Audit&amp;DYN_ARGS=TRUE&amp;VAR:ID1=98302410&amp;VAR:RCODE=EIBT&amp;VAR:SDATE=20081299&amp;VAR:FREQ=CALENDAR_YEARLY&amp;VAR:RELITEM=RP&amp;VAR:CURRENCY=&amp;VAR:CURRSO","URCE=EXSHARE&amp;VAR:NATFREQ=ANNUAL&amp;VAR:RFIELD=FINALIZED&amp;VAR:DB_TYPE=&amp;VAR:UNITS=MONTHLY&amp;window=popup&amp;width=450&amp;height=300&amp;START_MAXIMIZED=FALSE"}</definedName>
    <definedName name="_490__FDSAUDITLINK__" localSheetId="1"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0__FDSAUDITLINK__" localSheetId="12"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0__FDSAUDITLINK__" hidden="1">{"fdsup://IBCentral/FAT Viewer?action=UPDATE&amp;creator=factset&amp;DOC_NAME=fat:reuters_annual_source_window.fat&amp;display_string=Audit&amp;DYN_ARGS=TRUE&amp;VAR:ID1=15102010&amp;VAR:RCODE=EIBT&amp;VAR:SDATE=20071299&amp;VAR:FREQ=FISCAL_YEARLY&amp;VAR:RELITEM=RP&amp;VAR:CURRENCY=&amp;VAR:CURRSOUR","CE=EXSHARE&amp;VAR:NATFREQ=ANNUAL&amp;VAR:RFIELD=FINALIZED&amp;VAR:DB_TYPE=&amp;VAR:UNITS=M&amp;window=popup&amp;width=450&amp;height=300&amp;START_MAXIMIZED=FALSE"}</definedName>
    <definedName name="_491__FDSAUDITLINK__" localSheetId="1"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1__FDSAUDITLINK__" localSheetId="12"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15102010&amp;VAR:RCODE=NIBX&amp;VAR:SDATE=20071299&amp;VAR:FREQ=FISCAL_YEARLY&amp;VAR:RELITEM=RP&amp;VAR:CURRENCY=&amp;VAR:CURRSOUR","CE=EXSHARE&amp;VAR:NATFREQ=ANNUAL&amp;VAR:RFIELD=FINALIZED&amp;VAR:DB_TYPE=&amp;VAR:UNITS=M&amp;window=popup&amp;width=450&amp;height=300&amp;START_MAXIMIZED=FALSE"}</definedName>
    <definedName name="_492__FDSAUDITLINK__" localSheetId="1"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2__FDSAUDITLINK__" localSheetId="12"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2__FDSAUDITLINK__" hidden="1">{"fdsup://IBCentral/FAT Viewer?action=UPDATE&amp;creator=factset&amp;DOC_NAME=fat:reuters_annual_source_window.fat&amp;display_string=Audit&amp;DYN_ARGS=TRUE&amp;VAR:ID1=15102010&amp;VAR:RCODE=EIBT&amp;VAR:SDATE=20071299&amp;VAR:FREQ=CALENDAR_YEARLY&amp;VAR:RELITEM=RP&amp;VAR:CURRENCY=&amp;VAR:CURRSO","URCE=EXSHARE&amp;VAR:NATFREQ=ANNUAL&amp;VAR:RFIELD=FINALIZED&amp;VAR:DB_TYPE=&amp;VAR:UNITS=MONTHLY&amp;window=popup&amp;width=450&amp;height=300&amp;START_MAXIMIZED=FALSE"}</definedName>
    <definedName name="_493__FDSAUDITLINK__" localSheetId="1"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3__FDSAUDITLINK__" localSheetId="12"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15102010&amp;VAR:RCODE=SGAFDS&amp;VAR:SDATE=20071299&amp;VAR:FREQ=FISCAL_YEARLY&amp;VAR:RELITEM=RP&amp;VAR:CURRENCY=&amp;VAR:CURRSO","URCE=EXSHARE&amp;VAR:NATFREQ=ANNUAL&amp;VAR:RFIELD=FINALIZED&amp;VAR:DB_TYPE=&amp;VAR:UNITS=M&amp;window=popup&amp;width=450&amp;height=300&amp;START_MAXIMIZED=FALSE"}</definedName>
    <definedName name="_494__FDSAUDITLINK__" localSheetId="1"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4__FDSAUDITLINK__" localSheetId="12"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15102010&amp;VAR:RCODE=ERAD&amp;VAR:SDATE=20071299&amp;VAR:FREQ=Quarterly&amp;VAR:RELITEM=RP&amp;VAR:CURRENCY=&amp;VAR:CURRSOURCE=E","XSHARE&amp;VAR:NATFREQ=ANNUAL&amp;VAR:RFIELD=FINALIZED&amp;VAR:DB_TYPE=&amp;VAR:UNITS=M&amp;window=popup&amp;width=450&amp;height=300&amp;START_MAXIMIZED=FALSE"}</definedName>
    <definedName name="_495__FDSAUDITLINK__" localSheetId="1"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5__FDSAUDITLINK__" localSheetId="12"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15102010&amp;VAR:RCODE=COGSFDS&amp;VAR:SDATE=20071299&amp;VAR:FREQ=FISCAL_YEARLY&amp;VAR:RELITEM=RP&amp;VAR:CURRENCY=&amp;VAR:CURRS","OURCE=EXSHARE&amp;VAR:NATFREQ=ANNUAL&amp;VAR:RFIELD=FINALIZED&amp;VAR:DB_TYPE=&amp;VAR:UNITS=M&amp;window=popup&amp;width=450&amp;height=300&amp;START_MAXIMIZED=FALSE"}</definedName>
    <definedName name="_496__FDSAUDITLINK__" localSheetId="1"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6__FDSAUDITLINK__" localSheetId="12"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6__FDSAUDITLINK__" hidden="1">{"fdsup://IBCentral/FAT Viewer?action=UPDATE&amp;creator=factset&amp;DOC_NAME=fat:reuters_annual_source_window.fat&amp;display_string=Audit&amp;DYN_ARGS=TRUE&amp;VAR:ID1=09062X10&amp;VAR:RCODE=TIAT&amp;VAR:SDATE=20071299&amp;VAR:FREQ=CALENDAR_YEARLY&amp;VAR:RELITEM=RP&amp;VAR:CURRENCY=&amp;VAR:CURRSO","URCE=EXSHARE&amp;VAR:NATFREQ=ANNUAL&amp;VAR:RFIELD=FINALIZED&amp;VAR:DB_TYPE=&amp;VAR:UNITS=MONTHLY&amp;window=popup&amp;width=450&amp;height=300&amp;START_MAXIMIZED=FALSE"}</definedName>
    <definedName name="_497__FDSAUDITLINK__" localSheetId="1"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7__FDSAUDITLINK__" localSheetId="12"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7__FDSAUDITLINK__" hidden="1">{"fdsup://IBCentral/FAT Viewer?action=UPDATE&amp;creator=factset&amp;DOC_NAME=fat:reuters_annual_source_window.fat&amp;display_string=Audit&amp;DYN_ARGS=TRUE&amp;VAR:ID1=09062X10&amp;VAR:RCODE=SGAFDS&amp;VAR:SDATE=20071299&amp;VAR:FREQ=CALENDAR_YEARLY&amp;VAR:RELITEM=RP&amp;VAR:CURRENCY=&amp;VAR:CURR","SOURCE=EXSHARE&amp;VAR:NATFREQ=ANNUAL&amp;VAR:RFIELD=FINALIZED&amp;VAR:DB_TYPE=&amp;VAR:UNITS=MONTHLY&amp;window=popup&amp;width=450&amp;height=300&amp;START_MAXIMIZED=FALSE"}</definedName>
    <definedName name="_498__FDSAUDITLINK__" localSheetId="1"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8__FDSAUDITLINK__" localSheetId="12"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09062X10&amp;VAR:RCODE=ERAD&amp;VAR:SDATE=20061299&amp;VAR:FREQ=Quarterly&amp;VAR:RELITEM=RP&amp;VAR:CURRENCY=&amp;VAR:CURRSOURCE=E","XSHARE&amp;VAR:NATFREQ=ANNUAL&amp;VAR:RFIELD=FINALIZED&amp;VAR:DB_TYPE=&amp;VAR:UNITS=M&amp;window=popup&amp;width=450&amp;height=300&amp;START_MAXIMIZED=FALSE"}</definedName>
    <definedName name="_499__FDSAUDITLINK__" localSheetId="1"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499__FDSAUDITLINK__" localSheetId="12"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09062X10&amp;VAR:RCODE=EIBT&amp;VAR:SDATE=20071299&amp;VAR:FREQ=FISCAL_YEARLY&amp;VAR:RELITEM=RP&amp;VAR:CURRENCY=&amp;VAR:CURRSOUR","CE=EXSHARE&amp;VAR:NATFREQ=ANNUAL&amp;VAR:RFIELD=FINALIZED&amp;VAR:DB_TYPE=&amp;VAR:UNITS=M&amp;window=popup&amp;width=450&amp;height=300&amp;START_MAXIMIZED=FALSE"}</definedName>
    <definedName name="_5__FDSAUDITLINK__" localSheetId="1"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__FDSAUDITLINK__" localSheetId="12"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0__FDSAUDITLINK__" localSheetId="1"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__FDSAUDITLINK__" localSheetId="12"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__FDSAUDITLINK__" hidden="1">{"fdsup://IBCentral/FAT Viewer?action=UPDATE&amp;creator=factset&amp;DOC_NAME=fat:reuters_annual_source_window.fat&amp;display_string=Audit&amp;DYN_ARGS=TRUE&amp;VAR:ID1=80660510&amp;VAR:RCODE=TIAT&amp;VAR:SDATE=20081299&amp;VAR:FREQ=CALENDAR_YEARLY&amp;VAR:RELITEM=RP&amp;VAR:CURRENCY=&amp;VAR:CURRSO","URCE=EXSHARE&amp;VAR:NATFREQ=ANNUAL&amp;VAR:RFIELD=FINALIZED&amp;VAR:DB_TYPE=&amp;VAR:UNITS=MONTHLY&amp;window=popup&amp;width=450&amp;height=300&amp;START_MAXIMIZED=FALSE"}</definedName>
    <definedName name="_500__FDSAUDITLINK__" localSheetId="1"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0__FDSAUDITLINK__" localSheetId="12"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0__FDSAUDITLINK__" hidden="1">{"fdsup://IBCentral/FAT Viewer?action=UPDATE&amp;creator=factset&amp;DOC_NAME=fat:reuters_annual_source_window.fat&amp;display_string=Audit&amp;DYN_ARGS=TRUE&amp;VAR:ID1=09062X10&amp;VAR:RCODE=NIBX&amp;VAR:SDATE=20071299&amp;VAR:FREQ=FISCAL_YEARLY&amp;VAR:RELITEM=RP&amp;VAR:CURRENCY=&amp;VAR:CURRSOUR","CE=EXSHARE&amp;VAR:NATFREQ=ANNUAL&amp;VAR:RFIELD=FINALIZED&amp;VAR:DB_TYPE=&amp;VAR:UNITS=M&amp;window=popup&amp;width=450&amp;height=300&amp;START_MAXIMIZED=FALSE"}</definedName>
    <definedName name="_501__FDSAUDITLINK__" localSheetId="1"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1__FDSAUDITLINK__" localSheetId="12"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1__FDSAUDITLINK__" hidden="1">{"fdsup://IBCentral/FAT Viewer?action=UPDATE&amp;creator=factset&amp;DOC_NAME=fat:reuters_annual_source_window.fat&amp;display_string=Audit&amp;DYN_ARGS=TRUE&amp;VAR:ID1=09062X10&amp;VAR:RCODE=EIBT&amp;VAR:SDATE=20071299&amp;VAR:FREQ=CALENDAR_YEARLY&amp;VAR:RELITEM=RP&amp;VAR:CURRENCY=&amp;VAR:CURRSO","URCE=EXSHARE&amp;VAR:NATFREQ=ANNUAL&amp;VAR:RFIELD=FINALIZED&amp;VAR:DB_TYPE=&amp;VAR:UNITS=MONTHLY&amp;window=popup&amp;width=450&amp;height=300&amp;START_MAXIMIZED=FALSE"}</definedName>
    <definedName name="_502__FDSAUDITLINK__" localSheetId="1"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2__FDSAUDITLINK__" localSheetId="12"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09062X10&amp;VAR:RCODE=SGAFDS&amp;VAR:SDATE=20071299&amp;VAR:FREQ=FISCAL_YEARLY&amp;VAR:RELITEM=RP&amp;VAR:CURRENCY=&amp;VAR:CURRSO","URCE=EXSHARE&amp;VAR:NATFREQ=ANNUAL&amp;VAR:RFIELD=FINALIZED&amp;VAR:DB_TYPE=&amp;VAR:UNITS=M&amp;window=popup&amp;width=450&amp;height=300&amp;START_MAXIMIZED=FALSE"}</definedName>
    <definedName name="_503__FDSAUDITLINK__" localSheetId="1"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3__FDSAUDITLINK__" localSheetId="12"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09062X10&amp;VAR:RCODE=ERAD&amp;VAR:SDATE=20071299&amp;VAR:FREQ=Quarterly&amp;VAR:RELITEM=RP&amp;VAR:CURRENCY=&amp;VAR:CURRSOURCE=E","XSHARE&amp;VAR:NATFREQ=ANNUAL&amp;VAR:RFIELD=FINALIZED&amp;VAR:DB_TYPE=&amp;VAR:UNITS=M&amp;window=popup&amp;width=450&amp;height=300&amp;START_MAXIMIZED=FALSE"}</definedName>
    <definedName name="_504__FDSAUDITLINK__" localSheetId="1"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4__FDSAUDITLINK__" localSheetId="12"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09062X10&amp;VAR:RCODE=COGSFDS&amp;VAR:SDATE=20071299&amp;VAR:FREQ=FISCAL_YEARLY&amp;VAR:RELITEM=RP&amp;VAR:CURRENCY=&amp;VAR:CURRS","OURCE=EXSHARE&amp;VAR:NATFREQ=ANNUAL&amp;VAR:RFIELD=FINALIZED&amp;VAR:DB_TYPE=&amp;VAR:UNITS=M&amp;window=popup&amp;width=450&amp;height=300&amp;START_MAXIMIZED=FALSE"}</definedName>
    <definedName name="_505__FDSAUDITLINK__" localSheetId="1"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5__FDSAUDITLINK__" localSheetId="12"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5__FDSAUDITLINK__" hidden="1">{"fdsup://IBCentral/FAT Viewer?action=UPDATE&amp;creator=factset&amp;DOC_NAME=fat:reuters_annual_source_window.fat&amp;display_string=Audit&amp;DYN_ARGS=TRUE&amp;VAR:ID1=03116210&amp;VAR:RCODE=TIAT&amp;VAR:SDATE=20071299&amp;VAR:FREQ=CALENDAR_YEARLY&amp;VAR:RELITEM=RP&amp;VAR:CURRENCY=&amp;VAR:CURRSO","URCE=EXSHARE&amp;VAR:NATFREQ=ANNUAL&amp;VAR:RFIELD=FINALIZED&amp;VAR:DB_TYPE=&amp;VAR:UNITS=MONTHLY&amp;window=popup&amp;width=450&amp;height=300&amp;START_MAXIMIZED=FALSE"}</definedName>
    <definedName name="_506__FDSAUDITLINK__" localSheetId="1"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6__FDSAUDITLINK__" localSheetId="12"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6__FDSAUDITLINK__" hidden="1">{"fdsup://IBCentral/FAT Viewer?action=UPDATE&amp;creator=factset&amp;DOC_NAME=fat:reuters_annual_source_window.fat&amp;display_string=Audit&amp;DYN_ARGS=TRUE&amp;VAR:ID1=03116210&amp;VAR:RCODE=SGAFDS&amp;VAR:SDATE=20071299&amp;VAR:FREQ=CALENDAR_YEARLY&amp;VAR:RELITEM=RP&amp;VAR:CURRENCY=&amp;VAR:CURR","SOURCE=EXSHARE&amp;VAR:NATFREQ=ANNUAL&amp;VAR:RFIELD=FINALIZED&amp;VAR:DB_TYPE=&amp;VAR:UNITS=MONTHLY&amp;window=popup&amp;width=450&amp;height=300&amp;START_MAXIMIZED=FALSE"}</definedName>
    <definedName name="_507__FDSAUDITLINK__" localSheetId="1"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7__FDSAUDITLINK__" localSheetId="12"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03116210&amp;VAR:RCODE=ERAD&amp;VAR:SDATE=20061299&amp;VAR:FREQ=Quarterly&amp;VAR:RELITEM=RP&amp;VAR:CURRENCY=&amp;VAR:CURRSOURCE=E","XSHARE&amp;VAR:NATFREQ=ANNUAL&amp;VAR:RFIELD=FINALIZED&amp;VAR:DB_TYPE=&amp;VAR:UNITS=M&amp;window=popup&amp;width=450&amp;height=300&amp;START_MAXIMIZED=FALSE"}</definedName>
    <definedName name="_508__FDSAUDITLINK__" localSheetId="1"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8__FDSAUDITLINK__" localSheetId="12"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03116210&amp;VAR:RCODE=EIBT&amp;VAR:SDATE=20071299&amp;VAR:FREQ=FISCAL_YEARLY&amp;VAR:RELITEM=RP&amp;VAR:CURRENCY=&amp;VAR:CURRSOUR","CE=EXSHARE&amp;VAR:NATFREQ=ANNUAL&amp;VAR:RFIELD=FINALIZED&amp;VAR:DB_TYPE=&amp;VAR:UNITS=M&amp;window=popup&amp;width=450&amp;height=300&amp;START_MAXIMIZED=FALSE"}</definedName>
    <definedName name="_509__FDSAUDITLINK__" localSheetId="1"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09__FDSAUDITLINK__" localSheetId="12"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03116210&amp;VAR:RCODE=NIBX&amp;VAR:SDATE=20071299&amp;VAR:FREQ=FISCAL_YEARLY&amp;VAR:RELITEM=RP&amp;VAR:CURRENCY=&amp;VAR:CURRSOUR","CE=EXSHARE&amp;VAR:NATFREQ=ANNUAL&amp;VAR:RFIELD=FINALIZED&amp;VAR:DB_TYPE=&amp;VAR:UNITS=M&amp;window=popup&amp;width=450&amp;height=300&amp;START_MAXIMIZED=FALSE"}</definedName>
    <definedName name="_51__FDSAUDITLINK__" localSheetId="1"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__FDSAUDITLINK__" localSheetId="12"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__FDSAUDITLINK__" hidden="1">{"fdsup://IBCentral/FAT Viewer?action=UPDATE&amp;creator=factset&amp;DOC_NAME=fat:reuters_annual_source_window.fat&amp;display_string=Audit&amp;DYN_ARGS=TRUE&amp;VAR:ID1=80660510&amp;VAR:RCODE=EIBT&amp;VAR:SDATE=20081299&amp;VAR:FREQ=CALENDAR_YEARLY&amp;VAR:RELITEM=RP&amp;VAR:CURRENCY=&amp;VAR:CURRSO","URCE=EXSHARE&amp;VAR:NATFREQ=ANNUAL&amp;VAR:RFIELD=FINALIZED&amp;VAR:DB_TYPE=&amp;VAR:UNITS=MONTHLY&amp;window=popup&amp;width=450&amp;height=300&amp;START_MAXIMIZED=FALSE"}</definedName>
    <definedName name="_510__FDSAUDITLINK__" localSheetId="1"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0__FDSAUDITLINK__" localSheetId="12"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0__FDSAUDITLINK__" hidden="1">{"fdsup://IBCentral/FAT Viewer?action=UPDATE&amp;creator=factset&amp;DOC_NAME=fat:reuters_annual_source_window.fat&amp;display_string=Audit&amp;DYN_ARGS=TRUE&amp;VAR:ID1=03116210&amp;VAR:RCODE=EIBT&amp;VAR:SDATE=20071299&amp;VAR:FREQ=CALENDAR_YEARLY&amp;VAR:RELITEM=RP&amp;VAR:CURRENCY=&amp;VAR:CURRSO","URCE=EXSHARE&amp;VAR:NATFREQ=ANNUAL&amp;VAR:RFIELD=FINALIZED&amp;VAR:DB_TYPE=&amp;VAR:UNITS=MONTHLY&amp;window=popup&amp;width=450&amp;height=300&amp;START_MAXIMIZED=FALSE"}</definedName>
    <definedName name="_511__FDSAUDITLINK__" localSheetId="1"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1__FDSAUDITLINK__" localSheetId="12"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03116210&amp;VAR:RCODE=SGAFDS&amp;VAR:SDATE=20071299&amp;VAR:FREQ=FISCAL_YEARLY&amp;VAR:RELITEM=RP&amp;VAR:CURRENCY=&amp;VAR:CURRSO","URCE=EXSHARE&amp;VAR:NATFREQ=ANNUAL&amp;VAR:RFIELD=FINALIZED&amp;VAR:DB_TYPE=&amp;VAR:UNITS=M&amp;window=popup&amp;width=450&amp;height=300&amp;START_MAXIMIZED=FALSE"}</definedName>
    <definedName name="_512__FDSAUDITLINK__" localSheetId="1"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2__FDSAUDITLINK__" localSheetId="12"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03116210&amp;VAR:RCODE=ERAD&amp;VAR:SDATE=20071299&amp;VAR:FREQ=Quarterly&amp;VAR:RELITEM=RP&amp;VAR:CURRENCY=&amp;VAR:CURRSOURCE=E","XSHARE&amp;VAR:NATFREQ=ANNUAL&amp;VAR:RFIELD=FINALIZED&amp;VAR:DB_TYPE=&amp;VAR:UNITS=M&amp;window=popup&amp;width=450&amp;height=300&amp;START_MAXIMIZED=FALSE"}</definedName>
    <definedName name="_513__FDSAUDITLINK__" localSheetId="1"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3__FDSAUDITLINK__" localSheetId="12"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03116210&amp;VAR:RCODE=COGSFDS&amp;VAR:SDATE=20071299&amp;VAR:FREQ=FISCAL_YEARLY&amp;VAR:RELITEM=RP&amp;VAR:CURRENCY=&amp;VAR:CURRS","OURCE=EXSHARE&amp;VAR:NATFREQ=ANNUAL&amp;VAR:RFIELD=FINALIZED&amp;VAR:DB_TYPE=&amp;VAR:UNITS=M&amp;window=popup&amp;width=450&amp;height=300&amp;START_MAXIMIZED=FALSE"}</definedName>
    <definedName name="_514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4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4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515__FDSAUDITLINK__" localSheetId="1"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5__FDSAUDITLINK__" localSheetId="12"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5__FDSAUDITLINK__" hidden="1">{"fdsup://IBCentral/FAT Viewer?action=UPDATE&amp;creator=factset&amp;DOC_NAME=fat:reuters_annual_source_window.fat&amp;display_string=Audit&amp;DYN_ARGS=TRUE&amp;VAR:ID1=98302410&amp;VAR:RCODE=SREV&amp;VAR:SDATE=20061299&amp;VAR:FREQ=CALENDAR_YEARLY&amp;VAR:RELITEM=RP&amp;VAR:CURRENCY=&amp;VAR:CURRSO","URCE=EXSHARE&amp;VAR:NATFREQ=ANNUAL&amp;VAR:RFIELD=FINALIZED&amp;VAR:DB_TYPE=&amp;VAR:UNITS=MONTHLY&amp;window=popup&amp;width=450&amp;height=300&amp;START_MAXIMIZED=FALSE"}</definedName>
    <definedName name="_516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6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6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517__FDSAUDITLINK__" localSheetId="1"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7__FDSAUDITLINK__" localSheetId="12"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7__FDSAUDITLINK__" hidden="1">{"fdsup://IBCentral/FAT Viewer?action=UPDATE&amp;creator=factset&amp;DOC_NAME=fat:reuters_annual_source_window.fat&amp;display_string=Audit&amp;DYN_ARGS=TRUE&amp;VAR:ID1=80660510&amp;VAR:RCODE=SREV&amp;VAR:SDATE=20061299&amp;VAR:FREQ=CALENDAR_YEARLY&amp;VAR:RELITEM=RP&amp;VAR:CURRENCY=&amp;VAR:CURRSO","URCE=EXSHARE&amp;VAR:NATFREQ=ANNUAL&amp;VAR:RFIELD=FINALIZED&amp;VAR:DB_TYPE=&amp;VAR:UNITS=MONTHLY&amp;window=popup&amp;width=450&amp;height=300&amp;START_MAXIMIZED=FALSE"}</definedName>
    <definedName name="_518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8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8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519__FDSAUDITLINK__" localSheetId="1"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19__FDSAUDITLINK__" localSheetId="12"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19__FDSAUDITLINK__" hidden="1">{"fdsup://IBCentral/FAT Viewer?action=UPDATE&amp;creator=factset&amp;DOC_NAME=fat:reuters_annual_source_window.fat&amp;display_string=Audit&amp;DYN_ARGS=TRUE&amp;VAR:ID1=71708110&amp;VAR:RCODE=SREV&amp;VAR:SDATE=20061299&amp;VAR:FREQ=CALENDAR_YEARLY&amp;VAR:RELITEM=RP&amp;VAR:CURRENCY=&amp;VAR:CURRSO","URCE=EXSHARE&amp;VAR:NATFREQ=ANNUAL&amp;VAR:RFIELD=FINALIZED&amp;VAR:DB_TYPE=&amp;VAR:UNITS=MONTHLY&amp;window=popup&amp;width=450&amp;height=300&amp;START_MAXIMIZED=FALSE"}</definedName>
    <definedName name="_52__FDSAUDITLINK__" localSheetId="1"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__FDSAUDITLINK__" localSheetId="12"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__FDSAUDITLINK__" hidden="1">{"fdsup://IBCentral/FAT Viewer?action=UPDATE&amp;creator=factset&amp;DOC_NAME=fat:reuters_annual_source_window.fat&amp;display_string=Audit&amp;DYN_ARGS=TRUE&amp;VAR:ID1=71708110&amp;VAR:RCODE=TIAT&amp;VAR:SDATE=20081299&amp;VAR:FREQ=CALENDAR_YEARLY&amp;VAR:RELITEM=RP&amp;VAR:CURRENCY=&amp;VAR:CURRSO","URCE=EXSHARE&amp;VAR:NATFREQ=ANNUAL&amp;VAR:RFIELD=FINALIZED&amp;VAR:DB_TYPE=&amp;VAR:UNITS=MONTHLY&amp;window=popup&amp;width=450&amp;height=300&amp;START_MAXIMIZED=FALSE"}</definedName>
    <definedName name="_520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0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0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521__FDSAUDITLINK__" localSheetId="1"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1__FDSAUDITLINK__" localSheetId="12"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1__FDSAUDITLINK__" hidden="1">{"fdsup://IBCentral/FAT Viewer?action=UPDATE&amp;creator=factset&amp;DOC_NAME=fat:reuters_annual_source_window.fat&amp;display_string=Audit&amp;DYN_ARGS=TRUE&amp;VAR:ID1=58933110&amp;VAR:RCODE=SREV&amp;VAR:SDATE=20061299&amp;VAR:FREQ=CALENDAR_YEARLY&amp;VAR:RELITEM=RP&amp;VAR:CURRENCY=&amp;VAR:CURRSO","URCE=EXSHARE&amp;VAR:NATFREQ=ANNUAL&amp;VAR:RFIELD=FINALIZED&amp;VAR:DB_TYPE=&amp;VAR:UNITS=MONTHLY&amp;window=popup&amp;width=450&amp;height=300&amp;START_MAXIMIZED=FALSE"}</definedName>
    <definedName name="_522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2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2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523__FDSAUDITLINK__" localSheetId="1"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3__FDSAUDITLINK__" localSheetId="12"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3__FDSAUDITLINK__" hidden="1">{"fdsup://IBCentral/FAT Viewer?action=UPDATE&amp;creator=factset&amp;DOC_NAME=fat:reuters_annual_source_window.fat&amp;display_string=Audit&amp;DYN_ARGS=TRUE&amp;VAR:ID1=53245710&amp;VAR:RCODE=SREV&amp;VAR:SDATE=20061299&amp;VAR:FREQ=CALENDAR_YEARLY&amp;VAR:RELITEM=RP&amp;VAR:CURRENCY=&amp;VAR:CURRSO","URCE=EXSHARE&amp;VAR:NATFREQ=ANNUAL&amp;VAR:RFIELD=FINALIZED&amp;VAR:DB_TYPE=&amp;VAR:UNITS=MONTHLY&amp;window=popup&amp;width=450&amp;height=300&amp;START_MAXIMIZED=FALSE"}</definedName>
    <definedName name="_524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4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4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525__FDSAUDITLINK__" localSheetId="1"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5__FDSAUDITLINK__" localSheetId="12"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5__FDSAUDITLINK__" hidden="1">{"fdsup://IBCentral/FAT Viewer?action=UPDATE&amp;creator=factset&amp;DOC_NAME=fat:reuters_annual_source_window.fat&amp;display_string=Audit&amp;DYN_ARGS=TRUE&amp;VAR:ID1=11012210&amp;VAR:RCODE=SREV&amp;VAR:SDATE=20061299&amp;VAR:FREQ=CALENDAR_YEARLY&amp;VAR:RELITEM=RP&amp;VAR:CURRENCY=&amp;VAR:CURRSO","URCE=EXSHARE&amp;VAR:NATFREQ=ANNUAL&amp;VAR:RFIELD=FINALIZED&amp;VAR:DB_TYPE=&amp;VAR:UNITS=MONTHLY&amp;window=popup&amp;width=450&amp;height=300&amp;START_MAXIMIZED=FALSE"}</definedName>
    <definedName name="_526__FDSAUDITLINK__" localSheetId="1"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6__FDSAUDITLINK__" localSheetId="12"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6__FDSAUDITLINK__" hidden="1">{"fdsup://IBCentral/FAT Viewer?action=UPDATE&amp;creator=factset&amp;DOC_NAME=fat:reuters_annual_source_window.fat&amp;display_string=Audit&amp;DYN_ARGS=TRUE&amp;VAR:ID1=37291710&amp;VAR:RCODE=SREV&amp;VAR:SDATE=20071299&amp;VAR:FREQ=CALENDAR_YEARLY&amp;VAR:RELITEM=RP&amp;VAR:CURRENCY=&amp;VAR:CURRSO","URCE=EXSHARE&amp;VAR:NATFREQ=ANNUAL&amp;VAR:RFIELD=FINALIZED&amp;VAR:DB_TYPE=&amp;VAR:UNITS=MONTHLY&amp;window=popup&amp;width=450&amp;height=300&amp;START_MAXIMIZED=FALSE"}</definedName>
    <definedName name="_527__FDSAUDITLINK__" localSheetId="1"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7__FDSAUDITLINK__" localSheetId="12"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7__FDSAUDITLINK__" hidden="1">{"fdsup://IBCentral/FAT Viewer?action=UPDATE&amp;creator=factset&amp;DOC_NAME=fat:reuters_annual_source_window.fat&amp;display_string=Audit&amp;DYN_ARGS=TRUE&amp;VAR:ID1=37291710&amp;VAR:RCODE=SREV&amp;VAR:SDATE=20061299&amp;VAR:FREQ=CALENDAR_YEARLY&amp;VAR:RELITEM=RP&amp;VAR:CURRENCY=&amp;VAR:CURRSO","URCE=EXSHARE&amp;VAR:NATFREQ=ANNUAL&amp;VAR:RFIELD=FINALIZED&amp;VAR:DB_TYPE=&amp;VAR:UNITS=MONTHLY&amp;window=popup&amp;width=450&amp;height=300&amp;START_MAXIMIZED=FALSE"}</definedName>
    <definedName name="_528__FDSAUDITLINK__" localSheetId="1"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8__FDSAUDITLINK__" localSheetId="12"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8__FDSAUDITLINK__" hidden="1">{"fdsup://IBCentral/FAT Viewer?action=UPDATE&amp;creator=factset&amp;DOC_NAME=fat:reuters_annual_source_window.fat&amp;display_string=Audit&amp;DYN_ARGS=TRUE&amp;VAR:ID1=36871040&amp;VAR:RCODE=SREV&amp;VAR:SDATE=20071299&amp;VAR:FREQ=CALENDAR_YEARLY&amp;VAR:RELITEM=RP&amp;VAR:CURRENCY=&amp;VAR:CURRSO","URCE=EXSHARE&amp;VAR:NATFREQ=ANNUAL&amp;VAR:RFIELD=FINALIZED&amp;VAR:DB_TYPE=&amp;VAR:UNITS=MONTHLY&amp;window=popup&amp;width=450&amp;height=300&amp;START_MAXIMIZED=FALSE"}</definedName>
    <definedName name="_529__FDSAUDITLINK__" localSheetId="1"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29__FDSAUDITLINK__" localSheetId="12"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29__FDSAUDITLINK__" hidden="1">{"fdsup://IBCentral/FAT Viewer?action=UPDATE&amp;creator=factset&amp;DOC_NAME=fat:reuters_annual_source_window.fat&amp;display_string=Audit&amp;DYN_ARGS=TRUE&amp;VAR:ID1=36871040&amp;VAR:RCODE=SREV&amp;VAR:SDATE=20061299&amp;VAR:FREQ=CALENDAR_YEARLY&amp;VAR:RELITEM=RP&amp;VAR:CURRENCY=&amp;VAR:CURRSO","URCE=EXSHARE&amp;VAR:NATFREQ=ANNUAL&amp;VAR:RFIELD=FINALIZED&amp;VAR:DB_TYPE=&amp;VAR:UNITS=MONTHLY&amp;window=popup&amp;width=450&amp;height=300&amp;START_MAXIMIZED=FALSE"}</definedName>
    <definedName name="_53__FDSAUDITLINK__" localSheetId="1"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__FDSAUDITLINK__" localSheetId="12"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__FDSAUDITLINK__" hidden="1">{"fdsup://IBCentral/FAT Viewer?action=UPDATE&amp;creator=factset&amp;DOC_NAME=fat:reuters_annual_source_window.fat&amp;display_string=Audit&amp;DYN_ARGS=TRUE&amp;VAR:ID1=71708110&amp;VAR:RCODE=EIBT&amp;VAR:SDATE=20081299&amp;VAR:FREQ=CALENDAR_YEARLY&amp;VAR:RELITEM=RP&amp;VAR:CURRENCY=&amp;VAR:CURRSO","URCE=EXSHARE&amp;VAR:NATFREQ=ANNUAL&amp;VAR:RFIELD=FINALIZED&amp;VAR:DB_TYPE=&amp;VAR:UNITS=MONTHLY&amp;window=popup&amp;width=450&amp;height=300&amp;START_MAXIMIZED=FALSE"}</definedName>
    <definedName name="_530__FDSAUDITLINK__" localSheetId="1"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0__FDSAUDITLINK__" localSheetId="12"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0__FDSAUDITLINK__" hidden="1">{"fdsup://IBCentral/FAT Viewer?action=UPDATE&amp;creator=factset&amp;DOC_NAME=fat:reuters_annual_source_window.fat&amp;display_string=Audit&amp;DYN_ARGS=TRUE&amp;VAR:ID1=15102010&amp;VAR:RCODE=SREV&amp;VAR:SDATE=20071299&amp;VAR:FREQ=CALENDAR_YEARLY&amp;VAR:RELITEM=RP&amp;VAR:CURRENCY=&amp;VAR:CURRSO","URCE=EXSHARE&amp;VAR:NATFREQ=ANNUAL&amp;VAR:RFIELD=FINALIZED&amp;VAR:DB_TYPE=&amp;VAR:UNITS=MONTHLY&amp;window=popup&amp;width=450&amp;height=300&amp;START_MAXIMIZED=FALSE"}</definedName>
    <definedName name="_531__FDSAUDITLINK__" localSheetId="1"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1__FDSAUDITLINK__" localSheetId="12"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1__FDSAUDITLINK__" hidden="1">{"fdsup://IBCentral/FAT Viewer?action=UPDATE&amp;creator=factset&amp;DOC_NAME=fat:reuters_annual_source_window.fat&amp;display_string=Audit&amp;DYN_ARGS=TRUE&amp;VAR:ID1=15102010&amp;VAR:RCODE=SREV&amp;VAR:SDATE=20061299&amp;VAR:FREQ=CALENDAR_YEARLY&amp;VAR:RELITEM=RP&amp;VAR:CURRENCY=&amp;VAR:CURRSO","URCE=EXSHARE&amp;VAR:NATFREQ=ANNUAL&amp;VAR:RFIELD=FINALIZED&amp;VAR:DB_TYPE=&amp;VAR:UNITS=MONTHLY&amp;window=popup&amp;width=450&amp;height=300&amp;START_MAXIMIZED=FALSE"}</definedName>
    <definedName name="_532__FDSAUDITLINK__" localSheetId="1"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2__FDSAUDITLINK__" localSheetId="12"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2__FDSAUDITLINK__" hidden="1">{"fdsup://IBCentral/FAT Viewer?action=UPDATE&amp;creator=factset&amp;DOC_NAME=fat:reuters_annual_source_window.fat&amp;display_string=Audit&amp;DYN_ARGS=TRUE&amp;VAR:ID1=09062X10&amp;VAR:RCODE=SREV&amp;VAR:SDATE=20071299&amp;VAR:FREQ=CALENDAR_YEARLY&amp;VAR:RELITEM=RP&amp;VAR:CURRENCY=&amp;VAR:CURRSO","URCE=EXSHARE&amp;VAR:NATFREQ=ANNUAL&amp;VAR:RFIELD=FINALIZED&amp;VAR:DB_TYPE=&amp;VAR:UNITS=MONTHLY&amp;window=popup&amp;width=450&amp;height=300&amp;START_MAXIMIZED=FALSE"}</definedName>
    <definedName name="_533__FDSAUDITLINK__" localSheetId="1"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3__FDSAUDITLINK__" localSheetId="12"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3__FDSAUDITLINK__" hidden="1">{"fdsup://IBCentral/FAT Viewer?action=UPDATE&amp;creator=factset&amp;DOC_NAME=fat:reuters_annual_source_window.fat&amp;display_string=Audit&amp;DYN_ARGS=TRUE&amp;VAR:ID1=09062X10&amp;VAR:RCODE=SREV&amp;VAR:SDATE=20061299&amp;VAR:FREQ=CALENDAR_YEARLY&amp;VAR:RELITEM=RP&amp;VAR:CURRENCY=&amp;VAR:CURRSO","URCE=EXSHARE&amp;VAR:NATFREQ=ANNUAL&amp;VAR:RFIELD=FINALIZED&amp;VAR:DB_TYPE=&amp;VAR:UNITS=MONTHLY&amp;window=popup&amp;width=450&amp;height=300&amp;START_MAXIMIZED=FALSE"}</definedName>
    <definedName name="_534__FDSAUDITLINK__" localSheetId="1"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4__FDSAUDITLINK__" localSheetId="12"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4__FDSAUDITLINK__" hidden="1">{"fdsup://IBCentral/FAT Viewer?action=UPDATE&amp;creator=factset&amp;DOC_NAME=fat:reuters_annual_source_window.fat&amp;display_string=Audit&amp;DYN_ARGS=TRUE&amp;VAR:ID1=03116210&amp;VAR:RCODE=SREV&amp;VAR:SDATE=20071299&amp;VAR:FREQ=CALENDAR_YEARLY&amp;VAR:RELITEM=RP&amp;VAR:CURRENCY=&amp;VAR:CURRSO","URCE=EXSHARE&amp;VAR:NATFREQ=ANNUAL&amp;VAR:RFIELD=FINALIZED&amp;VAR:DB_TYPE=&amp;VAR:UNITS=MONTHLY&amp;window=popup&amp;width=450&amp;height=300&amp;START_MAXIMIZED=FALSE"}</definedName>
    <definedName name="_535__FDSAUDITLINK__" localSheetId="1"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5__FDSAUDITLINK__" localSheetId="12"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5__FDSAUDITLINK__" hidden="1">{"fdsup://IBCentral/FAT Viewer?action=UPDATE&amp;creator=factset&amp;DOC_NAME=fat:reuters_annual_source_window.fat&amp;display_string=Audit&amp;DYN_ARGS=TRUE&amp;VAR:ID1=03116210&amp;VAR:RCODE=SREV&amp;VAR:SDATE=20061299&amp;VAR:FREQ=CALENDAR_YEARLY&amp;VAR:RELITEM=RP&amp;VAR:CURRENCY=&amp;VAR:CURRSO","URCE=EXSHARE&amp;VAR:NATFREQ=ANNUAL&amp;VAR:RFIELD=FINALIZED&amp;VAR:DB_TYPE=&amp;VAR:UNITS=MONTHLY&amp;window=popup&amp;width=450&amp;height=300&amp;START_MAXIMIZED=FALSE"}</definedName>
    <definedName name="_536__FDSAUDITLINK__" localSheetId="1"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6__FDSAUDITLINK__" localSheetId="12"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92532F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localSheetId="1"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localSheetId="12"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87612C10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localSheetId="1"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localSheetId="12"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73244930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localSheetId="1"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localSheetId="12"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54__FDSAUDITLINK__" localSheetId="1"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__FDSAUDITLINK__" localSheetId="12"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__FDSAUDITLINK__" hidden="1">{"fdsup://IBCentral/FAT Viewer?action=UPDATE&amp;creator=factset&amp;DOC_NAME=fat:reuters_annual_source_window.fat&amp;display_string=Audit&amp;DYN_ARGS=TRUE&amp;VAR:ID1=58933110&amp;VAR:RCODE=TIAT&amp;VAR:SDATE=20081299&amp;VAR:FREQ=CALENDAR_YEARLY&amp;VAR:RELITEM=RP&amp;VAR:CURRENCY=&amp;VAR:CURRSO","URCE=EXSHARE&amp;VAR:NATFREQ=ANNUAL&amp;VAR:RFIELD=FINALIZED&amp;VAR:DB_TYPE=&amp;VAR:UNITS=MONTHLY&amp;window=popup&amp;width=450&amp;height=300&amp;START_MAXIMIZED=FALSE"}</definedName>
    <definedName name="_540__FDSAUDITLINK__" localSheetId="1"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0__FDSAUDITLINK__" localSheetId="12"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0__FDSAUDITLINK__"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541__FDSAUDITLINK__" localSheetId="1"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1__FDSAUDITLINK__" localSheetId="12"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542__FDSAUDITLINK__" localSheetId="1"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2__FDSAUDITLINK__" localSheetId="12"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543__FDSAUDITLINK__" localSheetId="1"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3__FDSAUDITLINK__" localSheetId="12"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50064W10&amp;VAR:RCODE=SCSI&amp;VAR:SDATE=20080399&amp;VAR:FREQ=Quarterly&amp;VAR:RELITEM=RF&amp;VAR:CURRENCY=&amp;VAR:CURRSOURCE=EX","SHARE&amp;VAR:NATFREQ=QUARTERLY&amp;VAR:RFIELD=FINALIZED&amp;VAR:DB_TYPE=&amp;VAR:UNITS=M&amp;window=popup&amp;width=450&amp;height=300&amp;START_MAXIMIZED=FALSE"}</definedName>
    <definedName name="_544__FDSAUDITLINK__" localSheetId="1"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4__FDSAUDITLINK__" localSheetId="12"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45884X10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localSheetId="1"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localSheetId="12"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45166R20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localSheetId="1"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localSheetId="12"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40963P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localSheetId="1"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localSheetId="12"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40052B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localSheetId="1"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localSheetId="12"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16342810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localSheetId="1"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localSheetId="12"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22208310&amp;VAR:RCODE=SCSI&amp;VAR:SDATE=20080999&amp;VAR:FREQ=Quarterly&amp;VAR:RELITEM=RF&amp;VAR:CURRENCY=&amp;VAR:CURRSOURCE=EX","SHARE&amp;VAR:NATFREQ=QUARTERLY&amp;VAR:RFIELD=FINALIZED&amp;VAR:DB_TYPE=&amp;VAR:UNITS=M&amp;window=popup&amp;width=450&amp;height=300&amp;START_MAXIMIZED=FALSE"}</definedName>
    <definedName name="_55__FDSAUDITLINK__" localSheetId="1"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__FDSAUDITLINK__" localSheetId="12"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__FDSAUDITLINK__" hidden="1">{"fdsup://IBCentral/FAT Viewer?action=UPDATE&amp;creator=factset&amp;DOC_NAME=fat:reuters_annual_source_window.fat&amp;display_string=Audit&amp;DYN_ARGS=TRUE&amp;VAR:ID1=58933110&amp;VAR:RCODE=EIBT&amp;VAR:SDATE=20081299&amp;VAR:FREQ=CALENDAR_YEARLY&amp;VAR:RELITEM=RP&amp;VAR:CURRENCY=&amp;VAR:CURRSO","URCE=EXSHARE&amp;VAR:NATFREQ=ANNUAL&amp;VAR:RFIELD=FINALIZED&amp;VAR:DB_TYPE=&amp;VAR:UNITS=MONTHLY&amp;window=popup&amp;width=450&amp;height=300&amp;START_MAXIMIZED=FALSE"}</definedName>
    <definedName name="_550__FDSAUDITLINK__" localSheetId="1"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0__FDSAUDITLINK__" localSheetId="12"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15102010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localSheetId="1"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localSheetId="12"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22967810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localSheetId="1"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localSheetId="12"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52__FDSAUDITLINK__" hidden="1">{"fdsup://IBCentral/FAT Viewer?action=UPDATE&amp;creator=factset&amp;DOC_NAME=fat:reuters_qtrly_source_window.fat&amp;display_string=Audit&amp;DYN_ARGS=TRUE&amp;VAR:ID1=04269E10&amp;VAR:RCODE=SCSI&amp;VAR:SDATE=20080999&amp;VAR:FREQ=Quarterly&amp;VAR:RELITEM=RF&amp;VAR:CURRENCY=&amp;VAR:CURRSOURCE=EX","SHARE&amp;VAR:NATFREQ=QUARTERLY&amp;VAR:RFIELD=FINALIZED&amp;VAR:DB_TYPE=&amp;VAR:UNITS=M&amp;window=popup&amp;width=450&amp;height=300&amp;START_MAXIMIZED=FALSE"}</definedName>
    <definedName name="_56__FDSAUDITLINK__" localSheetId="1"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6__FDSAUDITLINK__" localSheetId="12"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6__FDSAUDITLINK__" hidden="1">{"fdsup://IBCentral/FAT Viewer?action=UPDATE&amp;creator=factset&amp;DOC_NAME=fat:reuters_annual_source_window.fat&amp;display_string=Audit&amp;DYN_ARGS=TRUE&amp;VAR:ID1=53245710&amp;VAR:RCODE=TIAT&amp;VAR:SDATE=20081299&amp;VAR:FREQ=CALENDAR_YEARLY&amp;VAR:RELITEM=RP&amp;VAR:CURRENCY=&amp;VAR:CURRSO","URCE=EXSHARE&amp;VAR:NATFREQ=ANNUAL&amp;VAR:RFIELD=FINALIZED&amp;VAR:DB_TYPE=&amp;VAR:UNITS=MONTHLY&amp;window=popup&amp;width=450&amp;height=300&amp;START_MAXIMIZED=FALSE"}</definedName>
    <definedName name="_57__FDSAUDITLINK__" localSheetId="1"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7__FDSAUDITLINK__" localSheetId="12"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7__FDSAUDITLINK__" hidden="1">{"fdsup://IBCentral/FAT Viewer?action=UPDATE&amp;creator=factset&amp;DOC_NAME=fat:reuters_annual_source_window.fat&amp;display_string=Audit&amp;DYN_ARGS=TRUE&amp;VAR:ID1=53245710&amp;VAR:RCODE=EIBT&amp;VAR:SDATE=20081299&amp;VAR:FREQ=CALENDAR_YEARLY&amp;VAR:RELITEM=RP&amp;VAR:CURRENCY=&amp;VAR:CURRSO","URCE=EXSHARE&amp;VAR:NATFREQ=ANNUAL&amp;VAR:RFIELD=FINALIZED&amp;VAR:DB_TYPE=&amp;VAR:UNITS=MONTHLY&amp;window=popup&amp;width=450&amp;height=300&amp;START_MAXIMIZED=FALSE"}</definedName>
    <definedName name="_58__FDSAUDITLINK__" localSheetId="1"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8__FDSAUDITLINK__" localSheetId="12"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8__FDSAUDITLINK__" hidden="1">{"fdsup://IBCentral/FAT Viewer?action=UPDATE&amp;creator=factset&amp;DOC_NAME=fat:reuters_annual_source_window.fat&amp;display_string=Audit&amp;DYN_ARGS=TRUE&amp;VAR:ID1=11012210&amp;VAR:RCODE=TIAT&amp;VAR:SDATE=20081299&amp;VAR:FREQ=CALENDAR_YEARLY&amp;VAR:RELITEM=RP&amp;VAR:CURRENCY=&amp;VAR:CURRSO","URCE=EXSHARE&amp;VAR:NATFREQ=ANNUAL&amp;VAR:RFIELD=FINALIZED&amp;VAR:DB_TYPE=&amp;VAR:UNITS=MONTHLY&amp;window=popup&amp;width=450&amp;height=300&amp;START_MAXIMIZED=FALSE"}</definedName>
    <definedName name="_59__FDSAUDITLINK__" localSheetId="1"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59__FDSAUDITLINK__" localSheetId="12"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59__FDSAUDITLINK__" hidden="1">{"fdsup://IBCentral/FAT Viewer?action=UPDATE&amp;creator=factset&amp;DOC_NAME=fat:reuters_annual_source_window.fat&amp;display_string=Audit&amp;DYN_ARGS=TRUE&amp;VAR:ID1=11012210&amp;VAR:RCODE=EIBT&amp;VAR:SDATE=20081299&amp;VAR:FREQ=CALENDAR_YEARLY&amp;VAR:RELITEM=RP&amp;VAR:CURRENCY=&amp;VAR:CURRSO","URCE=EXSHARE&amp;VAR:NATFREQ=ANNUAL&amp;VAR:RFIELD=FINALIZED&amp;VAR:DB_TYPE=&amp;VAR:UNITS=MONTHLY&amp;window=popup&amp;width=450&amp;height=300&amp;START_MAXIMIZED=FALSE"}</definedName>
    <definedName name="_6__FDSAUDITLINK__" localSheetId="1"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__FDSAUDITLINK__" localSheetId="12"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67104010&amp;VAR:RCODE=SCSI&amp;VAR:SDATE=20080999&amp;VAR:FREQ=Quarterly&amp;VAR:RELITEM=RF&amp;VAR:CURRENCY=&amp;VAR:CURRSOURCE=EX","SHARE&amp;VAR:NATFREQ=QUARTERLY&amp;VAR:RFIELD=FINALIZED&amp;VAR:DB_TYPE=&amp;VAR:UNITS=M&amp;window=popup&amp;width=450&amp;height=300&amp;START_MAXIMIZED=FALSE"}</definedName>
    <definedName name="_60__FDSAUDITLINK__" localSheetId="1"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0__FDSAUDITLINK__" localSheetId="12"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0__FDSAUDITLINK__" hidden="1">{"fdsup://IBCentral/FAT Viewer?action=UPDATE&amp;creator=factset&amp;DOC_NAME=fat:reuters_annual_source_window.fat&amp;display_string=Audit&amp;DYN_ARGS=TRUE&amp;VAR:ID1=98302410&amp;VAR:RCODE=SGAFDS&amp;VAR:SDATE=20081299&amp;VAR:FREQ=CALENDAR_YEARLY&amp;VAR:RELITEM=RP&amp;VAR:CURRENCY=&amp;VAR:CURR","SOURCE=EXSHARE&amp;VAR:NATFREQ=ANNUAL&amp;VAR:RFIELD=FINALIZED&amp;VAR:DB_TYPE=&amp;VAR:UNITS=MONTHLY&amp;window=popup&amp;width=450&amp;height=300&amp;START_MAXIMIZED=FALSE"}</definedName>
    <definedName name="_61__FDSAUDITLINK__" localSheetId="1"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1__FDSAUDITLINK__" localSheetId="12"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1__FDSAUDITLINK__" hidden="1">{"fdsup://IBCentral/FAT Viewer?action=UPDATE&amp;creator=factset&amp;DOC_NAME=fat:reuters_annual_source_window.fat&amp;display_string=Audit&amp;DYN_ARGS=TRUE&amp;VAR:ID1=98302410&amp;VAR:RCODE=ERAD&amp;VAR:SDATE=20061299&amp;VAR:FREQ=Quarterly&amp;VAR:RELITEM=RP&amp;VAR:CURRENCY=&amp;VAR:CURRSOURCE=E","XSHARE&amp;VAR:NATFREQ=ANNUAL&amp;VAR:RFIELD=FINALIZED&amp;VAR:DB_TYPE=&amp;VAR:UNITS=M&amp;window=popup&amp;width=450&amp;height=300&amp;START_MAXIMIZED=FALSE"}</definedName>
    <definedName name="_62__FDSAUDITLINK__" localSheetId="1"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2__FDSAUDITLINK__" localSheetId="12"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2__FDSAUDITLINK__" hidden="1">{"fdsup://IBCentral/FAT Viewer?action=UPDATE&amp;creator=factset&amp;DOC_NAME=fat:reuters_annual_source_window.fat&amp;display_string=Audit&amp;DYN_ARGS=TRUE&amp;VAR:ID1=80660510&amp;VAR:RCODE=SGAFDS&amp;VAR:SDATE=20081299&amp;VAR:FREQ=CALENDAR_YEARLY&amp;VAR:RELITEM=RP&amp;VAR:CURRENCY=&amp;VAR:CURR","SOURCE=EXSHARE&amp;VAR:NATFREQ=ANNUAL&amp;VAR:RFIELD=FINALIZED&amp;VAR:DB_TYPE=&amp;VAR:UNITS=MONTHLY&amp;window=popup&amp;width=450&amp;height=300&amp;START_MAXIMIZED=FALSE"}</definedName>
    <definedName name="_63__FDSAUDITLINK__" localSheetId="1"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3__FDSAUDITLINK__" localSheetId="12"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3__FDSAUDITLINK__" hidden="1">{"fdsup://IBCentral/FAT Viewer?action=UPDATE&amp;creator=factset&amp;DOC_NAME=fat:reuters_annual_source_window.fat&amp;display_string=Audit&amp;DYN_ARGS=TRUE&amp;VAR:ID1=80660510&amp;VAR:RCODE=ERAD&amp;VAR:SDATE=20061299&amp;VAR:FREQ=Quarterly&amp;VAR:RELITEM=RP&amp;VAR:CURRENCY=&amp;VAR:CURRSOURCE=E","XSHARE&amp;VAR:NATFREQ=ANNUAL&amp;VAR:RFIELD=FINALIZED&amp;VAR:DB_TYPE=&amp;VAR:UNITS=M&amp;window=popup&amp;width=450&amp;height=300&amp;START_MAXIMIZED=FALSE"}</definedName>
    <definedName name="_64__FDSAUDITLINK__" localSheetId="1"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4__FDSAUDITLINK__" localSheetId="12"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4__FDSAUDITLINK__" hidden="1">{"fdsup://IBCentral/FAT Viewer?action=UPDATE&amp;creator=factset&amp;DOC_NAME=fat:reuters_annual_source_window.fat&amp;display_string=Audit&amp;DYN_ARGS=TRUE&amp;VAR:ID1=71708110&amp;VAR:RCODE=SGAFDS&amp;VAR:SDATE=20081299&amp;VAR:FREQ=CALENDAR_YEARLY&amp;VAR:RELITEM=RP&amp;VAR:CURRENCY=&amp;VAR:CURR","SOURCE=EXSHARE&amp;VAR:NATFREQ=ANNUAL&amp;VAR:RFIELD=FINALIZED&amp;VAR:DB_TYPE=&amp;VAR:UNITS=MONTHLY&amp;window=popup&amp;width=450&amp;height=300&amp;START_MAXIMIZED=FALSE"}</definedName>
    <definedName name="_65__FDSAUDITLINK__" localSheetId="1"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5__FDSAUDITLINK__" localSheetId="12"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5__FDSAUDITLINK__" hidden="1">{"fdsup://IBCentral/FAT Viewer?action=UPDATE&amp;creator=factset&amp;DOC_NAME=fat:reuters_annual_source_window.fat&amp;display_string=Audit&amp;DYN_ARGS=TRUE&amp;VAR:ID1=71708110&amp;VAR:RCODE=ERAD&amp;VAR:SDATE=20061299&amp;VAR:FREQ=Quarterly&amp;VAR:RELITEM=RP&amp;VAR:CURRENCY=&amp;VAR:CURRSOURCE=E","XSHARE&amp;VAR:NATFREQ=ANNUAL&amp;VAR:RFIELD=FINALIZED&amp;VAR:DB_TYPE=&amp;VAR:UNITS=M&amp;window=popup&amp;width=450&amp;height=300&amp;START_MAXIMIZED=FALSE"}</definedName>
    <definedName name="_66__FDSAUDITLINK__" localSheetId="1"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6__FDSAUDITLINK__" localSheetId="12"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6__FDSAUDITLINK__" hidden="1">{"fdsup://IBCentral/FAT Viewer?action=UPDATE&amp;creator=factset&amp;DOC_NAME=fat:reuters_annual_source_window.fat&amp;display_string=Audit&amp;DYN_ARGS=TRUE&amp;VAR:ID1=58933110&amp;VAR:RCODE=SGAFDS&amp;VAR:SDATE=20081299&amp;VAR:FREQ=CALENDAR_YEARLY&amp;VAR:RELITEM=RP&amp;VAR:CURRENCY=&amp;VAR:CURR","SOURCE=EXSHARE&amp;VAR:NATFREQ=ANNUAL&amp;VAR:RFIELD=FINALIZED&amp;VAR:DB_TYPE=&amp;VAR:UNITS=MONTHLY&amp;window=popup&amp;width=450&amp;height=300&amp;START_MAXIMIZED=FALSE"}</definedName>
    <definedName name="_67__FDSAUDITLINK__" localSheetId="1"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7__FDSAUDITLINK__" localSheetId="12"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7__FDSAUDITLINK__" hidden="1">{"fdsup://IBCentral/FAT Viewer?action=UPDATE&amp;creator=factset&amp;DOC_NAME=fat:reuters_annual_source_window.fat&amp;display_string=Audit&amp;DYN_ARGS=TRUE&amp;VAR:ID1=58933110&amp;VAR:RCODE=ERAD&amp;VAR:SDATE=20061299&amp;VAR:FREQ=Quarterly&amp;VAR:RELITEM=RP&amp;VAR:CURRENCY=&amp;VAR:CURRSOURCE=E","XSHARE&amp;VAR:NATFREQ=ANNUAL&amp;VAR:RFIELD=FINALIZED&amp;VAR:DB_TYPE=&amp;VAR:UNITS=M&amp;window=popup&amp;width=450&amp;height=300&amp;START_MAXIMIZED=FALSE"}</definedName>
    <definedName name="_68__FDSAUDITLINK__" localSheetId="1"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8__FDSAUDITLINK__" localSheetId="12"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8__FDSAUDITLINK__" hidden="1">{"fdsup://IBCentral/FAT Viewer?action=UPDATE&amp;creator=factset&amp;DOC_NAME=fat:reuters_annual_source_window.fat&amp;display_string=Audit&amp;DYN_ARGS=TRUE&amp;VAR:ID1=53245710&amp;VAR:RCODE=SGAFDS&amp;VAR:SDATE=20081299&amp;VAR:FREQ=CALENDAR_YEARLY&amp;VAR:RELITEM=RP&amp;VAR:CURRENCY=&amp;VAR:CURR","SOURCE=EXSHARE&amp;VAR:NATFREQ=ANNUAL&amp;VAR:RFIELD=FINALIZED&amp;VAR:DB_TYPE=&amp;VAR:UNITS=MONTHLY&amp;window=popup&amp;width=450&amp;height=300&amp;START_MAXIMIZED=FALSE"}</definedName>
    <definedName name="_69__FDSAUDITLINK__" localSheetId="1"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69__FDSAUDITLINK__" localSheetId="12"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69__FDSAUDITLINK__" hidden="1">{"fdsup://IBCentral/FAT Viewer?action=UPDATE&amp;creator=factset&amp;DOC_NAME=fat:reuters_annual_source_window.fat&amp;display_string=Audit&amp;DYN_ARGS=TRUE&amp;VAR:ID1=53245710&amp;VAR:RCODE=ERAD&amp;VAR:SDATE=20061299&amp;VAR:FREQ=Quarterly&amp;VAR:RELITEM=RP&amp;VAR:CURRENCY=&amp;VAR:CURRSOURCE=E","XSHARE&amp;VAR:NATFREQ=ANNUAL&amp;VAR:RFIELD=FINALIZED&amp;VAR:DB_TYPE=&amp;VAR:UNITS=M&amp;window=popup&amp;width=450&amp;height=300&amp;START_MAXIMIZED=FALSE"}</definedName>
    <definedName name="_7__FDSAUDITLINK__" localSheetId="1"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__FDSAUDITLINK__" localSheetId="12"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68339910&amp;VAR:RCODE=SCSI&amp;VAR:SDATE=20080999&amp;VAR:FREQ=Quarterly&amp;VAR:RELITEM=RF&amp;VAR:CURRENCY=&amp;VAR:CURRSOURCE=EX","SHARE&amp;VAR:NATFREQ=QUARTERLY&amp;VAR:RFIELD=FINALIZED&amp;VAR:DB_TYPE=&amp;VAR:UNITS=M&amp;window=popup&amp;width=450&amp;height=300&amp;START_MAXIMIZED=FALSE"}</definedName>
    <definedName name="_70__FDSAUDITLINK__" localSheetId="1"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0__FDSAUDITLINK__" localSheetId="12"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0__FDSAUDITLINK__" hidden="1">{"fdsup://IBCentral/FAT Viewer?action=UPDATE&amp;creator=factset&amp;DOC_NAME=fat:reuters_annual_source_window.fat&amp;display_string=Audit&amp;DYN_ARGS=TRUE&amp;VAR:ID1=11012210&amp;VAR:RCODE=SGAFDS&amp;VAR:SDATE=20081299&amp;VAR:FREQ=CALENDAR_YEARLY&amp;VAR:RELITEM=RP&amp;VAR:CURRENCY=&amp;VAR:CURR","SOURCE=EXSHARE&amp;VAR:NATFREQ=ANNUAL&amp;VAR:RFIELD=FINALIZED&amp;VAR:DB_TYPE=&amp;VAR:UNITS=MONTHLY&amp;window=popup&amp;width=450&amp;height=300&amp;START_MAXIMIZED=FALSE"}</definedName>
    <definedName name="_71__FDSAUDITLINK__" localSheetId="1"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1__FDSAUDITLINK__" localSheetId="12"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1__FDSAUDITLINK__" hidden="1">{"fdsup://IBCentral/FAT Viewer?action=UPDATE&amp;creator=factset&amp;DOC_NAME=fat:reuters_annual_source_window.fat&amp;display_string=Audit&amp;DYN_ARGS=TRUE&amp;VAR:ID1=11012210&amp;VAR:RCODE=ERAD&amp;VAR:SDATE=20061299&amp;VAR:FREQ=Quarterly&amp;VAR:RELITEM=RP&amp;VAR:CURRENCY=&amp;VAR:CURRSOURCE=E","XSHARE&amp;VAR:NATFREQ=ANNUAL&amp;VAR:RFIELD=FINALIZED&amp;VAR:DB_TYPE=&amp;VAR:UNITS=M&amp;window=popup&amp;width=450&amp;height=300&amp;START_MAXIMIZED=FALSE"}</definedName>
    <definedName name="_72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2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2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localSheetId="1"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localSheetId="12"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3__FDSAUDITLINK__" hidden="1">{"fdsup://IBCentral/FAT Viewer?action=UPDATE&amp;creator=factset&amp;DOC_NAME=fat:reuters_annual_source_window.fat&amp;display_string=Audit&amp;DYN_ARGS=TRUE&amp;VAR:ID1=98302410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4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localSheetId="1"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localSheetId="12"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5__FDSAUDITLINK__" hidden="1">{"fdsup://IBCentral/FAT Viewer?action=UPDATE&amp;creator=factset&amp;DOC_NAME=fat:reuters_annual_source_window.fat&amp;display_string=Audit&amp;DYN_ARGS=TRUE&amp;VAR:ID1=80660510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6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localSheetId="1"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localSheetId="12"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7__FDSAUDITLINK__" hidden="1">{"fdsup://IBCentral/FAT Viewer?action=UPDATE&amp;creator=factset&amp;DOC_NAME=fat:reuters_annual_source_window.fat&amp;display_string=Audit&amp;DYN_ARGS=TRUE&amp;VAR:ID1=71708110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8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localSheetId="1"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localSheetId="12"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79__FDSAUDITLINK__" hidden="1">{"fdsup://IBCentral/FAT Viewer?action=UPDATE&amp;creator=factset&amp;DOC_NAME=fat:reuters_annual_source_window.fat&amp;display_string=Audit&amp;DYN_ARGS=TRUE&amp;VAR:ID1=58933110&amp;VAR:RCODE=SREV&amp;VAR:SDATE=20071299&amp;VAR:FREQ=CALENDAR_YEARLY&amp;VAR:RELITEM=RP&amp;VAR:CURRENCY=&amp;VAR:CURRSO","URCE=EXSHARE&amp;VAR:NATFREQ=ANNUAL&amp;VAR:RFIELD=FINALIZED&amp;VAR:DB_TYPE=&amp;VAR:UNITS=MONTHLY&amp;window=popup&amp;width=450&amp;height=300&amp;START_MAXIMIZED=FALSE"}</definedName>
    <definedName name="_8__FDSAUDITLINK__" localSheetId="1"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__FDSAUDITLINK__" localSheetId="12"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59990210&amp;VAR:RCODE=SCSI&amp;VAR:SDATE=20080399&amp;VAR:FREQ=Quarterly&amp;VAR:RELITEM=RF&amp;VAR:CURRENCY=&amp;VAR:CURRSOURCE=EX","SHARE&amp;VAR:NATFREQ=QUARTERLY&amp;VAR:RFIELD=FINALIZED&amp;VAR:DB_TYPE=&amp;VAR:UNITS=M&amp;window=popup&amp;width=450&amp;height=300&amp;START_MAXIMIZED=FALSE"}</definedName>
    <definedName name="_80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0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0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localSheetId="1"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localSheetId="12"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1__FDSAUDITLINK__" hidden="1">{"fdsup://IBCentral/FAT Viewer?action=UPDATE&amp;creator=factset&amp;DOC_NAME=fat:reuters_annual_source_window.fat&amp;display_string=Audit&amp;DYN_ARGS=TRUE&amp;VAR:ID1=53245710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2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localSheetId="1"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localSheetId="12"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3__FDSAUDITLINK__" hidden="1">{"fdsup://IBCentral/FAT Viewer?action=UPDATE&amp;creator=factset&amp;DOC_NAME=fat:reuters_annual_source_window.fat&amp;display_string=Audit&amp;DYN_ARGS=TRUE&amp;VAR:ID1=11012210&amp;VAR:RCODE=SREV&amp;VAR:SDATE=20071299&amp;VAR:FREQ=CALENDAR_YEARLY&amp;VAR:RELITEM=RP&amp;VAR:CURRENCY=&amp;VAR:CURRSO","URCE=EXSHARE&amp;VAR:NATFREQ=ANNUAL&amp;VAR:RFIELD=FINALIZED&amp;VAR:DB_TYPE=&amp;VAR:UNITS=MONTHLY&amp;window=popup&amp;width=450&amp;height=300&amp;START_MAXIMIZED=FALSE"}</definedName>
    <definedName name="_84__FDSAUDITLINK__" localSheetId="1"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4__FDSAUDITLINK__" localSheetId="12"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4__FDSAUDITLINK__" hidden="1">{"fdsup://IBCentral/FAT Viewer?action=UPDATE&amp;creator=factset&amp;DOC_NAME=fat:reuters_annual_source_window.fat&amp;display_string=Audit&amp;DYN_ARGS=TRUE&amp;VAR:ID1=37291710&amp;VAR:RCODE=NIBX&amp;VAR:SDATE=20081299&amp;VAR:FREQ=FISCAL_YEARLY&amp;VAR:RELITEM=NOAUDIT&amp;VAR:CURRENCY=&amp;VAR:CUR","RSOURCE=EXSHARE&amp;VAR:NATFREQ=ANNUAL&amp;VAR:RFIELD=FINALIZED&amp;VAR:DB_TYPE=&amp;VAR:UNITS=M&amp;window=popup&amp;width=450&amp;height=300&amp;START_MAXIMIZED=FALSE"}</definedName>
    <definedName name="_85__FDSAUDITLINK__" localSheetId="1"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5__FDSAUDITLINK__" localSheetId="12"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5__FDSAUDITLINK__" hidden="1">{"fdsup://IBCentral/FAT Viewer?action=UPDATE&amp;creator=factset&amp;DOC_NAME=fat:reuters_annual_source_window.fat&amp;display_string=Audit&amp;DYN_ARGS=TRUE&amp;VAR:ID1=37291710&amp;VAR:RCODE=EIBT&amp;VAR:SDATE=20081299&amp;VAR:FREQ=FISCAL_YEARLY&amp;VAR:RELITEM=NOAUDIT&amp;VAR:CURRENCY=&amp;VAR:CUR","RSOURCE=EXSHARE&amp;VAR:NATFREQ=ANNUAL&amp;VAR:RFIELD=FINALIZED&amp;VAR:DB_TYPE=&amp;VAR:UNITS=M&amp;window=popup&amp;width=450&amp;height=300&amp;START_MAXIMIZED=FALSE"}</definedName>
    <definedName name="_86__FDSAUDITLINK__" localSheetId="1"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6__FDSAUDITLINK__" localSheetId="12"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6__FDSAUDITLINK__" hidden="1">{"fdsup://IBCentral/FAT Viewer?action=UPDATE&amp;creator=factset&amp;DOC_NAME=fat:reuters_annual_source_window.fat&amp;display_string=Audit&amp;DYN_ARGS=TRUE&amp;VAR:ID1=36871040&amp;VAR:RCODE=NIBX&amp;VAR:SDATE=20081299&amp;VAR:FREQ=FISCAL_YEARLY&amp;VAR:RELITEM=NOAUDIT&amp;VAR:CURRENCY=&amp;VAR:CUR","RSOURCE=EXSHARE&amp;VAR:NATFREQ=ANNUAL&amp;VAR:RFIELD=FINALIZED&amp;VAR:DB_TYPE=&amp;VAR:UNITS=M&amp;window=popup&amp;width=450&amp;height=300&amp;START_MAXIMIZED=FALSE"}</definedName>
    <definedName name="_87__FDSAUDITLINK__" localSheetId="1"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7__FDSAUDITLINK__" localSheetId="12"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7__FDSAUDITLINK__" hidden="1">{"fdsup://IBCentral/FAT Viewer?action=UPDATE&amp;creator=factset&amp;DOC_NAME=fat:reuters_annual_source_window.fat&amp;display_string=Audit&amp;DYN_ARGS=TRUE&amp;VAR:ID1=36871040&amp;VAR:RCODE=EIBT&amp;VAR:SDATE=20081299&amp;VAR:FREQ=FISCAL_YEARLY&amp;VAR:RELITEM=NOAUDIT&amp;VAR:CURRENCY=&amp;VAR:CUR","RSOURCE=EXSHARE&amp;VAR:NATFREQ=ANNUAL&amp;VAR:RFIELD=FINALIZED&amp;VAR:DB_TYPE=&amp;VAR:UNITS=M&amp;window=popup&amp;width=450&amp;height=300&amp;START_MAXIMIZED=FALSE"}</definedName>
    <definedName name="_88__FDSAUDITLINK__" localSheetId="1"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8__FDSAUDITLINK__" localSheetId="12"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8__FDSAUDITLINK__" hidden="1">{"fdsup://IBCentral/FAT Viewer?action=UPDATE&amp;creator=factset&amp;DOC_NAME=fat:reuters_annual_source_window.fat&amp;display_string=Audit&amp;DYN_ARGS=TRUE&amp;VAR:ID1=15102010&amp;VAR:RCODE=NIBX&amp;VAR:SDATE=20081299&amp;VAR:FREQ=FISCAL_YEARLY&amp;VAR:RELITEM=NOAUDIT&amp;VAR:CURRENCY=&amp;VAR:CUR","RSOURCE=EXSHARE&amp;VAR:NATFREQ=ANNUAL&amp;VAR:RFIELD=FINALIZED&amp;VAR:DB_TYPE=&amp;VAR:UNITS=M&amp;window=popup&amp;width=450&amp;height=300&amp;START_MAXIMIZED=FALSE"}</definedName>
    <definedName name="_89__FDSAUDITLINK__" localSheetId="1"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89__FDSAUDITLINK__" localSheetId="12"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89__FDSAUDITLINK__" hidden="1">{"fdsup://IBCentral/FAT Viewer?action=UPDATE&amp;creator=factset&amp;DOC_NAME=fat:reuters_annual_source_window.fat&amp;display_string=Audit&amp;DYN_ARGS=TRUE&amp;VAR:ID1=15102010&amp;VAR:RCODE=EIBT&amp;VAR:SDATE=20081299&amp;VAR:FREQ=FISCAL_YEARLY&amp;VAR:RELITEM=NOAUDIT&amp;VAR:CURRENCY=&amp;VAR:CUR","RSOURCE=EXSHARE&amp;VAR:NATFREQ=ANNUAL&amp;VAR:RFIELD=FINALIZED&amp;VAR:DB_TYPE=&amp;VAR:UNITS=M&amp;window=popup&amp;width=450&amp;height=300&amp;START_MAXIMIZED=FALSE"}</definedName>
    <definedName name="_9__FDSAUDITLINK__" localSheetId="1"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__FDSAUDITLINK__" localSheetId="12"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55288010&amp;VAR:RCODE=SCSI&amp;VAR:SDATE=20070999&amp;VAR:FREQ=Quarterly&amp;VAR:RELITEM=RF&amp;VAR:CURRENCY=&amp;VAR:CURRSOURCE=EX","SHARE&amp;VAR:NATFREQ=QUARTERLY&amp;VAR:RFIELD=FINALIZED&amp;VAR:DB_TYPE=&amp;VAR:UNITS=M&amp;window=popup&amp;width=450&amp;height=300&amp;START_MAXIMIZED=FALSE"}</definedName>
    <definedName name="_90__FDSAUDITLINK__" localSheetId="1"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0__FDSAUDITLINK__" localSheetId="12"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0__FDSAUDITLINK__" hidden="1">{"fdsup://IBCentral/FAT Viewer?action=UPDATE&amp;creator=factset&amp;DOC_NAME=fat:reuters_annual_source_window.fat&amp;display_string=Audit&amp;DYN_ARGS=TRUE&amp;VAR:ID1=09062X10&amp;VAR:RCODE=NIBX&amp;VAR:SDATE=20081299&amp;VAR:FREQ=FISCAL_YEARLY&amp;VAR:RELITEM=NOAUDIT&amp;VAR:CURRENCY=&amp;VAR:CUR","RSOURCE=EXSHARE&amp;VAR:NATFREQ=ANNUAL&amp;VAR:RFIELD=FINALIZED&amp;VAR:DB_TYPE=&amp;VAR:UNITS=M&amp;window=popup&amp;width=450&amp;height=300&amp;START_MAXIMIZED=FALSE"}</definedName>
    <definedName name="_91__FDSAUDITLINK__" localSheetId="1"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1__FDSAUDITLINK__" localSheetId="12"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1__FDSAUDITLINK__" hidden="1">{"fdsup://IBCentral/FAT Viewer?action=UPDATE&amp;creator=factset&amp;DOC_NAME=fat:reuters_annual_source_window.fat&amp;display_string=Audit&amp;DYN_ARGS=TRUE&amp;VAR:ID1=09062X10&amp;VAR:RCODE=EIBT&amp;VAR:SDATE=20081299&amp;VAR:FREQ=FISCAL_YEARLY&amp;VAR:RELITEM=NOAUDIT&amp;VAR:CURRENCY=&amp;VAR:CUR","RSOURCE=EXSHARE&amp;VAR:NATFREQ=ANNUAL&amp;VAR:RFIELD=FINALIZED&amp;VAR:DB_TYPE=&amp;VAR:UNITS=M&amp;window=popup&amp;width=450&amp;height=300&amp;START_MAXIMIZED=FALSE"}</definedName>
    <definedName name="_92__FDSAUDITLINK__" localSheetId="1"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2__FDSAUDITLINK__" localSheetId="12"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2__FDSAUDITLINK__" hidden="1">{"fdsup://IBCentral/FAT Viewer?action=UPDATE&amp;creator=factset&amp;DOC_NAME=fat:reuters_annual_source_window.fat&amp;display_string=Audit&amp;DYN_ARGS=TRUE&amp;VAR:ID1=03116210&amp;VAR:RCODE=NIBX&amp;VAR:SDATE=20081299&amp;VAR:FREQ=FISCAL_YEARLY&amp;VAR:RELITEM=NOAUDIT&amp;VAR:CURRENCY=&amp;VAR:CUR","RSOURCE=EXSHARE&amp;VAR:NATFREQ=ANNUAL&amp;VAR:RFIELD=FINALIZED&amp;VAR:DB_TYPE=&amp;VAR:UNITS=M&amp;window=popup&amp;width=450&amp;height=300&amp;START_MAXIMIZED=FALSE"}</definedName>
    <definedName name="_93__FDSAUDITLINK__" localSheetId="1"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3__FDSAUDITLINK__" localSheetId="12"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3__FDSAUDITLINK__" hidden="1">{"fdsup://IBCentral/FAT Viewer?action=UPDATE&amp;creator=factset&amp;DOC_NAME=fat:reuters_annual_source_window.fat&amp;display_string=Audit&amp;DYN_ARGS=TRUE&amp;VAR:ID1=03116210&amp;VAR:RCODE=EIBT&amp;VAR:SDATE=20081299&amp;VAR:FREQ=FISCAL_YEARLY&amp;VAR:RELITEM=NOAUDIT&amp;VAR:CURRENCY=&amp;VAR:CUR","RSOURCE=EXSHARE&amp;VAR:NATFREQ=ANNUAL&amp;VAR:RFIELD=FINALIZED&amp;VAR:DB_TYPE=&amp;VAR:UNITS=M&amp;window=popup&amp;width=450&amp;height=300&amp;START_MAXIMIZED=FALSE"}</definedName>
    <definedName name="_94__FDSAUDITLINK__" localSheetId="1"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4__FDSAUDITLINK__" localSheetId="12"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4__FDSAUDITLINK__" hidden="1">{"fdsup://IBCentral/FAT Viewer?action=UPDATE&amp;creator=factset&amp;DOC_NAME=fat:reuters_annual_source_window.fat&amp;display_string=Audit&amp;DYN_ARGS=TRUE&amp;VAR:ID1=37291710&amp;VAR:RCODE=SGAFDS&amp;VAR:SDATE=20081299&amp;VAR:FREQ=FISCAL_YEARLY&amp;VAR:RELITEM=NOAUDIT&amp;VAR:CURRENCY=&amp;VAR:C","URRSOURCE=EXSHARE&amp;VAR:NATFREQ=ANNUAL&amp;VAR:RFIELD=FINALIZED&amp;VAR:DB_TYPE=&amp;VAR:UNITS=M&amp;window=popup&amp;width=450&amp;height=300&amp;START_MAXIMIZED=FALSE"}</definedName>
    <definedName name="_95__FDSAUDITLINK__" localSheetId="1"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5__FDSAUDITLINK__" localSheetId="12"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5__FDSAUDITLINK__" hidden="1">{"fdsup://IBCentral/FAT Viewer?action=UPDATE&amp;creator=factset&amp;DOC_NAME=fat:reuters_annual_source_window.fat&amp;display_string=Audit&amp;DYN_ARGS=TRUE&amp;VAR:ID1=37291710&amp;VAR:RCODE=ERAD&amp;VAR:SDATE=20071299&amp;VAR:FREQ=Quarterly&amp;VAR:RELITEM=RP&amp;VAR:CURRENCY=&amp;VAR:CURRSOURCE=E","XSHARE&amp;VAR:NATFREQ=ANNUAL&amp;VAR:RFIELD=FINALIZED&amp;VAR:DB_TYPE=&amp;VAR:UNITS=M&amp;window=popup&amp;width=450&amp;height=300&amp;START_MAXIMIZED=FALSE"}</definedName>
    <definedName name="_96__FDSAUDITLINK__" localSheetId="1"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6__FDSAUDITLINK__" localSheetId="12"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6__FDSAUDITLINK__" hidden="1">{"fdsup://IBCentral/FAT Viewer?action=UPDATE&amp;creator=factset&amp;DOC_NAME=fat:reuters_annual_source_window.fat&amp;display_string=Audit&amp;DYN_ARGS=TRUE&amp;VAR:ID1=36871040&amp;VAR:RCODE=SGAFDS&amp;VAR:SDATE=20081299&amp;VAR:FREQ=FISCAL_YEARLY&amp;VAR:RELITEM=NOAUDIT&amp;VAR:CURRENCY=&amp;VAR:C","URRSOURCE=EXSHARE&amp;VAR:NATFREQ=ANNUAL&amp;VAR:RFIELD=FINALIZED&amp;VAR:DB_TYPE=&amp;VAR:UNITS=M&amp;window=popup&amp;width=450&amp;height=300&amp;START_MAXIMIZED=FALSE"}</definedName>
    <definedName name="_97__FDSAUDITLINK__" localSheetId="1"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7__FDSAUDITLINK__" localSheetId="12"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7__FDSAUDITLINK__" hidden="1">{"fdsup://IBCentral/FAT Viewer?action=UPDATE&amp;creator=factset&amp;DOC_NAME=fat:reuters_annual_source_window.fat&amp;display_string=Audit&amp;DYN_ARGS=TRUE&amp;VAR:ID1=36871040&amp;VAR:RCODE=ERAD&amp;VAR:SDATE=20071299&amp;VAR:FREQ=Quarterly&amp;VAR:RELITEM=RP&amp;VAR:CURRENCY=&amp;VAR:CURRSOURCE=E","XSHARE&amp;VAR:NATFREQ=ANNUAL&amp;VAR:RFIELD=FINALIZED&amp;VAR:DB_TYPE=&amp;VAR:UNITS=M&amp;window=popup&amp;width=450&amp;height=300&amp;START_MAXIMIZED=FALSE"}</definedName>
    <definedName name="_98__FDSAUDITLINK__" localSheetId="1"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8__FDSAUDITLINK__" localSheetId="12"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8__FDSAUDITLINK__" hidden="1">{"fdsup://IBCentral/FAT Viewer?action=UPDATE&amp;creator=factset&amp;DOC_NAME=fat:reuters_annual_source_window.fat&amp;display_string=Audit&amp;DYN_ARGS=TRUE&amp;VAR:ID1=36871040&amp;VAR:RCODE=COGSFDS&amp;VAR:SDATE=20081299&amp;VAR:FREQ=FISCAL_YEARLY&amp;VAR:RELITEM=NOAUDIT&amp;VAR:CURRENCY=&amp;VAR:","CURRSOURCE=EXSHARE&amp;VAR:NATFREQ=ANNUAL&amp;VAR:RFIELD=FINALIZED&amp;VAR:DB_TYPE=&amp;VAR:UNITS=M&amp;window=popup&amp;width=450&amp;height=300&amp;START_MAXIMIZED=FALSE"}</definedName>
    <definedName name="_99__FDSAUDITLINK__" localSheetId="1"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99__FDSAUDITLINK__" localSheetId="12"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99__FDSAUDITLINK__" hidden="1">{"fdsup://IBCentral/FAT Viewer?action=UPDATE&amp;creator=factset&amp;DOC_NAME=fat:reuters_annual_source_window.fat&amp;display_string=Audit&amp;DYN_ARGS=TRUE&amp;VAR:ID1=15102010&amp;VAR:RCODE=SGAFDS&amp;VAR:SDATE=20081299&amp;VAR:FREQ=FISCAL_YEARLY&amp;VAR:RELITEM=NOAUDIT&amp;VAR:CURRENCY=&amp;VAR:C","URRSOURCE=EXSHARE&amp;VAR:NATFREQ=ANNUAL&amp;VAR:RFIELD=FINALIZED&amp;VAR:DB_TYPE=&amp;VAR:UNITS=M&amp;window=popup&amp;width=450&amp;height=300&amp;START_MAXIMIZED=FALSE"}</definedName>
    <definedName name="_bdm.048F4163A7BB4186891DC124FB3B9E66.edm" localSheetId="1" hidden="1">#REF!</definedName>
    <definedName name="_bdm.048F4163A7BB4186891DC124FB3B9E66.edm" hidden="1">#REF!</definedName>
    <definedName name="_bdm.1F44C2719DA14F659F704562A1FA299F.edm" hidden="1">#REF!</definedName>
    <definedName name="_bdm.3CC90336AE594B0CBE7317C53C0D66DD.edm" localSheetId="12" hidden="1">#REF!</definedName>
    <definedName name="_bdm.3CC90336AE594B0CBE7317C53C0D66DD.edm" hidden="1">#REF!</definedName>
    <definedName name="_bdm.3FECBA13036545C79B9A473AA4E3CAED.edm" localSheetId="12" hidden="1">#REF!</definedName>
    <definedName name="_bdm.3FECBA13036545C79B9A473AA4E3CAED.edm" hidden="1">#REF!</definedName>
    <definedName name="_bdm.73E75839B59247D78AD12A7ABF451BA5.edm" hidden="1">#REF!</definedName>
    <definedName name="_bdm.7FBEF194B5BA46DFA3B933CD3427EC58.edm" hidden="1">#REF!</definedName>
    <definedName name="_bdm.BCA692EA8DA14CC58B63708772023CBC.edm" hidden="1">#REF!</definedName>
    <definedName name="_bdm.C0347D30F6BF45AEBD63CCD154CEE0AD.edm" hidden="1">#REF!</definedName>
    <definedName name="_bdm.E28D35AE01074B6AABC3B4E5C342C03C.edm" hidden="1">#REF!</definedName>
    <definedName name="_bdm.E864B66E57E74C0EB40A376B78AF6FEA.edm" hidden="1">#REF!</definedName>
    <definedName name="_bdm.EA045FB496D640C0A0C8827BE7A127C9.edm" hidden="1">#REF!</definedName>
    <definedName name="_bdm.EB10CA33154A48478593B52CEC155E75.edm" hidden="1">#REF!</definedName>
    <definedName name="_bdm.FastTrackBookmark.2_10_2020_3_10_44_PM.edm" hidden="1">#REF!</definedName>
    <definedName name="_bdm.FastTrackBookmark.6_25_2018_5_35_02_PM.edm" hidden="1">#REF!</definedName>
    <definedName name="_bdm.FastTrackBookmark.6_25_2018_5_35_03_PM.edm" hidden="1">#REF!</definedName>
    <definedName name="_bdm.FastTrackBookmark.6_25_2018_5_58_22_PM.edm" hidden="1">#REF!</definedName>
    <definedName name="_bdm.FastTrackBookmark.6_25_2018_5_58_23_PM.edm" hidden="1">#REF!</definedName>
    <definedName name="_bdm.FastTrackBookmark.7_10_2018_7_55_23_AM.edm" hidden="1">#REF!</definedName>
    <definedName name="_bdm.FastTrackBookmark.7_10_2018_7_55_24_AM.edm" hidden="1">#REF!</definedName>
    <definedName name="_bdm.FastTrackBookmark.7_18_2018_5_21_19_PM.edm" localSheetId="1" hidden="1">#REF!</definedName>
    <definedName name="_bdm.FastTrackBookmark.7_18_2018_5_21_19_PM.edm" hidden="1">#REF!</definedName>
    <definedName name="_bdm.FastTrackBookmark.7_23_2018_12_53_46_PM.edm" localSheetId="1" hidden="1">#REF!</definedName>
    <definedName name="_bdm.FastTrackBookmark.7_23_2018_12_53_46_PM.edm" hidden="1">#REF!</definedName>
    <definedName name="_bdm.FastTrackBookmark.8_6_2018_9_41_25_AM.edm" localSheetId="1" hidden="1">#REF!</definedName>
    <definedName name="_bdm.FastTrackBookmark.8_6_2018_9_41_25_AM.edm" localSheetId="12" hidden="1">#REF!</definedName>
    <definedName name="_bdm.FastTrackBookmark.8_6_2018_9_41_25_AM.edm" hidden="1">SOTP!#REF!</definedName>
    <definedName name="_bdm.FastTrackBookmark.9_30_2018_10_38_18_PM.edm" hidden="1">#REF!</definedName>
    <definedName name="_bdm.FDE6024C030747E9950ABE40BD19625D.edm" localSheetId="12" hidden="1">#REF!</definedName>
    <definedName name="_bdm.FDE6024C030747E9950ABE40BD19625D.edm" hidden="1">#REF!</definedName>
    <definedName name="_EPS06" localSheetId="1">#REF!</definedName>
    <definedName name="_EPS06">#REF!</definedName>
    <definedName name="_EPS07" localSheetId="1">#REF!</definedName>
    <definedName name="_EPS07">#REF!</definedName>
    <definedName name="_Key1" localSheetId="1">#REF!</definedName>
    <definedName name="_Key1">#REF!</definedName>
    <definedName name="_Order1">0</definedName>
    <definedName name="_rev06" localSheetId="1">#REF!</definedName>
    <definedName name="_rev06">#REF!</definedName>
    <definedName name="_rev07" localSheetId="1">#REF!</definedName>
    <definedName name="_rev07">#REF!</definedName>
    <definedName name="_rev96" localSheetId="1">#REF!</definedName>
    <definedName name="_rev96">#REF!</definedName>
    <definedName name="_rev97" localSheetId="1">#REF!</definedName>
    <definedName name="_rev97">#REF!</definedName>
    <definedName name="_Sort" localSheetId="1">#REF!</definedName>
    <definedName name="_Sort">#REF!</definedName>
    <definedName name="aas" localSheetId="12">#REF!</definedName>
    <definedName name="aas">#REF!</definedName>
    <definedName name="admissions0302" localSheetId="1">#REF!</definedName>
    <definedName name="admissions0302">#REF!</definedName>
    <definedName name="Argentina" localSheetId="12">#REF!</definedName>
    <definedName name="Argentina">#REF!</definedName>
    <definedName name="ash"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h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balsheet">#REF!</definedName>
    <definedName name="beds00" localSheetId="1">#REF!</definedName>
    <definedName name="beds00">#REF!</definedName>
    <definedName name="beds01" localSheetId="1">#REF!</definedName>
    <definedName name="beds01">#REF!</definedName>
    <definedName name="beds02" localSheetId="1">#REF!</definedName>
    <definedName name="beds02">#REF!</definedName>
    <definedName name="beds03" localSheetId="1">#REF!</definedName>
    <definedName name="beds03">#REF!</definedName>
    <definedName name="beds0304" localSheetId="1">#REF!</definedName>
    <definedName name="beds0304">#REF!</definedName>
    <definedName name="beds04" localSheetId="1">#REF!</definedName>
    <definedName name="beds04">#REF!</definedName>
    <definedName name="BEDS05" localSheetId="1">#REF!</definedName>
    <definedName name="BEDS05">#REF!</definedName>
    <definedName name="beds0903" localSheetId="1">#REF!</definedName>
    <definedName name="beds0903">#REF!</definedName>
    <definedName name="beds1203" localSheetId="1">#REF!</definedName>
    <definedName name="beds1203">#REF!</definedName>
    <definedName name="beds98" localSheetId="1">#REF!</definedName>
    <definedName name="beds98">#REF!</definedName>
    <definedName name="beds99" localSheetId="1">#REF!</definedName>
    <definedName name="beds99">#REF!</definedName>
    <definedName name="bkval00" localSheetId="1">#REF!</definedName>
    <definedName name="bkval00">#REF!</definedName>
    <definedName name="bkval01" localSheetId="1">#REF!</definedName>
    <definedName name="bkval01">#REF!</definedName>
    <definedName name="bkval02" localSheetId="1">#REF!</definedName>
    <definedName name="bkval02">#REF!</definedName>
    <definedName name="bkval03" localSheetId="1">#REF!</definedName>
    <definedName name="bkval03">#REF!</definedName>
    <definedName name="bkval04" localSheetId="1">#REF!</definedName>
    <definedName name="bkval04">#REF!</definedName>
    <definedName name="bkval05" localSheetId="1">#REF!</definedName>
    <definedName name="bkval05">#REF!</definedName>
    <definedName name="bkval98" localSheetId="1">#REF!</definedName>
    <definedName name="bkval98">#REF!</definedName>
    <definedName name="bkval99" localSheetId="1">#REF!</definedName>
    <definedName name="bkval99">#REF!</definedName>
    <definedName name="BLPH1" localSheetId="1" hidden="1">#REF!</definedName>
    <definedName name="BLPH1" localSheetId="12" hidden="1">#REF!</definedName>
    <definedName name="BLPH1" hidden="1">#REF!</definedName>
    <definedName name="BlueMatrixPush" localSheetId="12">#REF!</definedName>
    <definedName name="BlueMatrixPush">#REF!</definedName>
    <definedName name="BM">#REF!</definedName>
    <definedName name="ca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ash0304" localSheetId="1">#REF!</definedName>
    <definedName name="cash0304">#REF!</definedName>
    <definedName name="cash0903" localSheetId="1">#REF!</definedName>
    <definedName name="cash0903">#REF!</definedName>
    <definedName name="cash1203" localSheetId="1">#REF!</definedName>
    <definedName name="cash1203">#REF!</definedName>
    <definedName name="cashflow" localSheetId="12">#REF!</definedName>
    <definedName name="cashflow">#REF!</definedName>
    <definedName name="CBWorkbookPriority" hidden="1">-802538173</definedName>
    <definedName name="cfps00" localSheetId="1">#REF!</definedName>
    <definedName name="cfps00">#REF!</definedName>
    <definedName name="cfps01" localSheetId="1">#REF!</definedName>
    <definedName name="cfps01">#REF!</definedName>
    <definedName name="cfps02" localSheetId="1">#REF!</definedName>
    <definedName name="cfps02">#REF!</definedName>
    <definedName name="cfps03" localSheetId="1">#REF!</definedName>
    <definedName name="cfps03">#REF!</definedName>
    <definedName name="cfps04" localSheetId="1">#REF!</definedName>
    <definedName name="cfps04">#REF!</definedName>
    <definedName name="cfps05" localSheetId="1">#REF!</definedName>
    <definedName name="cfps05">#REF!</definedName>
    <definedName name="cfps06" localSheetId="1">#REF!</definedName>
    <definedName name="cfps06">#REF!</definedName>
    <definedName name="cfps98" localSheetId="1">#REF!</definedName>
    <definedName name="cfps98">#REF!</definedName>
    <definedName name="cfps99" localSheetId="1">#REF!</definedName>
    <definedName name="cfps99">#REF!</definedName>
    <definedName name="Charts1" localSheetId="12">#REF!</definedName>
    <definedName name="Charts1">#REF!</definedName>
    <definedName name="Charts2" localSheetId="12">#REF!</definedName>
    <definedName name="Charts2">#REF!</definedName>
    <definedName name="Chile1" localSheetId="12">#REF!</definedName>
    <definedName name="Chile1">#REF!</definedName>
    <definedName name="Chile2">#REF!</definedName>
    <definedName name="CIQWBGuid" localSheetId="12" hidden="1">"eafb5a60-bba5-4c16-974a-b0a605fc6db0"</definedName>
    <definedName name="CIQWBGuid" hidden="1">"AMGN projection modelv2.xlsx"</definedName>
    <definedName name="Closed_End">#REF!</definedName>
    <definedName name="CNS" localSheetId="1">#REF!</definedName>
    <definedName name="CNS">#REF!</definedName>
    <definedName name="co" localSheetId="1">#REF!</definedName>
    <definedName name="co">#REF!</definedName>
    <definedName name="Combivir" localSheetId="12">#REF!</definedName>
    <definedName name="Combivir">#REF!</definedName>
    <definedName name="Consensu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onsensus"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onsensu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_xlnm.Criteria">#REF!</definedName>
    <definedName name="cycfps00" localSheetId="1">#REF!</definedName>
    <definedName name="cycfps00">#REF!</definedName>
    <definedName name="cycfps01" localSheetId="1">#REF!</definedName>
    <definedName name="cycfps01">#REF!</definedName>
    <definedName name="cycfps02" localSheetId="1">#REF!</definedName>
    <definedName name="cycfps02">#REF!</definedName>
    <definedName name="cycfps03" localSheetId="1">#REF!</definedName>
    <definedName name="cycfps03">#REF!</definedName>
    <definedName name="cycfps04" localSheetId="1">#REF!</definedName>
    <definedName name="cycfps04">#REF!</definedName>
    <definedName name="cycfps05" localSheetId="1">#REF!</definedName>
    <definedName name="cycfps05">#REF!</definedName>
    <definedName name="cycfps06" localSheetId="1">#REF!</definedName>
    <definedName name="cycfps06">#REF!</definedName>
    <definedName name="cycfps07" localSheetId="1">#REF!</definedName>
    <definedName name="cycfps07">#REF!</definedName>
    <definedName name="cyebitda00" localSheetId="1">#REF!</definedName>
    <definedName name="cyebitda00">#REF!</definedName>
    <definedName name="cyebitda01" localSheetId="1">#REF!</definedName>
    <definedName name="cyebitda01">#REF!</definedName>
    <definedName name="cyebitda02" localSheetId="1">#REF!</definedName>
    <definedName name="cyebitda02">#REF!</definedName>
    <definedName name="cyebitda03" localSheetId="1">#REF!</definedName>
    <definedName name="cyebitda03">#REF!</definedName>
    <definedName name="cyebitda04" localSheetId="1">#REF!</definedName>
    <definedName name="cyebitda04">#REF!</definedName>
    <definedName name="cyebitda05" localSheetId="1">#REF!</definedName>
    <definedName name="cyebitda05">#REF!</definedName>
    <definedName name="cyebitda06" localSheetId="1">#REF!</definedName>
    <definedName name="cyebitda06">#REF!</definedName>
    <definedName name="cyebitda07" localSheetId="1">#REF!</definedName>
    <definedName name="cyebitda07">#REF!</definedName>
    <definedName name="cyeps00" localSheetId="1">#REF!</definedName>
    <definedName name="cyeps00">#REF!</definedName>
    <definedName name="cyeps01" localSheetId="1">#REF!</definedName>
    <definedName name="cyeps01">#REF!</definedName>
    <definedName name="cyeps02" localSheetId="1">#REF!</definedName>
    <definedName name="cyeps02">#REF!</definedName>
    <definedName name="cyeps03" localSheetId="1">#REF!</definedName>
    <definedName name="cyeps03">#REF!</definedName>
    <definedName name="cyeps04" localSheetId="1">#REF!</definedName>
    <definedName name="cyeps04">#REF!</definedName>
    <definedName name="cyeps05" localSheetId="1">#REF!</definedName>
    <definedName name="cyeps05">#REF!</definedName>
    <definedName name="cyeps06" localSheetId="1">#REF!</definedName>
    <definedName name="cyeps06">#REF!</definedName>
    <definedName name="cyfcfps00" localSheetId="1">#REF!</definedName>
    <definedName name="cyfcfps00">#REF!</definedName>
    <definedName name="cyfcfps01" localSheetId="1">#REF!</definedName>
    <definedName name="cyfcfps01">#REF!</definedName>
    <definedName name="cyfcfps02" localSheetId="1">#REF!</definedName>
    <definedName name="cyfcfps02">#REF!</definedName>
    <definedName name="cyfcfps03" localSheetId="1">#REF!</definedName>
    <definedName name="cyfcfps03">#REF!</definedName>
    <definedName name="cyfcfps04" localSheetId="1">#REF!</definedName>
    <definedName name="cyfcfps04">#REF!</definedName>
    <definedName name="cyfcfps05" localSheetId="1">#REF!</definedName>
    <definedName name="cyfcfps05">#REF!</definedName>
    <definedName name="cyfcfps06" localSheetId="1">#REF!</definedName>
    <definedName name="cyfcfps06">#REF!</definedName>
    <definedName name="cyfcfps07" localSheetId="1">#REF!</definedName>
    <definedName name="cyfcfps07">#REF!</definedName>
    <definedName name="cyptaxmgn00" localSheetId="1">#REF!</definedName>
    <definedName name="cyptaxmgn00">#REF!</definedName>
    <definedName name="cyptaxmgn01" localSheetId="1">#REF!</definedName>
    <definedName name="cyptaxmgn01">#REF!</definedName>
    <definedName name="cyptaxmgn02" localSheetId="1">#REF!</definedName>
    <definedName name="cyptaxmgn02">#REF!</definedName>
    <definedName name="cyptaxmgn03" localSheetId="1">#REF!</definedName>
    <definedName name="cyptaxmgn03">#REF!</definedName>
    <definedName name="cyptaxmgn04" localSheetId="1">#REF!</definedName>
    <definedName name="cyptaxmgn04">#REF!</definedName>
    <definedName name="cyptaxmgn99" localSheetId="1">#REF!</definedName>
    <definedName name="cyptaxmgn99">#REF!</definedName>
    <definedName name="cyrev00" localSheetId="1">#REF!</definedName>
    <definedName name="cyrev00">#REF!</definedName>
    <definedName name="cyrev01" localSheetId="1">#REF!</definedName>
    <definedName name="cyrev01">#REF!</definedName>
    <definedName name="cyrev02" localSheetId="1">#REF!</definedName>
    <definedName name="cyrev02">#REF!</definedName>
    <definedName name="cyrev03" localSheetId="1">#REF!</definedName>
    <definedName name="cyrev03">#REF!</definedName>
    <definedName name="cyrev04" localSheetId="1">#REF!</definedName>
    <definedName name="cyrev04">#REF!</definedName>
    <definedName name="CYREV05" localSheetId="1">#REF!</definedName>
    <definedName name="CYREV05">#REF!</definedName>
    <definedName name="cyrev06" localSheetId="1">#REF!</definedName>
    <definedName name="cyrev06">#REF!</definedName>
    <definedName name="cyrev07" localSheetId="1">#REF!</definedName>
    <definedName name="cyrev07">#REF!</definedName>
    <definedName name="cyroic00" localSheetId="1">#REF!</definedName>
    <definedName name="cyroic00">#REF!</definedName>
    <definedName name="cyroic01" localSheetId="1">#REF!</definedName>
    <definedName name="cyroic01">#REF!</definedName>
    <definedName name="cyroic02" localSheetId="1">#REF!</definedName>
    <definedName name="cyroic02">#REF!</definedName>
    <definedName name="cyroic03" localSheetId="1">#REF!</definedName>
    <definedName name="cyroic03">#REF!</definedName>
    <definedName name="cyroic04" localSheetId="1">#REF!</definedName>
    <definedName name="cyroic04">#REF!</definedName>
    <definedName name="DATE" localSheetId="1">#REF!</definedName>
    <definedName name="DATE">#REF!</definedName>
    <definedName name="derm.other.total" localSheetId="1">#REF!</definedName>
    <definedName name="derm.other.total">#REF!</definedName>
    <definedName name="Deutsche" localSheetId="12">#REF!</definedName>
    <definedName name="Deutsche">#REF!</definedName>
    <definedName name="Didanosine" localSheetId="12">#REF!</definedName>
    <definedName name="Didanosine">#REF!</definedName>
    <definedName name="DSO00" localSheetId="1">#REF!</definedName>
    <definedName name="DSO00" localSheetId="12">#REF!</definedName>
    <definedName name="DSO00">#REF!</definedName>
    <definedName name="EBIT05" localSheetId="1">#REF!</definedName>
    <definedName name="EBIT05">#REF!</definedName>
    <definedName name="EBIT06" localSheetId="1">#REF!</definedName>
    <definedName name="EBIT06">#REF!</definedName>
    <definedName name="EBIT07" localSheetId="1">#REF!</definedName>
    <definedName name="EBIT07">#REF!</definedName>
    <definedName name="ebitda00" localSheetId="1">#REF!</definedName>
    <definedName name="ebitda00">#REF!</definedName>
    <definedName name="ebitda01" localSheetId="1">#REF!</definedName>
    <definedName name="ebitda01">#REF!</definedName>
    <definedName name="ebitda02" localSheetId="1">#REF!</definedName>
    <definedName name="ebitda02">#REF!</definedName>
    <definedName name="ebitda03" localSheetId="1">#REF!</definedName>
    <definedName name="ebitda03">#REF!</definedName>
    <definedName name="ebitda04" localSheetId="1">#REF!</definedName>
    <definedName name="ebitda04">#REF!</definedName>
    <definedName name="ebitda05" localSheetId="1">#REF!</definedName>
    <definedName name="ebitda05">#REF!</definedName>
    <definedName name="ebitda06" localSheetId="1">#REF!</definedName>
    <definedName name="ebitda06">#REF!</definedName>
    <definedName name="ebitda07" localSheetId="1">#REF!</definedName>
    <definedName name="ebitda07">#REF!</definedName>
    <definedName name="EBITDA98" localSheetId="1">#REF!</definedName>
    <definedName name="EBITDA98">#REF!</definedName>
    <definedName name="ebitda99" localSheetId="1">#REF!</definedName>
    <definedName name="ebitda99">#REF!</definedName>
    <definedName name="ebitdamgn00" localSheetId="1">#REF!</definedName>
    <definedName name="ebitdamgn00">#REF!</definedName>
    <definedName name="ebitdamgn01" localSheetId="1">#REF!</definedName>
    <definedName name="ebitdamgn01">#REF!</definedName>
    <definedName name="ebitdamgn02" localSheetId="1">#REF!</definedName>
    <definedName name="ebitdamgn02">#REF!</definedName>
    <definedName name="ebitdamgn03" localSheetId="1">#REF!</definedName>
    <definedName name="ebitdamgn03">#REF!</definedName>
    <definedName name="ebitdamgn04" localSheetId="1">#REF!</definedName>
    <definedName name="ebitdamgn04">#REF!</definedName>
    <definedName name="ebitdamgn05" localSheetId="1">#REF!</definedName>
    <definedName name="ebitdamgn05">#REF!</definedName>
    <definedName name="ebitdamgn98" localSheetId="1">#REF!</definedName>
    <definedName name="ebitdamgn98">#REF!</definedName>
    <definedName name="ebitdamgn99" localSheetId="1">#REF!</definedName>
    <definedName name="ebitdamgn99">#REF!</definedName>
    <definedName name="Emtriva">#REF!</definedName>
    <definedName name="ENHANCEdass" localSheetId="1">#REF!</definedName>
    <definedName name="ENHANCEdass">#REF!</definedName>
    <definedName name="Epivir" localSheetId="12">#REF!</definedName>
    <definedName name="Epivir">#REF!</definedName>
    <definedName name="EPS_Valuation" localSheetId="1">#REF!</definedName>
    <definedName name="EPS_Valuation">#REF!</definedName>
    <definedName name="EPS00" localSheetId="1">#REF!</definedName>
    <definedName name="EPS00">#REF!</definedName>
    <definedName name="Epzicom">#REF!</definedName>
    <definedName name="eqad00" localSheetId="1">#REF!</definedName>
    <definedName name="eqad00">#REF!</definedName>
    <definedName name="eqad01" localSheetId="1">#REF!</definedName>
    <definedName name="eqad01">#REF!</definedName>
    <definedName name="eqad02" localSheetId="1">#REF!</definedName>
    <definedName name="eqad02">#REF!</definedName>
    <definedName name="eqad03" localSheetId="1">#REF!</definedName>
    <definedName name="eqad03">#REF!</definedName>
    <definedName name="eqad04" localSheetId="1">#REF!</definedName>
    <definedName name="eqad04">#REF!</definedName>
    <definedName name="EQAD05" localSheetId="1">#REF!</definedName>
    <definedName name="EQAD05">#REF!</definedName>
    <definedName name="eqad98" localSheetId="1">#REF!</definedName>
    <definedName name="eqad98">#REF!</definedName>
    <definedName name="eqad99" localSheetId="1">#REF!</definedName>
    <definedName name="eqad99">#REF!</definedName>
    <definedName name="eqadg00" localSheetId="1">#REF!</definedName>
    <definedName name="eqadg00">#REF!</definedName>
    <definedName name="eqadg01" localSheetId="1">#REF!</definedName>
    <definedName name="eqadg01">#REF!</definedName>
    <definedName name="eqadg02" localSheetId="1">#REF!</definedName>
    <definedName name="eqadg02">#REF!</definedName>
    <definedName name="eqadg03" localSheetId="1">#REF!</definedName>
    <definedName name="eqadg03">#REF!</definedName>
    <definedName name="eqadg04" localSheetId="1">#REF!</definedName>
    <definedName name="eqadg04">#REF!</definedName>
    <definedName name="EQADG05" localSheetId="1">#REF!</definedName>
    <definedName name="EQADG05">#REF!</definedName>
    <definedName name="eqadg99" localSheetId="1">#REF!</definedName>
    <definedName name="eqadg99">#REF!</definedName>
    <definedName name="fcfps00" localSheetId="1">#REF!</definedName>
    <definedName name="fcfps00">#REF!</definedName>
    <definedName name="fcfps01" localSheetId="1">#REF!</definedName>
    <definedName name="fcfps01">#REF!</definedName>
    <definedName name="fcfps02" localSheetId="1">#REF!</definedName>
    <definedName name="fcfps02">#REF!</definedName>
    <definedName name="fcfps03" localSheetId="1">#REF!</definedName>
    <definedName name="fcfps03">#REF!</definedName>
    <definedName name="fcfps04" localSheetId="1">#REF!</definedName>
    <definedName name="fcfps04">#REF!</definedName>
    <definedName name="fcfps05" localSheetId="1">#REF!</definedName>
    <definedName name="fcfps05">#REF!</definedName>
    <definedName name="fcfps06" localSheetId="1">#REF!</definedName>
    <definedName name="fcfps06">#REF!</definedName>
    <definedName name="fcfps07" localSheetId="1">#REF!</definedName>
    <definedName name="fcfps07">#REF!</definedName>
    <definedName name="fcfps08" localSheetId="1">#REF!</definedName>
    <definedName name="fcfps08">#REF!</definedName>
    <definedName name="fcfps98" localSheetId="1">#REF!</definedName>
    <definedName name="fcfps98">#REF!</definedName>
    <definedName name="fcfps99" localSheetId="1">#REF!</definedName>
    <definedName name="fcfps99">#REF!</definedName>
    <definedName name="FDP_0_1_aUrv" localSheetId="12" hidden="1">#REF!</definedName>
    <definedName name="FDP_0_1_aUrv" hidden="1">#REF!</definedName>
    <definedName name="FDP_1_1_aUrv" localSheetId="12" hidden="1">#REF!</definedName>
    <definedName name="FDP_1_1_aUrv" hidden="1">#REF!</definedName>
    <definedName name="FDP_100_1_aUrv" localSheetId="12"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0_1_aU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0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1_1_aUrv" hidden="1">#REF!</definedName>
    <definedName name="FDP_153_1_aUrv" hidden="1">#REF!</definedName>
    <definedName name="FDP_166_1_aDrv" hidden="1">#REF!</definedName>
    <definedName name="FDP_167_1_aDrv" hidden="1">#REF!</definedName>
    <definedName name="FDP_168_1_aDrv" hidden="1">#REF!</definedName>
    <definedName name="FDP_169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9_1_aUrv" hidden="1">#REF!</definedName>
    <definedName name="FDP_18_1_aUr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Urv" hidden="1">#REF!</definedName>
    <definedName name="FDP_23_1_aDrv" hidden="1">#REF!</definedName>
    <definedName name="FDP_25_1_aUrv" hidden="1">#REF!</definedName>
    <definedName name="FDP_26_1_aUrv" hidden="1">#REF!</definedName>
    <definedName name="FDP_28_1_aUrv" hidden="1">#REF!</definedName>
    <definedName name="FDP_3_1_aUrv" hidden="1">#REF!</definedName>
    <definedName name="FDP_30_1_aUrv" hidden="1">#REF!</definedName>
    <definedName name="FDP_31_1_aUrv" hidden="1">#REF!</definedName>
    <definedName name="FDP_32_1_aUrv" hidden="1">#REF!</definedName>
    <definedName name="FDP_34_1_aUrv" hidden="1">#REF!</definedName>
    <definedName name="FDP_36_1_aUrv" hidden="1">#REF!</definedName>
    <definedName name="FDP_37_1_aUrv" hidden="1">#REF!</definedName>
    <definedName name="FDP_38_1_aUrv" hidden="1">#REF!</definedName>
    <definedName name="FDP_40_1_aUrv" hidden="1">#REF!</definedName>
    <definedName name="FDP_43_1_aUrv" hidden="1">#REF!</definedName>
    <definedName name="FDP_44_1_aUrv" hidden="1">#REF!</definedName>
    <definedName name="FDP_47_1_aUrv" hidden="1">#REF!</definedName>
    <definedName name="FDP_49_1_aUrv" hidden="1">#REF!</definedName>
    <definedName name="FDP_50_1_aUrv" hidden="1">#REF!</definedName>
    <definedName name="FDP_51_1_aU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0_1_aUrv" hidden="1">#REF!</definedName>
    <definedName name="FDP_63_1_aUrv" hidden="1">#REF!</definedName>
    <definedName name="FDP_65_1_aSrv" hidden="1">#REF!</definedName>
    <definedName name="FDP_67_1_aUrv" hidden="1">#REF!</definedName>
    <definedName name="FDP_7_1_aUrv" hidden="1">#REF!</definedName>
    <definedName name="FDP_71_1_aUrv" hidden="1">#REF!</definedName>
    <definedName name="FDP_77_1_aUrv" hidden="1">#REF!</definedName>
    <definedName name="FDP_79_1_aUrv" hidden="1">#REF!</definedName>
    <definedName name="FDP_82_1_aUrv" hidden="1">#REF!</definedName>
    <definedName name="FDP_84_1_aUrv" hidden="1">#REF!</definedName>
    <definedName name="FDP_85_1_aUrv" hidden="1">#REF!</definedName>
    <definedName name="FDP_90_1_aUrv" hidden="1">#REF!</definedName>
    <definedName name="FDP_91_1_aUrv" hidden="1">#REF!</definedName>
    <definedName name="FDP_92_1_aSrv" hidden="1">#REF!</definedName>
    <definedName name="FDP_95_1_aUrv" hidden="1">#REF!</definedName>
    <definedName name="FDP_96_1_aUrv" hidden="1">#REF!</definedName>
    <definedName name="FDP_99_1_aUrv" hidden="1">#REF!</definedName>
    <definedName name="financial.trends" localSheetId="1">#REF!</definedName>
    <definedName name="financial.trends">#REF!</definedName>
    <definedName name="firm" localSheetId="1">#REF!</definedName>
    <definedName name="firm">#REF!</definedName>
    <definedName name="Form_AEPS" localSheetId="12">#REF!</definedName>
    <definedName name="Form_AEPS">#REF!</definedName>
    <definedName name="Form_QEPS" localSheetId="12">#REF!</definedName>
    <definedName name="Form_QEPS">#REF!</definedName>
    <definedName name="Form_QRev" localSheetId="12">#REF!</definedName>
    <definedName name="Form_QRev">#REF!</definedName>
    <definedName name="Hivid">#REF!</definedName>
    <definedName name="hosp0304" localSheetId="1">#REF!</definedName>
    <definedName name="hosp0304">#REF!</definedName>
    <definedName name="hosp0604" localSheetId="1">#REF!</definedName>
    <definedName name="hosp0604">#REF!</definedName>
    <definedName name="hosp0903" localSheetId="1">#REF!</definedName>
    <definedName name="hosp0903">#REF!</definedName>
    <definedName name="hosp0904" localSheetId="1">#REF!</definedName>
    <definedName name="hosp0904">#REF!</definedName>
    <definedName name="hosp1203" localSheetId="1">#REF!</definedName>
    <definedName name="hosp1203">#REF!</definedName>
    <definedName name="hosp1204" localSheetId="1">#REF!</definedName>
    <definedName name="hosp1204">#REF!</definedName>
    <definedName name="identifier" localSheetId="12">#REF!</definedName>
    <definedName name="identifier">#REF!</definedName>
    <definedName name="impliedgrowth" localSheetId="12">#REF!</definedName>
    <definedName name="impliedgrowth">#REF!</definedName>
    <definedName name="IncomeBottom" localSheetId="1">#REF!</definedName>
    <definedName name="IncomeBottom">#REF!</definedName>
    <definedName name="IncomeState" localSheetId="1">#REF!</definedName>
    <definedName name="IncomeState">#REF!</definedName>
    <definedName name="IncomeTop" localSheetId="1">#REF!</definedName>
    <definedName name="IncomeTop">#REF!</definedName>
    <definedName name="IPS" localSheetId="12">#REF!</definedName>
    <definedName name="IPS">#REF!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EST" hidden="1">"c399"</definedName>
    <definedName name="IQ_EPS_EST_REUT" hidden="1">"c5453"</definedName>
    <definedName name="IQ_EPS_GW_ACT_OR_EST" hidden="1">"c2223"</definedName>
    <definedName name="IQ_EPS_GW_EST" hidden="1">"c1737"</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HARE_ACT_OR_EST" hidden="1">"c4446"</definedName>
    <definedName name="IQ_FFO_STDDEV_EST" hidden="1">"c422"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2" hidden="1">42184.6264930556</definedName>
    <definedName name="IQ_NAMES_REVISION_DATE_" hidden="1">42209.4748263889</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38890.6228125</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key.new.drug.trends" localSheetId="1">#REF!</definedName>
    <definedName name="key.new.drug.trends">#REF!</definedName>
    <definedName name="Key_Financial_Information" localSheetId="1">#REF!</definedName>
    <definedName name="Key_Financial_Information">#REF!</definedName>
    <definedName name="leerink" localSheetId="1">#REF!</definedName>
    <definedName name="leerink">#REF!</definedName>
    <definedName name="LeukoSite_ILEX_Oncology_Joint_Venture" localSheetId="12">#REF!</definedName>
    <definedName name="LeukoSite_ILEX_Oncology_Joint_Venture">#REF!</definedName>
    <definedName name="ltdebt0304" localSheetId="1">#REF!</definedName>
    <definedName name="ltdebt0304">#REF!</definedName>
    <definedName name="ltdebt0903" localSheetId="1">#REF!</definedName>
    <definedName name="ltdebt0903">#REF!</definedName>
    <definedName name="ltdebt1203" localSheetId="1">#REF!</definedName>
    <definedName name="ltdebt1203">#REF!</definedName>
    <definedName name="m"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ed.tech" localSheetId="1">#REF!</definedName>
    <definedName name="med.tech">#REF!</definedName>
    <definedName name="Mexico1" localSheetId="12">#REF!</definedName>
    <definedName name="Mexico1">#REF!</definedName>
    <definedName name="Mexico2" localSheetId="12">#REF!</definedName>
    <definedName name="Mexico2">#REF!</definedName>
    <definedName name="MM" localSheetId="1">#REF!</definedName>
    <definedName name="MM" localSheetId="12">#REF!</definedName>
    <definedName name="MM">#REF!</definedName>
    <definedName name="name" localSheetId="1">#REF!</definedName>
    <definedName name="name">#REF!</definedName>
    <definedName name="NDTI" localSheetId="12">#REF!</definedName>
    <definedName name="NDTI">#REF!</definedName>
    <definedName name="netdebt0905" localSheetId="1">#REF!</definedName>
    <definedName name="netdebt0905">#REF!</definedName>
    <definedName name="netdebt0906" localSheetId="1">#REF!</definedName>
    <definedName name="netdebt0906">#REF!</definedName>
    <definedName name="netdebt1205" localSheetId="1">#REF!</definedName>
    <definedName name="netdebt1205">#REF!</definedName>
    <definedName name="netdebt3Q05" localSheetId="1">#REF!</definedName>
    <definedName name="netdebt3Q05">#REF!</definedName>
    <definedName name="new"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i00" localSheetId="1">#REF!</definedName>
    <definedName name="ni00">#REF!</definedName>
    <definedName name="nnn" localSheetId="1"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n" localSheetId="12"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n" hidden="1">{"fdsup://IBCentral/FAT Viewer?action=UPDATE&amp;creator=factset&amp;DOC_NAME=fat:reuters_annual_source_window.fat&amp;display_string=Audit&amp;DYN_ARGS=TRUE&amp;VAR:ID1=53245710&amp;VAR:RCODE=COGSFDS&amp;VAR:SDATE=20071299&amp;VAR:FREQ=FISCAL_YEARLY&amp;VAR:RELITEM=RP&amp;VAR:CURRENCY=&amp;VAR:CURRS","OURCE=EXSHARE&amp;VAR:NATFREQ=ANNUAL&amp;VAR:RFIELD=FINALIZED&amp;VAR:DB_TYPE=&amp;VAR:UNITS=M&amp;window=popup&amp;width=450&amp;height=300&amp;START_MAXIMIZED=FALSE"}</definedName>
    <definedName name="nNRTI_TRx" localSheetId="1">#REF!</definedName>
    <definedName name="nNRTI_TRx">#REF!</definedName>
    <definedName name="NPA" localSheetId="12">#REF!</definedName>
    <definedName name="NPA">#REF!</definedName>
    <definedName name="NRTI" localSheetId="12">#REF!</definedName>
    <definedName name="NRTI">#REF!</definedName>
    <definedName name="NRTI_TRx" localSheetId="12">#REF!</definedName>
    <definedName name="NRTI_TRx">#REF!</definedName>
    <definedName name="ntdebt0306" localSheetId="1">#REF!</definedName>
    <definedName name="ntdebt0306">#REF!</definedName>
    <definedName name="ntdebt0606" localSheetId="1">#REF!</definedName>
    <definedName name="ntdebt0606">#REF!</definedName>
    <definedName name="opmgn00" localSheetId="1">#REF!</definedName>
    <definedName name="opmgn00">#REF!</definedName>
    <definedName name="opmgn01" localSheetId="1">#REF!</definedName>
    <definedName name="opmgn01">#REF!</definedName>
    <definedName name="opmgn02" localSheetId="1">#REF!</definedName>
    <definedName name="opmgn02">#REF!</definedName>
    <definedName name="opmgn03" localSheetId="1">#REF!</definedName>
    <definedName name="opmgn03">#REF!</definedName>
    <definedName name="opmgn04" localSheetId="1">#REF!</definedName>
    <definedName name="opmgn04">#REF!</definedName>
    <definedName name="opmgn05" localSheetId="1">#REF!</definedName>
    <definedName name="opmgn05">#REF!</definedName>
    <definedName name="opmgn98" localSheetId="1">#REF!</definedName>
    <definedName name="opmgn98">#REF!</definedName>
    <definedName name="opmgn99" localSheetId="1">#REF!</definedName>
    <definedName name="opmgn99">#REF!</definedName>
    <definedName name="Other1">#REF!</definedName>
    <definedName name="overlay" localSheetId="1">#REF!</definedName>
    <definedName name="overlay">#REF!</definedName>
    <definedName name="Page1" localSheetId="12">#REF!</definedName>
    <definedName name="Page1">#REF!</definedName>
    <definedName name="Page12" localSheetId="12">#REF!</definedName>
    <definedName name="Page12">#REF!</definedName>
    <definedName name="Page2" localSheetId="12">#REF!</definedName>
    <definedName name="Page2">#REF!</definedName>
    <definedName name="pfeps04">#REF!</definedName>
    <definedName name="pfeps05">#REF!</definedName>
    <definedName name="pfeps06">#REF!</definedName>
    <definedName name="possibleoutcomes" localSheetId="1">#REF!</definedName>
    <definedName name="possibleoutcomes">#REF!</definedName>
    <definedName name="print" localSheetId="12">#REF!</definedName>
    <definedName name="print">#REF!</definedName>
    <definedName name="_xlnm.Print_Area" localSheetId="9">'BALANCE SHEET'!$A$1:$E$44</definedName>
    <definedName name="_xlnm.Print_Area" localSheetId="10">'CASH FLOW'!$A$1:$B$38</definedName>
    <definedName name="_xlnm.Print_Area" localSheetId="6">EXPENSES!$A$1:$K$85</definedName>
    <definedName name="_xlnm.Print_Area" localSheetId="4">'INCOME STATEMENT'!$A$1:$K$60</definedName>
    <definedName name="_xlnm.Print_Area" localSheetId="5">REVENUES!$A$1:$O$28</definedName>
    <definedName name="Prod_Rev" localSheetId="1">#REF!</definedName>
    <definedName name="Prod_Rev">#REF!</definedName>
    <definedName name="prod1" localSheetId="1">#REF!</definedName>
    <definedName name="prod1">#REF!</definedName>
    <definedName name="prodDO" localSheetId="1">#REF!</definedName>
    <definedName name="prodDO">#REF!</definedName>
    <definedName name="products" localSheetId="12">#REF!</definedName>
    <definedName name="products">#REF!</definedName>
    <definedName name="Proforma" localSheetId="1">#REF!</definedName>
    <definedName name="Proforma" localSheetId="12">#REF!</definedName>
    <definedName name="Proforma">#REF!</definedName>
    <definedName name="ptaxmgn" localSheetId="1">#REF!</definedName>
    <definedName name="ptaxmgn" localSheetId="12">#REF!</definedName>
    <definedName name="ptaxmgn">#REF!</definedName>
    <definedName name="ptaxmgn00" localSheetId="1">#REF!</definedName>
    <definedName name="ptaxmgn00" localSheetId="12">#REF!</definedName>
    <definedName name="ptaxmgn00">#REF!</definedName>
    <definedName name="ptaxmgn01" localSheetId="1">#REF!</definedName>
    <definedName name="ptaxmgn01" localSheetId="12">#REF!</definedName>
    <definedName name="ptaxmgn01">#REF!</definedName>
    <definedName name="ptaxmgn02" localSheetId="1">#REF!</definedName>
    <definedName name="ptaxmgn02">#REF!</definedName>
    <definedName name="ptaxmgn03" localSheetId="1">#REF!</definedName>
    <definedName name="ptaxmgn03">#REF!</definedName>
    <definedName name="ptaxmgn04" localSheetId="1">#REF!</definedName>
    <definedName name="ptaxmgn04">#REF!</definedName>
    <definedName name="ptaxmgn05" localSheetId="1">#REF!</definedName>
    <definedName name="ptaxmgn05">#REF!</definedName>
    <definedName name="ptaxmgn98" localSheetId="1">#REF!</definedName>
    <definedName name="ptaxmgn98">#REF!</definedName>
    <definedName name="ptaxmgn99" localSheetId="1">#REF!</definedName>
    <definedName name="ptaxmgn99">#REF!</definedName>
    <definedName name="ptxmgn00" localSheetId="1">#REF!</definedName>
    <definedName name="ptxmgn00">#REF!</definedName>
    <definedName name="ptxmgn01" localSheetId="1">#REF!</definedName>
    <definedName name="ptxmgn01">#REF!</definedName>
    <definedName name="ptxmgn02" localSheetId="1">#REF!</definedName>
    <definedName name="ptxmgn02">#REF!</definedName>
    <definedName name="ptxmgn03" localSheetId="1">#REF!</definedName>
    <definedName name="ptxmgn03">#REF!</definedName>
    <definedName name="ptxmgn04" localSheetId="1">#REF!</definedName>
    <definedName name="ptxmgn04">#REF!</definedName>
    <definedName name="ptxmgn05" localSheetId="1">#REF!</definedName>
    <definedName name="ptxmgn05">#REF!</definedName>
    <definedName name="qgadg04" localSheetId="1">#REF!</definedName>
    <definedName name="qgadg04">#REF!</definedName>
    <definedName name="QuarterCounter" localSheetId="1">#REF!,#REF!,#REF!,#REF!,#REF!,#REF!,#REF!,#REF!,#REF!,#REF!,#REF!,#REF!,#REF!</definedName>
    <definedName name="QuarterCounter" localSheetId="12">#REF!,#REF!,#REF!,#REF!,#REF!,#REF!,#REF!,#REF!,#REF!,#REF!,#REF!,#REF!,#REF!</definedName>
    <definedName name="QuarterCounter">#REF!,#REF!,#REF!,#REF!,#REF!,#REF!,#REF!,#REF!,#REF!,#REF!,#REF!,#REF!,#REF!</definedName>
    <definedName name="recent.patterns" localSheetId="1">#REF!</definedName>
    <definedName name="recent.patterns" localSheetId="12">#REF!</definedName>
    <definedName name="recent.patterns">#REF!</definedName>
    <definedName name="reqad00" localSheetId="1">#REF!</definedName>
    <definedName name="reqad00" localSheetId="12">#REF!</definedName>
    <definedName name="reqad00">#REF!</definedName>
    <definedName name="reqad01" localSheetId="1">#REF!</definedName>
    <definedName name="reqad01" localSheetId="12">#REF!</definedName>
    <definedName name="reqad01">#REF!</definedName>
    <definedName name="reqad02" localSheetId="1">#REF!</definedName>
    <definedName name="reqad02">#REF!</definedName>
    <definedName name="reqad03" localSheetId="1">#REF!</definedName>
    <definedName name="reqad03">#REF!</definedName>
    <definedName name="reqad04" localSheetId="1">#REF!</definedName>
    <definedName name="reqad04">#REF!</definedName>
    <definedName name="REQAD05" localSheetId="1">#REF!</definedName>
    <definedName name="REQAD05">#REF!</definedName>
    <definedName name="reqad98" localSheetId="1">#REF!</definedName>
    <definedName name="reqad98">#REF!</definedName>
    <definedName name="reqad99" localSheetId="1">#REF!</definedName>
    <definedName name="reqad99">#REF!</definedName>
    <definedName name="reqadg00" localSheetId="1">#REF!</definedName>
    <definedName name="reqadg00">#REF!</definedName>
    <definedName name="reqadg01" localSheetId="1">#REF!</definedName>
    <definedName name="reqadg01">#REF!</definedName>
    <definedName name="reqadg02" localSheetId="1">#REF!</definedName>
    <definedName name="reqadg02">#REF!</definedName>
    <definedName name="reqadg03" localSheetId="1">#REF!</definedName>
    <definedName name="reqadg03">#REF!</definedName>
    <definedName name="reqadg04" localSheetId="1">#REF!</definedName>
    <definedName name="reqadg04">#REF!</definedName>
    <definedName name="REQADG05" localSheetId="1">#REF!</definedName>
    <definedName name="REQADG05">#REF!</definedName>
    <definedName name="reqadg99" localSheetId="1">#REF!</definedName>
    <definedName name="reqadg99">#REF!</definedName>
    <definedName name="RESCRIPTOR_NRx" localSheetId="1">#REF!</definedName>
    <definedName name="RESCRIPTOR_NRx">#REF!</definedName>
    <definedName name="RESCRIPTOR_Sales" localSheetId="1">#REF!</definedName>
    <definedName name="RESCRIPTOR_Sales">#REF!</definedName>
    <definedName name="RESCRIPTOR_TRx" localSheetId="1">#REF!</definedName>
    <definedName name="RESCRIPTOR_TRx">#REF!</definedName>
    <definedName name="Retrovir" localSheetId="12">#REF!</definedName>
    <definedName name="Retrovir">#REF!</definedName>
    <definedName name="Retrovir_Iv_Inf" localSheetId="12">#REF!</definedName>
    <definedName name="Retrovir_Iv_Inf">#REF!</definedName>
    <definedName name="rev" localSheetId="1">#REF!</definedName>
    <definedName name="rev">#REF!</definedName>
    <definedName name="rev00" localSheetId="1">#REF!</definedName>
    <definedName name="rev00">#REF!</definedName>
    <definedName name="RevProd" localSheetId="1">#REF!</definedName>
    <definedName name="RevProd">#REF!</definedName>
    <definedName name="roa00" localSheetId="1">#REF!</definedName>
    <definedName name="roa00">#REF!</definedName>
    <definedName name="ROCC00" localSheetId="1">#REF!</definedName>
    <definedName name="ROCC00">#REF!</definedName>
    <definedName name="ROCC01" localSheetId="1">#REF!</definedName>
    <definedName name="ROCC01">#REF!</definedName>
    <definedName name="ROCC02" localSheetId="1">#REF!</definedName>
    <definedName name="ROCC02">#REF!</definedName>
    <definedName name="ROCC03" localSheetId="1">#REF!</definedName>
    <definedName name="ROCC03">#REF!</definedName>
    <definedName name="ROCC04" localSheetId="1">#REF!</definedName>
    <definedName name="ROCC04">#REF!</definedName>
    <definedName name="rocc05" localSheetId="1">#REF!</definedName>
    <definedName name="rocc05">#REF!</definedName>
    <definedName name="rocc98" localSheetId="1">#REF!</definedName>
    <definedName name="rocc98">#REF!</definedName>
    <definedName name="ROCC99" localSheetId="1">#REF!</definedName>
    <definedName name="ROCC99">#REF!</definedName>
    <definedName name="roe00" localSheetId="1">#REF!</definedName>
    <definedName name="roe00">#REF!</definedName>
    <definedName name="roic00" localSheetId="1">#REF!</definedName>
    <definedName name="roic00">#REF!</definedName>
    <definedName name="roic01" localSheetId="1">#REF!</definedName>
    <definedName name="roic01">#REF!</definedName>
    <definedName name="roic02" localSheetId="1">#REF!</definedName>
    <definedName name="roic02">#REF!</definedName>
    <definedName name="roic03" localSheetId="1">#REF!</definedName>
    <definedName name="roic03">#REF!</definedName>
    <definedName name="roic04" localSheetId="1">#REF!</definedName>
    <definedName name="roic04">#REF!</definedName>
    <definedName name="roic05" localSheetId="1">#REF!</definedName>
    <definedName name="roic05">#REF!</definedName>
    <definedName name="roic98" localSheetId="1">#REF!</definedName>
    <definedName name="roic98">#REF!</definedName>
    <definedName name="roic99" localSheetId="1">#REF!</definedName>
    <definedName name="roic99">#REF!</definedName>
    <definedName name="ROTC06" localSheetId="1">#REF!</definedName>
    <definedName name="ROTC06">#REF!</definedName>
    <definedName name="RP_PP" localSheetId="12">#REF!</definedName>
    <definedName name="RP_PP">#REF!</definedName>
    <definedName name="RXAnnual" localSheetId="1">#REF!</definedName>
    <definedName name="RXAnnual" localSheetId="12">#REF!</definedName>
    <definedName name="RXAnnual">#REF!</definedName>
    <definedName name="segment" localSheetId="12">#REF!</definedName>
    <definedName name="segment">#REF!</definedName>
    <definedName name="segment.op.profit" localSheetId="1">#REF!</definedName>
    <definedName name="segment.op.profit" localSheetId="12">#REF!</definedName>
    <definedName name="segment.op.profit">#REF!</definedName>
    <definedName name="Short_Flow_Data" localSheetId="12">#REF!</definedName>
    <definedName name="Short_Flow_Data">#REF!</definedName>
    <definedName name="stdebt0304" localSheetId="1">#REF!</definedName>
    <definedName name="stdebt0304">#REF!</definedName>
    <definedName name="stdebt0903" localSheetId="1">#REF!</definedName>
    <definedName name="stdebt0903">#REF!</definedName>
    <definedName name="stdebt1203" localSheetId="1">#REF!</definedName>
    <definedName name="stdebt1203">#REF!</definedName>
    <definedName name="Summary_IS"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STIVA_NRx" localSheetId="1">#REF!</definedName>
    <definedName name="SUSTIVA_NRx">#REF!</definedName>
    <definedName name="SUSTIVA_Sales" localSheetId="1">#REF!</definedName>
    <definedName name="SUSTIVA_Sales">#REF!</definedName>
    <definedName name="SUSTIVA_TRx" localSheetId="1">#REF!</definedName>
    <definedName name="SUSTIVA_TRx">#REF!</definedName>
    <definedName name="Terminal_Growth_VRTX" localSheetId="1">#REF!</definedName>
    <definedName name="Terminal_Growth_VRTX" localSheetId="12">#REF!</definedName>
    <definedName name="Terminal_Growth_VRTX">#REF!</definedName>
    <definedName name="Total_Revenues" localSheetId="1">#REF!</definedName>
    <definedName name="Total_Revenues" localSheetId="12">#REF!</definedName>
    <definedName name="Total_Revenues">#REF!</definedName>
    <definedName name="Trizivir" localSheetId="12">#REF!</definedName>
    <definedName name="Trizivir">#REF!</definedName>
    <definedName name="Truvada">#REF!</definedName>
    <definedName name="Ulcer_Market" localSheetId="1">#REF!</definedName>
    <definedName name="Ulcer_Market">#REF!</definedName>
    <definedName name="Videx" localSheetId="12">#REF!</definedName>
    <definedName name="Videx">#REF!</definedName>
    <definedName name="Videx_Ec" localSheetId="12">#REF!</definedName>
    <definedName name="Videx_Ec">#REF!</definedName>
    <definedName name="VIRAMUNE_NRx" localSheetId="1">#REF!</definedName>
    <definedName name="VIRAMUNE_NRx">#REF!</definedName>
    <definedName name="VIRAMUNE_Sales" localSheetId="1">#REF!</definedName>
    <definedName name="VIRAMUNE_Sales">#REF!</definedName>
    <definedName name="VIRAMUNE_TRx" localSheetId="1">#REF!</definedName>
    <definedName name="VIRAMUNE_TRx">#REF!</definedName>
    <definedName name="Viread" localSheetId="12">#REF!</definedName>
    <definedName name="Viread">#REF!</definedName>
    <definedName name="vxcz"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1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_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C" localSheetId="1">#REF!</definedName>
    <definedName name="WACC" localSheetId="12">#REF!</definedName>
    <definedName name="WACC">#REF!</definedName>
    <definedName name="Wach"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hovia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orkcap">#REF!</definedName>
    <definedName name="wrn.BUDGET." localSheetId="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localSheetId="12"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b." localSheetId="1"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localSheetId="12"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1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2_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localSheetId="1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_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model." localSheetId="1" hidden="1">{#N/A,#N/A,FALSE,"AMS Prod Sales"}</definedName>
    <definedName name="wrn.model." localSheetId="12" hidden="1">{#N/A,#N/A,FALSE,"AMS Prod Sales"}</definedName>
    <definedName name="wrn.model." hidden="1">{#N/A,#N/A,FALSE,"AMS Prod Sales"}</definedName>
    <definedName name="wrn.model._1" localSheetId="1" hidden="1">{#N/A,#N/A,FALSE,"AMS Prod Sales"}</definedName>
    <definedName name="wrn.model._1" localSheetId="12" hidden="1">{#N/A,#N/A,FALSE,"AMS Prod Sales"}</definedName>
    <definedName name="wrn.model._1" hidden="1">{#N/A,#N/A,FALSE,"AMS Prod Sales"}</definedName>
    <definedName name="wrn.model._1_1" localSheetId="1" hidden="1">{#N/A,#N/A,FALSE,"AMS Prod Sales"}</definedName>
    <definedName name="wrn.model._1_1" localSheetId="12" hidden="1">{#N/A,#N/A,FALSE,"AMS Prod Sales"}</definedName>
    <definedName name="wrn.model._1_1" hidden="1">{#N/A,#N/A,FALSE,"AMS Prod Sales"}</definedName>
    <definedName name="wrn.model._1_2" localSheetId="1" hidden="1">{#N/A,#N/A,FALSE,"AMS Prod Sales"}</definedName>
    <definedName name="wrn.model._1_2" localSheetId="12" hidden="1">{#N/A,#N/A,FALSE,"AMS Prod Sales"}</definedName>
    <definedName name="wrn.model._1_2" hidden="1">{#N/A,#N/A,FALSE,"AMS Prod Sales"}</definedName>
    <definedName name="wrn.model._2" localSheetId="1" hidden="1">{#N/A,#N/A,FALSE,"AMS Prod Sales"}</definedName>
    <definedName name="wrn.model._2" localSheetId="12" hidden="1">{#N/A,#N/A,FALSE,"AMS Prod Sales"}</definedName>
    <definedName name="wrn.model._2" hidden="1">{#N/A,#N/A,FALSE,"AMS Prod Sales"}</definedName>
    <definedName name="wrn.model._3" localSheetId="1" hidden="1">{#N/A,#N/A,FALSE,"AMS Prod Sales"}</definedName>
    <definedName name="wrn.model._3" localSheetId="12" hidden="1">{#N/A,#N/A,FALSE,"AMS Prod Sales"}</definedName>
    <definedName name="wrn.model._3" hidden="1">{#N/A,#N/A,FALSE,"AMS Prod Sales"}</definedName>
    <definedName name="Zerit">#REF!</definedName>
    <definedName name="Ziagen">#REF!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A32" i="2" l="1"/>
  <c r="AB32" i="2"/>
  <c r="AC32" i="2"/>
  <c r="AD32" i="2"/>
  <c r="W32" i="2"/>
  <c r="X32" i="2"/>
  <c r="Y32" i="2"/>
  <c r="Z32" i="2"/>
  <c r="V32" i="2"/>
  <c r="AA30" i="2"/>
  <c r="V26" i="2"/>
  <c r="W26" i="2"/>
  <c r="X26" i="2"/>
  <c r="Y26" i="2"/>
  <c r="Y8" i="4"/>
  <c r="X8" i="4"/>
  <c r="W8" i="4"/>
  <c r="T8" i="4"/>
  <c r="U8" i="4" s="1"/>
  <c r="V8" i="4" s="1"/>
  <c r="N5" i="9"/>
  <c r="U30" i="5"/>
  <c r="X14" i="5"/>
  <c r="W14" i="5"/>
  <c r="V14" i="5"/>
  <c r="X16" i="5"/>
  <c r="W16" i="5"/>
  <c r="V16" i="5"/>
  <c r="W32" i="5"/>
  <c r="W34" i="5"/>
  <c r="AB18" i="5"/>
  <c r="AC18" i="5" s="1"/>
  <c r="AD18" i="5" s="1"/>
  <c r="AA18" i="5"/>
  <c r="W20" i="5"/>
  <c r="X20" i="5" s="1"/>
  <c r="Z8" i="4" l="1"/>
  <c r="AA8" i="4" s="1"/>
  <c r="AB8" i="4" s="1"/>
  <c r="AC8" i="4" s="1"/>
  <c r="F24" i="3" l="1"/>
  <c r="E24" i="3"/>
  <c r="H40" i="1" l="1"/>
  <c r="D30" i="3"/>
  <c r="D25" i="3"/>
  <c r="D24" i="3"/>
  <c r="D20" i="3"/>
  <c r="D19" i="3"/>
  <c r="U88" i="5"/>
  <c r="AA20" i="5"/>
  <c r="AB20" i="5" s="1"/>
  <c r="AC20" i="5" s="1"/>
  <c r="AD20" i="5" s="1"/>
  <c r="AE20" i="5" s="1"/>
  <c r="AF20" i="5" s="1"/>
  <c r="AG20" i="5" s="1"/>
  <c r="AH20" i="5" s="1"/>
  <c r="U18" i="5"/>
  <c r="T16" i="5"/>
  <c r="U8" i="5"/>
  <c r="T9" i="5"/>
  <c r="T13" i="5"/>
  <c r="T67" i="5"/>
  <c r="S9" i="5"/>
  <c r="T22" i="5"/>
  <c r="T13" i="2"/>
  <c r="T12" i="2"/>
  <c r="O13" i="2"/>
  <c r="O12" i="2"/>
  <c r="AE31" i="5" l="1"/>
  <c r="G63" i="9"/>
  <c r="AD12" i="4"/>
  <c r="AE12" i="4" s="1"/>
  <c r="AF12" i="4" s="1"/>
  <c r="AC12" i="4"/>
  <c r="AB12" i="4"/>
  <c r="AA12" i="4"/>
  <c r="Z12" i="4"/>
  <c r="Y12" i="4"/>
  <c r="AD8" i="4"/>
  <c r="AE8" i="4" s="1"/>
  <c r="AF8" i="4" s="1"/>
  <c r="P9" i="4"/>
  <c r="S88" i="65"/>
  <c r="G22" i="9" a="1"/>
  <c r="Z34" i="2" a="1"/>
  <c r="AB34" i="2" a="1"/>
  <c r="AA34" i="2" a="1"/>
  <c r="U34" i="2" a="1"/>
  <c r="T34" i="2" a="1"/>
  <c r="F22" i="9" a="1"/>
  <c r="F22" i="9" l="1"/>
  <c r="T34" i="2"/>
  <c r="U34" i="2"/>
  <c r="AA34" i="2"/>
  <c r="AB34" i="2"/>
  <c r="Z34" i="2"/>
  <c r="G22" i="9"/>
  <c r="Q88" i="65"/>
  <c r="R88" i="65" s="1"/>
  <c r="S30" i="2" l="1"/>
  <c r="T88" i="65"/>
  <c r="U88" i="65" s="1"/>
  <c r="V88" i="65" s="1"/>
  <c r="X34" i="5"/>
  <c r="Z32" i="5"/>
  <c r="Z33" i="5" s="1"/>
  <c r="Z30" i="5"/>
  <c r="Z31" i="5" s="1"/>
  <c r="W49" i="2" l="1"/>
  <c r="X49" i="2"/>
  <c r="Y49" i="2"/>
  <c r="V49" i="2"/>
  <c r="W36" i="2"/>
  <c r="X36" i="2"/>
  <c r="Y36" i="2"/>
  <c r="V36" i="2"/>
  <c r="Z36" i="2"/>
  <c r="X22" i="2"/>
  <c r="W22" i="2"/>
  <c r="V22" i="2"/>
  <c r="Y10" i="2"/>
  <c r="X10" i="2"/>
  <c r="W10" i="2"/>
  <c r="V10" i="2"/>
  <c r="J28" i="4"/>
  <c r="I28" i="4"/>
  <c r="H28" i="4"/>
  <c r="G28" i="4"/>
  <c r="J20" i="4"/>
  <c r="I20" i="4"/>
  <c r="H20" i="4"/>
  <c r="G20" i="4"/>
  <c r="J15" i="4"/>
  <c r="I15" i="4"/>
  <c r="H15" i="4"/>
  <c r="G15" i="4"/>
  <c r="Q88" i="5"/>
  <c r="R88" i="5"/>
  <c r="S88" i="5"/>
  <c r="W72" i="5"/>
  <c r="X72" i="5"/>
  <c r="Y72" i="5"/>
  <c r="V72" i="5"/>
  <c r="V88" i="5"/>
  <c r="W88" i="5"/>
  <c r="X88" i="5"/>
  <c r="W63" i="5"/>
  <c r="X63" i="5"/>
  <c r="X65" i="5" s="1"/>
  <c r="Y63" i="5"/>
  <c r="V63" i="5"/>
  <c r="V65" i="5" s="1"/>
  <c r="U63" i="5"/>
  <c r="R63" i="5"/>
  <c r="S63" i="5"/>
  <c r="T63" i="5"/>
  <c r="Q63" i="5"/>
  <c r="P63" i="5"/>
  <c r="W65" i="5"/>
  <c r="Y65" i="5"/>
  <c r="Y62" i="5"/>
  <c r="V51" i="5"/>
  <c r="V55" i="5" s="1"/>
  <c r="V49" i="5"/>
  <c r="W47" i="5"/>
  <c r="W46" i="5"/>
  <c r="W49" i="5" s="1"/>
  <c r="W38" i="5"/>
  <c r="X38" i="5"/>
  <c r="V38" i="5"/>
  <c r="Y36" i="5"/>
  <c r="Y34" i="5"/>
  <c r="W26" i="5"/>
  <c r="X26" i="5"/>
  <c r="Y26" i="5"/>
  <c r="V26" i="5"/>
  <c r="Y18" i="5"/>
  <c r="Y19" i="5"/>
  <c r="Y20" i="5"/>
  <c r="Y16" i="5"/>
  <c r="Y14" i="5"/>
  <c r="Y11" i="5"/>
  <c r="W9" i="5"/>
  <c r="W22" i="5" s="1"/>
  <c r="W13" i="2" s="1"/>
  <c r="X9" i="5"/>
  <c r="X22" i="5" s="1"/>
  <c r="X13" i="2" s="1"/>
  <c r="V9" i="5"/>
  <c r="V22" i="5" s="1"/>
  <c r="Y8" i="5"/>
  <c r="Y7" i="5"/>
  <c r="AD53" i="5"/>
  <c r="F73" i="9" s="1"/>
  <c r="AA34" i="5"/>
  <c r="G74" i="9"/>
  <c r="F74" i="9"/>
  <c r="C74" i="9"/>
  <c r="D74" i="9"/>
  <c r="E74" i="9"/>
  <c r="B74" i="9"/>
  <c r="X13" i="5" l="1"/>
  <c r="W13" i="5"/>
  <c r="Y9" i="5"/>
  <c r="Y13" i="5" s="1"/>
  <c r="V13" i="5"/>
  <c r="Y88" i="5"/>
  <c r="V13" i="2"/>
  <c r="Y38" i="5"/>
  <c r="Y67" i="5" s="1"/>
  <c r="V67" i="5"/>
  <c r="V12" i="2" s="1"/>
  <c r="W30" i="2"/>
  <c r="V69" i="5"/>
  <c r="X67" i="5"/>
  <c r="W67" i="5"/>
  <c r="W51" i="5"/>
  <c r="V53" i="5"/>
  <c r="X47" i="5"/>
  <c r="V54" i="5"/>
  <c r="D5" i="42"/>
  <c r="D4" i="42"/>
  <c r="B4" i="42"/>
  <c r="B5" i="42" s="1"/>
  <c r="D3" i="42"/>
  <c r="R9" i="5"/>
  <c r="Q13" i="5"/>
  <c r="Q9" i="5" s="1"/>
  <c r="Q8" i="5" s="1"/>
  <c r="Q14" i="5"/>
  <c r="S18" i="5"/>
  <c r="Q18" i="5" s="1"/>
  <c r="Q26" i="5"/>
  <c r="S26" i="5"/>
  <c r="T26" i="5"/>
  <c r="R26" i="5"/>
  <c r="S67" i="5"/>
  <c r="S22" i="5"/>
  <c r="X23" i="5" s="1"/>
  <c r="R12" i="2"/>
  <c r="V17" i="2" l="1"/>
  <c r="V24" i="2" s="1"/>
  <c r="Y22" i="5"/>
  <c r="Z22" i="5" s="1"/>
  <c r="V15" i="2"/>
  <c r="X30" i="2"/>
  <c r="X12" i="2"/>
  <c r="X69" i="5"/>
  <c r="W69" i="5"/>
  <c r="W12" i="2"/>
  <c r="Y12" i="2"/>
  <c r="X49" i="5"/>
  <c r="Y47" i="5"/>
  <c r="W55" i="5"/>
  <c r="W53" i="5"/>
  <c r="X51" i="5"/>
  <c r="W54" i="5"/>
  <c r="E6" i="9"/>
  <c r="R16" i="66"/>
  <c r="Q16" i="66"/>
  <c r="P16" i="66"/>
  <c r="V25" i="2" l="1"/>
  <c r="Y13" i="2"/>
  <c r="Y15" i="2" s="1"/>
  <c r="Y69" i="5"/>
  <c r="Y23" i="5"/>
  <c r="Y30" i="2"/>
  <c r="X17" i="2"/>
  <c r="X24" i="2" s="1"/>
  <c r="X25" i="2" s="1"/>
  <c r="X15" i="2"/>
  <c r="W15" i="2"/>
  <c r="W17" i="2"/>
  <c r="W24" i="2" s="1"/>
  <c r="W25" i="2" s="1"/>
  <c r="X53" i="5"/>
  <c r="Y51" i="5"/>
  <c r="X55" i="5"/>
  <c r="Y54" i="5"/>
  <c r="Y49" i="5"/>
  <c r="X54" i="5"/>
  <c r="T20" i="5"/>
  <c r="Y17" i="2" l="1"/>
  <c r="Z30" i="2"/>
  <c r="Y55" i="5"/>
  <c r="Y53" i="5"/>
  <c r="AF48" i="5"/>
  <c r="AG48" i="5" s="1"/>
  <c r="AH48" i="5" s="1"/>
  <c r="AI48" i="5" s="1"/>
  <c r="AJ48" i="5" s="1"/>
  <c r="AK48" i="5" s="1"/>
  <c r="AL48" i="5" s="1"/>
  <c r="AM48" i="5" s="1"/>
  <c r="AN48" i="5" s="1"/>
  <c r="AO48" i="5" s="1"/>
  <c r="AA32" i="5"/>
  <c r="AB32" i="5" s="1"/>
  <c r="AC32" i="5" s="1"/>
  <c r="AH11" i="5"/>
  <c r="AI11" i="5" s="1"/>
  <c r="AJ11" i="5" s="1"/>
  <c r="AK11" i="5" s="1"/>
  <c r="AL11" i="5" s="1"/>
  <c r="AM11" i="5" s="1"/>
  <c r="AN11" i="5" s="1"/>
  <c r="AO11" i="5" s="1"/>
  <c r="AI7" i="5"/>
  <c r="AJ7" i="5" s="1"/>
  <c r="AK7" i="5" s="1"/>
  <c r="AL7" i="5" s="1"/>
  <c r="AM7" i="5" s="1"/>
  <c r="AN7" i="5" s="1"/>
  <c r="AO7" i="5" s="1"/>
  <c r="AI8" i="5"/>
  <c r="AJ8" i="5" s="1"/>
  <c r="AK8" i="5" s="1"/>
  <c r="AL8" i="5" s="1"/>
  <c r="AM8" i="5" s="1"/>
  <c r="AN8" i="5" s="1"/>
  <c r="AO8" i="5" s="1"/>
  <c r="AG47" i="5"/>
  <c r="AH47" i="5" s="1"/>
  <c r="AI47" i="5" s="1"/>
  <c r="AJ47" i="5" s="1"/>
  <c r="AK47" i="5" s="1"/>
  <c r="AL47" i="5" s="1"/>
  <c r="AM47" i="5" s="1"/>
  <c r="AN47" i="5" s="1"/>
  <c r="AO47" i="5" s="1"/>
  <c r="AE46" i="5"/>
  <c r="AF46" i="5" s="1"/>
  <c r="AG46" i="5" s="1"/>
  <c r="AH46" i="5" s="1"/>
  <c r="AI46" i="5" s="1"/>
  <c r="AJ46" i="5" s="1"/>
  <c r="AK46" i="5" s="1"/>
  <c r="AL46" i="5" s="1"/>
  <c r="AM46" i="5" s="1"/>
  <c r="AN46" i="5" s="1"/>
  <c r="AO46" i="5" s="1"/>
  <c r="AD32" i="5" l="1"/>
  <c r="AE33" i="5"/>
  <c r="AF33" i="5" s="1"/>
  <c r="AH33" i="5" s="1"/>
  <c r="AI33" i="5" s="1"/>
  <c r="AJ33" i="5" s="1"/>
  <c r="AK33" i="5" s="1"/>
  <c r="AL33" i="5" s="1"/>
  <c r="AM33" i="5" s="1"/>
  <c r="AN33" i="5" s="1"/>
  <c r="AO33" i="5" s="1"/>
  <c r="AE32" i="5" l="1"/>
  <c r="AF32" i="5" s="1"/>
  <c r="AG32" i="5" s="1"/>
  <c r="AH32" i="5" s="1"/>
  <c r="AI32" i="5" s="1"/>
  <c r="AJ32" i="5" s="1"/>
  <c r="AK32" i="5" s="1"/>
  <c r="AL32" i="5" s="1"/>
  <c r="AM32" i="5" s="1"/>
  <c r="AN32" i="5" s="1"/>
  <c r="AO32" i="5" s="1"/>
  <c r="AI19" i="2" l="1"/>
  <c r="AI22" i="2" s="1"/>
  <c r="AH19" i="2"/>
  <c r="AH22" i="2" s="1"/>
  <c r="AG19" i="2"/>
  <c r="AG22" i="2" s="1"/>
  <c r="AF19" i="2"/>
  <c r="AF22" i="2" s="1"/>
  <c r="AE19" i="2"/>
  <c r="AE22" i="2" s="1"/>
  <c r="AD76" i="5"/>
  <c r="AE76" i="5" s="1"/>
  <c r="L93" i="65"/>
  <c r="M93" i="65"/>
  <c r="N93" i="65"/>
  <c r="P93" i="65"/>
  <c r="Q93" i="65"/>
  <c r="R93" i="65"/>
  <c r="S93" i="65"/>
  <c r="T93" i="65"/>
  <c r="U93" i="65"/>
  <c r="V93" i="65"/>
  <c r="W93" i="65"/>
  <c r="K96" i="65"/>
  <c r="L96" i="65" s="1"/>
  <c r="M96" i="65" s="1"/>
  <c r="N96" i="65" s="1"/>
  <c r="O96" i="65" s="1"/>
  <c r="P96" i="65" s="1"/>
  <c r="Q96" i="65" s="1"/>
  <c r="R96" i="65" s="1"/>
  <c r="S96" i="65" s="1"/>
  <c r="T96" i="65" s="1"/>
  <c r="U96" i="65" s="1"/>
  <c r="V96" i="65" s="1"/>
  <c r="W96" i="65" s="1"/>
  <c r="X96" i="65" s="1"/>
  <c r="Y96" i="65" s="1"/>
  <c r="X93" i="65" l="1"/>
  <c r="Y93" i="65"/>
  <c r="K93" i="65"/>
  <c r="O93" i="65"/>
  <c r="AF76" i="5"/>
  <c r="H83" i="9"/>
  <c r="G114" i="9"/>
  <c r="AG61" i="5"/>
  <c r="AE60" i="5"/>
  <c r="Q89" i="65"/>
  <c r="N89" i="65"/>
  <c r="K89" i="65"/>
  <c r="L89" i="65"/>
  <c r="M89" i="65"/>
  <c r="O89" i="65"/>
  <c r="P89" i="65"/>
  <c r="J89" i="65"/>
  <c r="J97" i="65"/>
  <c r="J99" i="65" s="1"/>
  <c r="X85" i="65"/>
  <c r="Y85" i="65"/>
  <c r="X84" i="65"/>
  <c r="Y84" i="65" s="1"/>
  <c r="X82" i="65"/>
  <c r="Y82" i="65"/>
  <c r="X81" i="65"/>
  <c r="Y81" i="65" s="1"/>
  <c r="X78" i="65"/>
  <c r="Y78" i="65"/>
  <c r="AF26" i="4"/>
  <c r="AE26" i="4"/>
  <c r="AF60" i="5" l="1"/>
  <c r="AH61" i="5"/>
  <c r="AI61" i="5" s="1"/>
  <c r="AJ61" i="5" s="1"/>
  <c r="AK61" i="5" s="1"/>
  <c r="AL61" i="5" s="1"/>
  <c r="AM61" i="5" s="1"/>
  <c r="AN61" i="5" s="1"/>
  <c r="AO61" i="5" s="1"/>
  <c r="AG76" i="5"/>
  <c r="H114" i="9"/>
  <c r="I83" i="9"/>
  <c r="K97" i="65"/>
  <c r="K99" i="65" s="1"/>
  <c r="K102" i="65" s="1"/>
  <c r="J102" i="65"/>
  <c r="X97" i="65"/>
  <c r="X99" i="65" s="1"/>
  <c r="Y97" i="65"/>
  <c r="Y99" i="65" s="1"/>
  <c r="AH76" i="5" l="1"/>
  <c r="J83" i="9"/>
  <c r="I114" i="9"/>
  <c r="K103" i="65"/>
  <c r="W73" i="9"/>
  <c r="AI76" i="5" l="1"/>
  <c r="K83" i="9"/>
  <c r="J114" i="9"/>
  <c r="AG60" i="5"/>
  <c r="AJ76" i="5" l="1"/>
  <c r="L83" i="9"/>
  <c r="K114" i="9"/>
  <c r="AD26" i="4"/>
  <c r="AC26" i="4"/>
  <c r="AB26" i="4"/>
  <c r="AA26" i="4"/>
  <c r="W84" i="65"/>
  <c r="W81" i="65"/>
  <c r="W78" i="65"/>
  <c r="W82" i="65" s="1"/>
  <c r="S84" i="65"/>
  <c r="S81" i="65"/>
  <c r="T81" i="65" s="1"/>
  <c r="U81" i="65" s="1"/>
  <c r="V81" i="65" s="1"/>
  <c r="S78" i="65"/>
  <c r="S82" i="65" s="1"/>
  <c r="AK76" i="5" l="1"/>
  <c r="L114" i="9"/>
  <c r="M83" i="9"/>
  <c r="R89" i="65"/>
  <c r="W85" i="65"/>
  <c r="S85" i="65"/>
  <c r="T84" i="65"/>
  <c r="T78" i="65"/>
  <c r="F12" i="4"/>
  <c r="F52" i="1"/>
  <c r="B26" i="5"/>
  <c r="C26" i="5"/>
  <c r="D26" i="5"/>
  <c r="E26" i="5"/>
  <c r="F26" i="5"/>
  <c r="C46" i="5"/>
  <c r="D46" i="5"/>
  <c r="C47" i="5"/>
  <c r="D47" i="5" s="1"/>
  <c r="E47" i="5" s="1"/>
  <c r="B49" i="5"/>
  <c r="B51" i="5"/>
  <c r="B54" i="5" s="1"/>
  <c r="E60" i="5"/>
  <c r="E61" i="5"/>
  <c r="B63" i="5"/>
  <c r="C63" i="5"/>
  <c r="D63" i="5"/>
  <c r="F63" i="5"/>
  <c r="B72" i="5"/>
  <c r="C72" i="5"/>
  <c r="D72" i="5"/>
  <c r="E72" i="5"/>
  <c r="F72" i="5"/>
  <c r="B85" i="5"/>
  <c r="C85" i="5"/>
  <c r="D85" i="5"/>
  <c r="E85" i="5"/>
  <c r="B88" i="5"/>
  <c r="C88" i="5"/>
  <c r="D88" i="5"/>
  <c r="E88" i="5"/>
  <c r="F88" i="5"/>
  <c r="F90" i="5"/>
  <c r="B53" i="5" l="1"/>
  <c r="B56" i="5" s="1"/>
  <c r="B55" i="5"/>
  <c r="C51" i="5"/>
  <c r="D51" i="5" s="1"/>
  <c r="D55" i="5" s="1"/>
  <c r="E63" i="5"/>
  <c r="C49" i="5"/>
  <c r="D49" i="5"/>
  <c r="F85" i="5"/>
  <c r="F92" i="5" s="1"/>
  <c r="F47" i="5"/>
  <c r="AL76" i="5"/>
  <c r="N83" i="9"/>
  <c r="M114" i="9"/>
  <c r="S89" i="65"/>
  <c r="T82" i="65"/>
  <c r="U78" i="65"/>
  <c r="T85" i="65"/>
  <c r="U84" i="65"/>
  <c r="E46" i="5"/>
  <c r="C53" i="5" l="1"/>
  <c r="D53" i="5"/>
  <c r="D56" i="5" s="1"/>
  <c r="D65" i="5" s="1"/>
  <c r="D67" i="5" s="1"/>
  <c r="D69" i="5" s="1"/>
  <c r="C54" i="5"/>
  <c r="C56" i="5" s="1"/>
  <c r="C65" i="5" s="1"/>
  <c r="C67" i="5" s="1"/>
  <c r="C69" i="5" s="1"/>
  <c r="C55" i="5"/>
  <c r="D54" i="5"/>
  <c r="E51" i="5"/>
  <c r="E54" i="5" s="1"/>
  <c r="E55" i="5"/>
  <c r="F51" i="5"/>
  <c r="AM76" i="5"/>
  <c r="O83" i="9"/>
  <c r="N114" i="9"/>
  <c r="T89" i="65"/>
  <c r="V84" i="65"/>
  <c r="U82" i="65"/>
  <c r="U85" i="65" s="1"/>
  <c r="V78" i="65"/>
  <c r="V82" i="65" s="1"/>
  <c r="E49" i="5"/>
  <c r="F46" i="5"/>
  <c r="F49" i="5" s="1"/>
  <c r="E53" i="5"/>
  <c r="B65" i="5"/>
  <c r="B67" i="5" s="1"/>
  <c r="F54" i="5" l="1"/>
  <c r="F55" i="5"/>
  <c r="AN76" i="5"/>
  <c r="O114" i="9"/>
  <c r="P83" i="9"/>
  <c r="W88" i="65"/>
  <c r="U89" i="65"/>
  <c r="V85" i="65"/>
  <c r="F67" i="5"/>
  <c r="B69" i="5"/>
  <c r="E56" i="5"/>
  <c r="F53" i="5"/>
  <c r="X88" i="65" l="1"/>
  <c r="Y88" i="65" s="1"/>
  <c r="AO76" i="5"/>
  <c r="Q114" i="9" s="1"/>
  <c r="P114" i="9"/>
  <c r="Q83" i="9"/>
  <c r="V89" i="65"/>
  <c r="E65" i="5"/>
  <c r="E67" i="5" s="1"/>
  <c r="E69" i="5" s="1"/>
  <c r="F56" i="5"/>
  <c r="F65" i="5" s="1"/>
  <c r="F69" i="5"/>
  <c r="F91" i="5"/>
  <c r="W89" i="65" l="1"/>
  <c r="T85" i="5"/>
  <c r="S85" i="5"/>
  <c r="R85" i="5"/>
  <c r="Q85" i="5"/>
  <c r="Y89" i="65" l="1"/>
  <c r="Y102" i="65" s="1"/>
  <c r="X89" i="65"/>
  <c r="X102" i="65" s="1"/>
  <c r="Y103" i="65" l="1"/>
  <c r="Q138" i="9"/>
  <c r="P138" i="9"/>
  <c r="O138" i="9"/>
  <c r="N138" i="9"/>
  <c r="M138" i="9"/>
  <c r="L138" i="9"/>
  <c r="AF13" i="4" l="1"/>
  <c r="W100" i="9"/>
  <c r="V100" i="9"/>
  <c r="AE15" i="4" l="1"/>
  <c r="V69" i="9"/>
  <c r="V117" i="9"/>
  <c r="W117" i="9"/>
  <c r="AF15" i="4"/>
  <c r="AF9" i="4"/>
  <c r="W69" i="9"/>
  <c r="L105" i="9"/>
  <c r="M105" i="9"/>
  <c r="N105" i="9"/>
  <c r="O105" i="9"/>
  <c r="P105" i="9"/>
  <c r="Q105" i="9"/>
  <c r="P20" i="5"/>
  <c r="P18" i="5" s="1"/>
  <c r="K20" i="5"/>
  <c r="K88" i="5" s="1"/>
  <c r="P30" i="5"/>
  <c r="L27" i="2"/>
  <c r="I59" i="65"/>
  <c r="I102" i="65" s="1"/>
  <c r="C31" i="9"/>
  <c r="D31" i="9" s="1"/>
  <c r="E31" i="9" s="1"/>
  <c r="F31" i="9" s="1"/>
  <c r="G31" i="9" s="1"/>
  <c r="H31" i="9" s="1"/>
  <c r="I31" i="9" s="1"/>
  <c r="J31" i="9" s="1"/>
  <c r="K31" i="9" s="1"/>
  <c r="L31" i="9" s="1"/>
  <c r="M31" i="9" s="1"/>
  <c r="N31" i="9" s="1"/>
  <c r="O31" i="9" s="1"/>
  <c r="P31" i="9" s="1"/>
  <c r="Q31" i="9" s="1"/>
  <c r="R31" i="9" s="1"/>
  <c r="L74" i="9"/>
  <c r="M74" i="9"/>
  <c r="N74" i="9"/>
  <c r="O74" i="9"/>
  <c r="P74" i="9"/>
  <c r="Q74" i="9"/>
  <c r="R74" i="9" s="1"/>
  <c r="S74" i="9" s="1"/>
  <c r="T74" i="9" s="1"/>
  <c r="U74" i="9" s="1"/>
  <c r="V74" i="9" s="1"/>
  <c r="W74" i="9" s="1"/>
  <c r="R17" i="66"/>
  <c r="D57" i="3"/>
  <c r="D48" i="3"/>
  <c r="U38" i="5"/>
  <c r="K30" i="5"/>
  <c r="AE49" i="5"/>
  <c r="AD49" i="5"/>
  <c r="AO72" i="5"/>
  <c r="AO26" i="5"/>
  <c r="AO9" i="5"/>
  <c r="AN72" i="5"/>
  <c r="AN26" i="5"/>
  <c r="AN9" i="5"/>
  <c r="AM72" i="5"/>
  <c r="AM26" i="5"/>
  <c r="AM9" i="5"/>
  <c r="AK72" i="5"/>
  <c r="AK26" i="5"/>
  <c r="AK9" i="5"/>
  <c r="AL72" i="5"/>
  <c r="AL26" i="5"/>
  <c r="AL9" i="5"/>
  <c r="AJ72" i="5"/>
  <c r="AJ26" i="5"/>
  <c r="AJ9" i="5"/>
  <c r="J17" i="66"/>
  <c r="K17" i="66"/>
  <c r="L17" i="66"/>
  <c r="M17" i="66"/>
  <c r="N17" i="66"/>
  <c r="O17" i="66"/>
  <c r="P17" i="66"/>
  <c r="Q17" i="66"/>
  <c r="I17" i="66"/>
  <c r="Z26" i="4"/>
  <c r="Y26" i="4"/>
  <c r="X26" i="4"/>
  <c r="V26" i="4"/>
  <c r="W26" i="4"/>
  <c r="U26" i="4"/>
  <c r="E25" i="3"/>
  <c r="F25" i="3" s="1"/>
  <c r="G25" i="3" s="1"/>
  <c r="H25" i="3" s="1"/>
  <c r="I25" i="3" s="1"/>
  <c r="M27" i="2" l="1"/>
  <c r="N27" i="2" s="1"/>
  <c r="W85" i="9"/>
  <c r="W86" i="9"/>
  <c r="H28" i="1"/>
  <c r="I28" i="1" s="1"/>
  <c r="J28" i="1" s="1"/>
  <c r="K28" i="1" s="1"/>
  <c r="L28" i="1" s="1"/>
  <c r="E36" i="1"/>
  <c r="F36" i="1"/>
  <c r="F29" i="1"/>
  <c r="E29" i="1"/>
  <c r="H16" i="1"/>
  <c r="J16" i="1" s="1"/>
  <c r="K16" i="1" s="1"/>
  <c r="L16" i="1" s="1"/>
  <c r="H17" i="1"/>
  <c r="I17" i="1" s="1"/>
  <c r="J17" i="1" s="1"/>
  <c r="K17" i="1" s="1"/>
  <c r="L17" i="1" s="1"/>
  <c r="H19" i="1"/>
  <c r="I19" i="1" s="1"/>
  <c r="J19" i="1" s="1"/>
  <c r="K19" i="1" s="1"/>
  <c r="L19" i="1" s="1"/>
  <c r="E31" i="3"/>
  <c r="D52" i="3"/>
  <c r="D41" i="3" s="1"/>
  <c r="E9" i="3"/>
  <c r="F9" i="3" s="1"/>
  <c r="G9" i="3" s="1"/>
  <c r="H9" i="3" s="1"/>
  <c r="I9" i="3" s="1"/>
  <c r="E10" i="3"/>
  <c r="F10" i="3" s="1"/>
  <c r="G10" i="3" s="1"/>
  <c r="H10" i="3" s="1"/>
  <c r="I10" i="3" s="1"/>
  <c r="C32" i="3"/>
  <c r="C24" i="3"/>
  <c r="C20" i="3"/>
  <c r="B20" i="3"/>
  <c r="C19" i="3"/>
  <c r="B19" i="3"/>
  <c r="U20" i="2"/>
  <c r="T34" i="5"/>
  <c r="T88" i="5" s="1"/>
  <c r="Q30" i="2"/>
  <c r="R30" i="2" s="1"/>
  <c r="AC143" i="5"/>
  <c r="K38" i="5"/>
  <c r="K18" i="5"/>
  <c r="U31" i="5"/>
  <c r="D33" i="3" l="1"/>
  <c r="D43" i="3"/>
  <c r="O27" i="2"/>
  <c r="P7" i="5"/>
  <c r="K7" i="5"/>
  <c r="O16" i="5"/>
  <c r="P38" i="5"/>
  <c r="P36" i="5" s="1"/>
  <c r="P22" i="5"/>
  <c r="F26" i="4" l="1"/>
  <c r="U6" i="2" s="1"/>
  <c r="C15" i="4"/>
  <c r="C20" i="4" s="1"/>
  <c r="D15" i="4"/>
  <c r="D20" i="4" s="1"/>
  <c r="E15" i="4"/>
  <c r="E20" i="4" s="1"/>
  <c r="B15" i="4"/>
  <c r="B20" i="4" s="1"/>
  <c r="F8" i="4"/>
  <c r="AE38" i="2"/>
  <c r="AF38" i="2" s="1"/>
  <c r="AG38" i="2" s="1"/>
  <c r="AH38" i="2" s="1"/>
  <c r="AI38" i="2" s="1"/>
  <c r="R36" i="2"/>
  <c r="R49" i="2" s="1"/>
  <c r="S36" i="2"/>
  <c r="S49" i="2" s="1"/>
  <c r="T36" i="2"/>
  <c r="T49" i="2" s="1"/>
  <c r="Q36" i="2"/>
  <c r="Q49" i="2" s="1"/>
  <c r="F15" i="4" l="1"/>
  <c r="E28" i="4"/>
  <c r="D28" i="4"/>
  <c r="C28" i="4"/>
  <c r="F20" i="4"/>
  <c r="F28" i="4" s="1"/>
  <c r="B28" i="4"/>
  <c r="R72" i="5"/>
  <c r="S72" i="5"/>
  <c r="T72" i="5"/>
  <c r="Q72" i="5"/>
  <c r="T62" i="5" l="1"/>
  <c r="Q49" i="5"/>
  <c r="R47" i="5"/>
  <c r="S47" i="5" s="1"/>
  <c r="R46" i="5"/>
  <c r="R49" i="5" s="1"/>
  <c r="Q67" i="5"/>
  <c r="T32" i="5"/>
  <c r="T30" i="5"/>
  <c r="P31" i="5"/>
  <c r="AB35" i="5"/>
  <c r="T18" i="5"/>
  <c r="T14" i="5"/>
  <c r="AC35" i="5" l="1"/>
  <c r="AD35" i="5" s="1"/>
  <c r="AE35" i="5" s="1"/>
  <c r="AF35" i="5" s="1"/>
  <c r="AH35" i="5" s="1"/>
  <c r="AI35" i="5" s="1"/>
  <c r="AJ35" i="5" s="1"/>
  <c r="AK35" i="5" s="1"/>
  <c r="AL35" i="5" s="1"/>
  <c r="AM35" i="5" s="1"/>
  <c r="AN35" i="5" s="1"/>
  <c r="AO35" i="5" s="1"/>
  <c r="AB34" i="5"/>
  <c r="T47" i="5"/>
  <c r="S49" i="5"/>
  <c r="AC34" i="5" l="1"/>
  <c r="AD34" i="5" s="1"/>
  <c r="AD88" i="5" s="1"/>
  <c r="R8" i="5"/>
  <c r="T49" i="5"/>
  <c r="AE34" i="5" l="1"/>
  <c r="AF34" i="5" s="1"/>
  <c r="AG34" i="5" s="1"/>
  <c r="AH34" i="5" s="1"/>
  <c r="AI34" i="5" s="1"/>
  <c r="AJ34" i="5" s="1"/>
  <c r="AK34" i="5" s="1"/>
  <c r="AL34" i="5" s="1"/>
  <c r="AM34" i="5" s="1"/>
  <c r="AN34" i="5" s="1"/>
  <c r="AO34" i="5" s="1"/>
  <c r="Q22" i="5"/>
  <c r="L67" i="5"/>
  <c r="L22" i="5"/>
  <c r="K67" i="5"/>
  <c r="K22" i="5"/>
  <c r="N22" i="2"/>
  <c r="O22" i="2"/>
  <c r="L22" i="2"/>
  <c r="M21" i="2"/>
  <c r="M19" i="2"/>
  <c r="P15" i="2"/>
  <c r="N15" i="2"/>
  <c r="O15" i="2"/>
  <c r="L15" i="2"/>
  <c r="M13" i="2"/>
  <c r="M22" i="5" s="1"/>
  <c r="M12" i="2"/>
  <c r="M67" i="5" s="1"/>
  <c r="R13" i="2"/>
  <c r="R22" i="5" s="1"/>
  <c r="W23" i="5" s="1"/>
  <c r="R67" i="5"/>
  <c r="Q22" i="2"/>
  <c r="R21" i="2"/>
  <c r="R19" i="2"/>
  <c r="U19" i="2" s="1"/>
  <c r="G52" i="1" s="1"/>
  <c r="G51" i="1" s="1"/>
  <c r="Q15" i="2"/>
  <c r="P21" i="2"/>
  <c r="K21" i="2"/>
  <c r="U22" i="5" l="1"/>
  <c r="V23" i="5"/>
  <c r="Q69" i="5"/>
  <c r="K69" i="5"/>
  <c r="R69" i="5"/>
  <c r="R22" i="2"/>
  <c r="M22" i="2"/>
  <c r="R23" i="5"/>
  <c r="M15" i="2"/>
  <c r="Q23" i="5"/>
  <c r="R15" i="2"/>
  <c r="U21" i="2" l="1"/>
  <c r="S22" i="2"/>
  <c r="F31" i="3"/>
  <c r="E10" i="9" l="1"/>
  <c r="E7" i="9"/>
  <c r="B138" i="9"/>
  <c r="C138" i="9"/>
  <c r="D138" i="9"/>
  <c r="E138" i="9"/>
  <c r="F138" i="9"/>
  <c r="G138" i="9"/>
  <c r="H138" i="9"/>
  <c r="I138" i="9"/>
  <c r="J138" i="9"/>
  <c r="K138" i="9"/>
  <c r="B134" i="9"/>
  <c r="C134" i="9"/>
  <c r="D134" i="9"/>
  <c r="B105" i="9"/>
  <c r="C105" i="9"/>
  <c r="D105" i="9"/>
  <c r="E105" i="9"/>
  <c r="F105" i="9"/>
  <c r="G105" i="9"/>
  <c r="H105" i="9"/>
  <c r="I105" i="9"/>
  <c r="J105" i="9"/>
  <c r="K105" i="9"/>
  <c r="B101" i="9"/>
  <c r="C101" i="9"/>
  <c r="D101" i="9"/>
  <c r="H74" i="9"/>
  <c r="I74" i="9"/>
  <c r="J74" i="9"/>
  <c r="K74" i="9"/>
  <c r="B70" i="9"/>
  <c r="C70" i="9"/>
  <c r="D70" i="9"/>
  <c r="G156" i="9"/>
  <c r="G155" i="9"/>
  <c r="C143" i="9"/>
  <c r="D143" i="9" s="1"/>
  <c r="E143" i="9" s="1"/>
  <c r="F143" i="9" s="1"/>
  <c r="G143" i="9" s="1"/>
  <c r="H143" i="9" s="1"/>
  <c r="I143" i="9" s="1"/>
  <c r="J143" i="9" s="1"/>
  <c r="K143" i="9" s="1"/>
  <c r="L143" i="9" s="1"/>
  <c r="M143" i="9" s="1"/>
  <c r="N143" i="9" s="1"/>
  <c r="O143" i="9" s="1"/>
  <c r="P143" i="9" s="1"/>
  <c r="Q143" i="9" s="1"/>
  <c r="R143" i="9" s="1"/>
  <c r="B170" i="9" l="1"/>
  <c r="D170" i="9"/>
  <c r="C170" i="9"/>
  <c r="C26" i="3"/>
  <c r="D17" i="3"/>
  <c r="H11" i="1"/>
  <c r="E17" i="3" s="1"/>
  <c r="G10" i="1"/>
  <c r="D16" i="3" s="1"/>
  <c r="E26" i="3" l="1"/>
  <c r="F26" i="3" s="1"/>
  <c r="I11" i="1"/>
  <c r="J11" i="1" s="1"/>
  <c r="H10" i="1"/>
  <c r="K11" i="1" l="1"/>
  <c r="G17" i="3"/>
  <c r="F17" i="3"/>
  <c r="I10" i="1"/>
  <c r="E16" i="3"/>
  <c r="L11" i="1" l="1"/>
  <c r="I17" i="3" s="1"/>
  <c r="H17" i="3"/>
  <c r="J10" i="1"/>
  <c r="F16" i="3"/>
  <c r="K10" i="1" l="1"/>
  <c r="G16" i="3"/>
  <c r="L10" i="1" l="1"/>
  <c r="I16" i="3" s="1"/>
  <c r="H16" i="3"/>
  <c r="AD78" i="5" l="1"/>
  <c r="K6" i="2"/>
  <c r="K7" i="2"/>
  <c r="K5" i="2"/>
  <c r="AE78" i="5" l="1"/>
  <c r="G85" i="5"/>
  <c r="M47" i="5"/>
  <c r="N47" i="5" s="1"/>
  <c r="O47" i="5" s="1"/>
  <c r="H47" i="5"/>
  <c r="I47" i="5" s="1"/>
  <c r="J47" i="5" s="1"/>
  <c r="M46" i="5"/>
  <c r="H46" i="5"/>
  <c r="I46" i="5" s="1"/>
  <c r="J46" i="5" s="1"/>
  <c r="O34" i="5"/>
  <c r="O32" i="5"/>
  <c r="H38" i="5"/>
  <c r="I38" i="5"/>
  <c r="G38" i="5"/>
  <c r="AA14" i="5"/>
  <c r="Z9" i="5"/>
  <c r="Z13" i="5" s="1"/>
  <c r="AA9" i="5"/>
  <c r="AB9" i="5"/>
  <c r="AC9" i="5"/>
  <c r="AD9" i="5"/>
  <c r="AE9" i="5"/>
  <c r="AF9" i="5"/>
  <c r="AG9" i="5"/>
  <c r="AH9" i="5"/>
  <c r="AI9" i="5"/>
  <c r="P9" i="5"/>
  <c r="O8" i="5"/>
  <c r="M9" i="5"/>
  <c r="M19" i="5" s="1"/>
  <c r="N9" i="5"/>
  <c r="L9" i="5"/>
  <c r="L19" i="5" s="1"/>
  <c r="K9" i="5"/>
  <c r="AI72" i="5"/>
  <c r="AI26" i="5"/>
  <c r="AH72" i="5"/>
  <c r="AH26" i="5"/>
  <c r="AG72" i="5"/>
  <c r="AG26" i="5"/>
  <c r="AF72" i="5"/>
  <c r="AF26" i="5"/>
  <c r="AE72" i="5"/>
  <c r="AE26" i="5"/>
  <c r="O14" i="5" l="1"/>
  <c r="AE18" i="5"/>
  <c r="AF18" i="5" s="1"/>
  <c r="AG18" i="5" s="1"/>
  <c r="AH18" i="5" s="1"/>
  <c r="AI18" i="5" s="1"/>
  <c r="AJ18" i="5" s="1"/>
  <c r="AK18" i="5" s="1"/>
  <c r="AL18" i="5" s="1"/>
  <c r="AM18" i="5" s="1"/>
  <c r="AN18" i="5" s="1"/>
  <c r="AO18" i="5" s="1"/>
  <c r="AB14" i="5"/>
  <c r="AF78" i="5"/>
  <c r="H85" i="5"/>
  <c r="O11" i="5"/>
  <c r="AG78" i="5" l="1"/>
  <c r="AC14" i="5"/>
  <c r="I85" i="5"/>
  <c r="O20" i="5" l="1"/>
  <c r="N22" i="5"/>
  <c r="AD14" i="5"/>
  <c r="AH78" i="5"/>
  <c r="J85" i="5"/>
  <c r="AI78" i="5" l="1"/>
  <c r="AE14" i="5"/>
  <c r="AJ78" i="5" l="1"/>
  <c r="AK78" i="5" s="1"/>
  <c r="AF14" i="5"/>
  <c r="AL78" i="5" l="1"/>
  <c r="AG14" i="5"/>
  <c r="AM78" i="5" l="1"/>
  <c r="AH14" i="5"/>
  <c r="AN78" i="5" l="1"/>
  <c r="AI14" i="5"/>
  <c r="AJ14" i="5" l="1"/>
  <c r="AO78" i="5"/>
  <c r="AK14" i="5"/>
  <c r="AI20" i="5"/>
  <c r="AJ20" i="5" s="1"/>
  <c r="AK20" i="5" l="1"/>
  <c r="AL14" i="5"/>
  <c r="F18" i="4"/>
  <c r="K18" i="4"/>
  <c r="B133" i="9" s="1"/>
  <c r="L18" i="4"/>
  <c r="C133" i="9" s="1"/>
  <c r="M18" i="4"/>
  <c r="N18" i="4"/>
  <c r="AC84" i="5" s="1"/>
  <c r="O18" i="4"/>
  <c r="AD84" i="5" s="1"/>
  <c r="N12" i="4"/>
  <c r="O12" i="4"/>
  <c r="P12" i="4"/>
  <c r="J29" i="65"/>
  <c r="J26" i="66"/>
  <c r="K26" i="66" s="1"/>
  <c r="L26" i="66" s="1"/>
  <c r="M26" i="66" s="1"/>
  <c r="N26" i="66" s="1"/>
  <c r="O26" i="66" s="1"/>
  <c r="P26" i="66" s="1"/>
  <c r="Q26" i="66" s="1"/>
  <c r="R26" i="66" s="1"/>
  <c r="I25" i="66"/>
  <c r="I27" i="66" s="1"/>
  <c r="J24" i="66"/>
  <c r="J25" i="66" s="1"/>
  <c r="J27" i="66" s="1"/>
  <c r="K22" i="66"/>
  <c r="K21" i="66" s="1"/>
  <c r="J21" i="66"/>
  <c r="C12" i="66"/>
  <c r="D12" i="66" s="1"/>
  <c r="C10" i="66"/>
  <c r="D10" i="66" s="1"/>
  <c r="E10" i="66" s="1"/>
  <c r="F10" i="66" s="1"/>
  <c r="G10" i="66" s="1"/>
  <c r="H10" i="66" s="1"/>
  <c r="I10" i="66" s="1"/>
  <c r="J10" i="66" s="1"/>
  <c r="K10" i="66" s="1"/>
  <c r="L10" i="66" s="1"/>
  <c r="M10" i="66" s="1"/>
  <c r="N10" i="66" s="1"/>
  <c r="O10" i="66" s="1"/>
  <c r="P10" i="66" s="1"/>
  <c r="Q10" i="66" s="1"/>
  <c r="R10" i="66" s="1"/>
  <c r="B9" i="66"/>
  <c r="B13" i="66" s="1"/>
  <c r="C6" i="66"/>
  <c r="D6" i="66" s="1"/>
  <c r="E6" i="66" s="1"/>
  <c r="F6" i="66" s="1"/>
  <c r="G6" i="66" s="1"/>
  <c r="H6" i="66" s="1"/>
  <c r="I6" i="66" s="1"/>
  <c r="J6" i="66" s="1"/>
  <c r="K6" i="66" s="1"/>
  <c r="L6" i="66" s="1"/>
  <c r="M6" i="66" s="1"/>
  <c r="N6" i="66" s="1"/>
  <c r="O6" i="66" s="1"/>
  <c r="P6" i="66" s="1"/>
  <c r="Q6" i="66" s="1"/>
  <c r="R6" i="66" s="1"/>
  <c r="C4" i="66"/>
  <c r="AE83" i="5" l="1"/>
  <c r="G101" i="9" s="1"/>
  <c r="D100" i="9"/>
  <c r="M15" i="4"/>
  <c r="M20" i="4" s="1"/>
  <c r="AD83" i="5"/>
  <c r="F101" i="9" s="1"/>
  <c r="C100" i="9"/>
  <c r="C69" i="9"/>
  <c r="C169" i="9" s="1"/>
  <c r="AC83" i="5"/>
  <c r="E101" i="9" s="1"/>
  <c r="B100" i="9"/>
  <c r="K15" i="4"/>
  <c r="K20" i="4" s="1"/>
  <c r="AL20" i="5"/>
  <c r="J59" i="65"/>
  <c r="AM14" i="5"/>
  <c r="C135" i="9"/>
  <c r="E133" i="9"/>
  <c r="F134" i="9"/>
  <c r="D133" i="9"/>
  <c r="E134" i="9"/>
  <c r="F100" i="9"/>
  <c r="B135" i="9"/>
  <c r="G100" i="9"/>
  <c r="E100" i="9"/>
  <c r="F133" i="9"/>
  <c r="U5" i="2"/>
  <c r="U7" i="2" s="1"/>
  <c r="L22" i="66"/>
  <c r="M22" i="66" s="1"/>
  <c r="N22" i="66" s="1"/>
  <c r="O22" i="66" s="1"/>
  <c r="P22" i="66" s="1"/>
  <c r="Q22" i="66" s="1"/>
  <c r="R22" i="66" s="1"/>
  <c r="K24" i="66"/>
  <c r="C9" i="66"/>
  <c r="D4" i="66"/>
  <c r="E12" i="66"/>
  <c r="B11" i="66"/>
  <c r="AM20" i="5" l="1"/>
  <c r="AN14" i="5"/>
  <c r="Z5" i="2"/>
  <c r="D69" i="9"/>
  <c r="D169" i="9" s="1"/>
  <c r="AB5" i="2"/>
  <c r="AC82" i="5"/>
  <c r="E70" i="9" s="1"/>
  <c r="E170" i="9" s="1"/>
  <c r="N15" i="4"/>
  <c r="N20" i="4" s="1"/>
  <c r="B69" i="9"/>
  <c r="B169" i="9" s="1"/>
  <c r="L15" i="4"/>
  <c r="L20" i="4" s="1"/>
  <c r="D135" i="9"/>
  <c r="E69" i="9"/>
  <c r="E169" i="9" s="1"/>
  <c r="E135" i="9"/>
  <c r="F135" i="9"/>
  <c r="C11" i="66"/>
  <c r="C13" i="66"/>
  <c r="K25" i="66"/>
  <c r="K27" i="66" s="1"/>
  <c r="L24" i="66"/>
  <c r="D9" i="66"/>
  <c r="E4" i="66"/>
  <c r="F12" i="66"/>
  <c r="L21" i="66"/>
  <c r="M21" i="66" s="1"/>
  <c r="N21" i="66" s="1"/>
  <c r="O21" i="66" s="1"/>
  <c r="P21" i="66" s="1"/>
  <c r="Q21" i="66" s="1"/>
  <c r="R21" i="66" s="1"/>
  <c r="AN20" i="5" l="1"/>
  <c r="AO14" i="5"/>
  <c r="AC85" i="5"/>
  <c r="AA5" i="2"/>
  <c r="AC5" i="2"/>
  <c r="E9" i="66"/>
  <c r="F4" i="66"/>
  <c r="G12" i="66"/>
  <c r="D11" i="66"/>
  <c r="D13" i="66"/>
  <c r="L25" i="66"/>
  <c r="L27" i="66" s="1"/>
  <c r="M24" i="66"/>
  <c r="AO20" i="5" l="1"/>
  <c r="H12" i="66"/>
  <c r="N24" i="66"/>
  <c r="M25" i="66"/>
  <c r="M27" i="66" s="1"/>
  <c r="F9" i="66"/>
  <c r="G4" i="66"/>
  <c r="E11" i="66"/>
  <c r="E13" i="66"/>
  <c r="F11" i="66" l="1"/>
  <c r="F13" i="66"/>
  <c r="N25" i="66"/>
  <c r="N27" i="66" s="1"/>
  <c r="O24" i="66"/>
  <c r="G9" i="66"/>
  <c r="H4" i="66"/>
  <c r="I12" i="66"/>
  <c r="H9" i="66" l="1"/>
  <c r="I4" i="66"/>
  <c r="O25" i="66"/>
  <c r="O27" i="66" s="1"/>
  <c r="P24" i="66"/>
  <c r="G11" i="66"/>
  <c r="G13" i="66"/>
  <c r="J12" i="66"/>
  <c r="K12" i="66" l="1"/>
  <c r="H11" i="66"/>
  <c r="H13" i="66"/>
  <c r="Q24" i="66"/>
  <c r="P25" i="66"/>
  <c r="P27" i="66" s="1"/>
  <c r="I9" i="66"/>
  <c r="J4" i="66"/>
  <c r="I11" i="66" l="1"/>
  <c r="I19" i="66" s="1"/>
  <c r="I29" i="66" s="1"/>
  <c r="P18" i="4" s="1"/>
  <c r="AE84" i="5" s="1"/>
  <c r="G134" i="9" s="1"/>
  <c r="I13" i="66"/>
  <c r="R24" i="66"/>
  <c r="R25" i="66" s="1"/>
  <c r="R27" i="66" s="1"/>
  <c r="Q25" i="66"/>
  <c r="Q27" i="66" s="1"/>
  <c r="L12" i="66"/>
  <c r="J9" i="66"/>
  <c r="K4" i="66"/>
  <c r="G133" i="9" l="1"/>
  <c r="K9" i="66"/>
  <c r="L4" i="66"/>
  <c r="J11" i="66"/>
  <c r="J13" i="66"/>
  <c r="M12" i="66"/>
  <c r="G147" i="9" l="1"/>
  <c r="G148" i="9" s="1"/>
  <c r="G150" i="9"/>
  <c r="G135" i="9"/>
  <c r="J19" i="66"/>
  <c r="J29" i="66" s="1"/>
  <c r="Q18" i="4" s="1"/>
  <c r="AF84" i="5" s="1"/>
  <c r="H134" i="9" s="1"/>
  <c r="N12" i="66"/>
  <c r="L9" i="66"/>
  <c r="M4" i="66"/>
  <c r="K11" i="66"/>
  <c r="K13" i="66"/>
  <c r="H133" i="9" l="1"/>
  <c r="H147" i="9" s="1"/>
  <c r="H148" i="9" s="1"/>
  <c r="M9" i="66"/>
  <c r="N4" i="66"/>
  <c r="K19" i="66"/>
  <c r="K29" i="66" s="1"/>
  <c r="R18" i="4" s="1"/>
  <c r="AG84" i="5" s="1"/>
  <c r="I134" i="9" s="1"/>
  <c r="L11" i="66"/>
  <c r="L13" i="66"/>
  <c r="O12" i="66"/>
  <c r="I133" i="9" l="1"/>
  <c r="I150" i="9" s="1"/>
  <c r="H150" i="9"/>
  <c r="H135" i="9"/>
  <c r="L19" i="66"/>
  <c r="L29" i="66" s="1"/>
  <c r="S18" i="4" s="1"/>
  <c r="AH84" i="5" s="1"/>
  <c r="J134" i="9" s="1"/>
  <c r="M11" i="66"/>
  <c r="M19" i="66" s="1"/>
  <c r="M29" i="66" s="1"/>
  <c r="T18" i="4" s="1"/>
  <c r="AI84" i="5" s="1"/>
  <c r="M13" i="66"/>
  <c r="P12" i="66"/>
  <c r="N9" i="66"/>
  <c r="O4" i="66"/>
  <c r="I147" i="9" l="1"/>
  <c r="I148" i="9" s="1"/>
  <c r="K133" i="9"/>
  <c r="K150" i="9" s="1"/>
  <c r="I135" i="9"/>
  <c r="J133" i="9"/>
  <c r="J135" i="9" s="1"/>
  <c r="K134" i="9"/>
  <c r="O9" i="66"/>
  <c r="P4" i="66"/>
  <c r="N11" i="66"/>
  <c r="N19" i="66" s="1"/>
  <c r="N29" i="66" s="1"/>
  <c r="N13" i="66"/>
  <c r="Q12" i="66"/>
  <c r="K135" i="9" l="1"/>
  <c r="K147" i="9"/>
  <c r="J147" i="9"/>
  <c r="J148" i="9" s="1"/>
  <c r="N30" i="66"/>
  <c r="U18" i="4"/>
  <c r="AJ84" i="5" s="1"/>
  <c r="L134" i="9" s="1"/>
  <c r="J150" i="9"/>
  <c r="R12" i="66"/>
  <c r="P9" i="66"/>
  <c r="Q4" i="66"/>
  <c r="O11" i="66"/>
  <c r="O13" i="66"/>
  <c r="L147" i="9" l="1"/>
  <c r="K148" i="9"/>
  <c r="L133" i="9"/>
  <c r="O19" i="66"/>
  <c r="O29" i="66" s="1"/>
  <c r="R4" i="66"/>
  <c r="R9" i="66" s="1"/>
  <c r="R11" i="66" s="1"/>
  <c r="Q9" i="66"/>
  <c r="P11" i="66"/>
  <c r="P13" i="66"/>
  <c r="M147" i="9" l="1"/>
  <c r="L148" i="9"/>
  <c r="L150" i="9"/>
  <c r="L135" i="9"/>
  <c r="O30" i="66"/>
  <c r="V18" i="4"/>
  <c r="AK84" i="5" s="1"/>
  <c r="M134" i="9" s="1"/>
  <c r="P19" i="66"/>
  <c r="P29" i="66" s="1"/>
  <c r="Q11" i="66"/>
  <c r="Q13" i="66"/>
  <c r="R13" i="66"/>
  <c r="R19" i="66" s="1"/>
  <c r="R29" i="66" s="1"/>
  <c r="Y18" i="4" s="1"/>
  <c r="P133" i="9" l="1"/>
  <c r="P150" i="9" s="1"/>
  <c r="AN84" i="5"/>
  <c r="N147" i="9"/>
  <c r="M148" i="9"/>
  <c r="M133" i="9"/>
  <c r="Z18" i="4"/>
  <c r="AO84" i="5" s="1"/>
  <c r="Q134" i="9" s="1"/>
  <c r="P30" i="66"/>
  <c r="W18" i="4"/>
  <c r="AL84" i="5" s="1"/>
  <c r="N134" i="9" s="1"/>
  <c r="Q19" i="66"/>
  <c r="Q29" i="66" s="1"/>
  <c r="R30" i="66" s="1"/>
  <c r="O147" i="9" l="1"/>
  <c r="N148" i="9"/>
  <c r="Q133" i="9"/>
  <c r="AA18" i="4"/>
  <c r="M150" i="9"/>
  <c r="M135" i="9"/>
  <c r="N133" i="9"/>
  <c r="Q135" i="9"/>
  <c r="Q30" i="66"/>
  <c r="X18" i="4"/>
  <c r="AM84" i="5" s="1"/>
  <c r="O134" i="9" s="1"/>
  <c r="B82" i="65"/>
  <c r="B85" i="65" s="1"/>
  <c r="C84" i="65"/>
  <c r="D84" i="65" s="1"/>
  <c r="E84" i="65" s="1"/>
  <c r="F84" i="65" s="1"/>
  <c r="G84" i="65" s="1"/>
  <c r="H84" i="65" s="1"/>
  <c r="I84" i="65" s="1"/>
  <c r="J84" i="65" s="1"/>
  <c r="K84" i="65" s="1"/>
  <c r="L84" i="65" s="1"/>
  <c r="M84" i="65" s="1"/>
  <c r="N84" i="65" s="1"/>
  <c r="O84" i="65" s="1"/>
  <c r="P84" i="65" s="1"/>
  <c r="Q84" i="65" s="1"/>
  <c r="R84" i="65" s="1"/>
  <c r="C81" i="65"/>
  <c r="D81" i="65" s="1"/>
  <c r="E81" i="65" s="1"/>
  <c r="F81" i="65" s="1"/>
  <c r="G81" i="65" s="1"/>
  <c r="H81" i="65" s="1"/>
  <c r="I81" i="65" s="1"/>
  <c r="J81" i="65" s="1"/>
  <c r="K81" i="65" s="1"/>
  <c r="L81" i="65" s="1"/>
  <c r="M81" i="65" s="1"/>
  <c r="N81" i="65" s="1"/>
  <c r="O81" i="65" s="1"/>
  <c r="P81" i="65" s="1"/>
  <c r="Q81" i="65" s="1"/>
  <c r="R81" i="65" s="1"/>
  <c r="C78" i="65"/>
  <c r="Q150" i="9" l="1"/>
  <c r="P147" i="9"/>
  <c r="O148" i="9"/>
  <c r="AB18" i="4"/>
  <c r="S97" i="65"/>
  <c r="S99" i="65" s="1"/>
  <c r="S102" i="65" s="1"/>
  <c r="O133" i="9"/>
  <c r="I10" i="9" s="1"/>
  <c r="P134" i="9"/>
  <c r="P135" i="9" s="1"/>
  <c r="N150" i="9"/>
  <c r="N135" i="9"/>
  <c r="C82" i="65"/>
  <c r="C85" i="65" s="1"/>
  <c r="D78" i="65"/>
  <c r="Q147" i="9" l="1"/>
  <c r="Q148" i="9" s="1"/>
  <c r="P148" i="9"/>
  <c r="AC18" i="4"/>
  <c r="T97" i="65"/>
  <c r="T99" i="65" s="1"/>
  <c r="T102" i="65" s="1"/>
  <c r="O150" i="9"/>
  <c r="O135" i="9"/>
  <c r="D82" i="65"/>
  <c r="D85" i="65" s="1"/>
  <c r="E78" i="65"/>
  <c r="T103" i="65" l="1"/>
  <c r="AD18" i="4"/>
  <c r="AE18" i="4" s="1"/>
  <c r="U97" i="65"/>
  <c r="U99" i="65" s="1"/>
  <c r="U102" i="65" s="1"/>
  <c r="F78" i="65"/>
  <c r="E82" i="65"/>
  <c r="E85" i="65" s="1"/>
  <c r="AF18" i="4" l="1"/>
  <c r="AF20" i="4" s="1"/>
  <c r="AE20" i="4"/>
  <c r="AE28" i="4" s="1"/>
  <c r="R100" i="9"/>
  <c r="R117" i="9" s="1"/>
  <c r="AA13" i="4"/>
  <c r="U103" i="65"/>
  <c r="W97" i="65"/>
  <c r="W99" i="65" s="1"/>
  <c r="W102" i="65" s="1"/>
  <c r="X103" i="65" s="1"/>
  <c r="V97" i="65"/>
  <c r="V99" i="65" s="1"/>
  <c r="V102" i="65" s="1"/>
  <c r="F82" i="65"/>
  <c r="F85" i="65" s="1"/>
  <c r="G78" i="65"/>
  <c r="AF21" i="4" l="1"/>
  <c r="AF28" i="4"/>
  <c r="AF29" i="4" s="1"/>
  <c r="S100" i="9"/>
  <c r="S117" i="9" s="1"/>
  <c r="AB13" i="4"/>
  <c r="V103" i="65"/>
  <c r="W103" i="65"/>
  <c r="G82" i="65"/>
  <c r="G85" i="65" s="1"/>
  <c r="H78" i="65"/>
  <c r="U100" i="9" l="1"/>
  <c r="U117" i="9" s="1"/>
  <c r="AD13" i="4"/>
  <c r="AE13" i="4"/>
  <c r="T100" i="9"/>
  <c r="AC13" i="4"/>
  <c r="H82" i="65"/>
  <c r="H85" i="65" s="1"/>
  <c r="I78" i="65"/>
  <c r="T117" i="9" l="1"/>
  <c r="I82" i="65"/>
  <c r="I85" i="65" s="1"/>
  <c r="J78" i="65"/>
  <c r="J82" i="65" l="1"/>
  <c r="J85" i="65" s="1"/>
  <c r="AF83" i="5" s="1"/>
  <c r="K78" i="65"/>
  <c r="H101" i="9" l="1"/>
  <c r="H100" i="9"/>
  <c r="K82" i="65"/>
  <c r="K85" i="65" s="1"/>
  <c r="L78" i="65"/>
  <c r="L82" i="65" l="1"/>
  <c r="L85" i="65" s="1"/>
  <c r="M78" i="65"/>
  <c r="M82" i="65" l="1"/>
  <c r="M85" i="65" s="1"/>
  <c r="N78" i="65"/>
  <c r="N82" i="65" l="1"/>
  <c r="N85" i="65" s="1"/>
  <c r="O78" i="65"/>
  <c r="O82" i="65" l="1"/>
  <c r="O85" i="65" s="1"/>
  <c r="P78" i="65"/>
  <c r="P82" i="65" l="1"/>
  <c r="P85" i="65" s="1"/>
  <c r="Q78" i="65"/>
  <c r="Q82" i="65" l="1"/>
  <c r="Q85" i="65" s="1"/>
  <c r="R78" i="65"/>
  <c r="R82" i="65" s="1"/>
  <c r="R85" i="65" s="1"/>
  <c r="L65" i="65" l="1"/>
  <c r="K63" i="65"/>
  <c r="L63" i="65" s="1"/>
  <c r="M63" i="65" s="1"/>
  <c r="N63" i="65" s="1"/>
  <c r="O63" i="65" s="1"/>
  <c r="P63" i="65" s="1"/>
  <c r="Q63" i="65" s="1"/>
  <c r="J64" i="65"/>
  <c r="J66" i="65" s="1"/>
  <c r="C51" i="65"/>
  <c r="C48" i="65"/>
  <c r="B49" i="65"/>
  <c r="B52" i="65" s="1"/>
  <c r="C45" i="65"/>
  <c r="D45" i="65" s="1"/>
  <c r="R63" i="65" l="1"/>
  <c r="D51" i="65"/>
  <c r="M65" i="65"/>
  <c r="E45" i="65"/>
  <c r="F45" i="65" s="1"/>
  <c r="G45" i="65" s="1"/>
  <c r="H45" i="65" s="1"/>
  <c r="I45" i="65" s="1"/>
  <c r="J45" i="65" s="1"/>
  <c r="K45" i="65" s="1"/>
  <c r="L45" i="65" s="1"/>
  <c r="M45" i="65" s="1"/>
  <c r="N45" i="65" s="1"/>
  <c r="O45" i="65" s="1"/>
  <c r="P45" i="65" s="1"/>
  <c r="Q45" i="65" s="1"/>
  <c r="R45" i="65" s="1"/>
  <c r="C49" i="65"/>
  <c r="C52" i="65" s="1"/>
  <c r="D48" i="65"/>
  <c r="E48" i="65" s="1"/>
  <c r="F48" i="65" s="1"/>
  <c r="F49" i="65" s="1"/>
  <c r="E51" i="65" l="1"/>
  <c r="E49" i="65"/>
  <c r="N65" i="65"/>
  <c r="G48" i="65"/>
  <c r="G49" i="65" s="1"/>
  <c r="D49" i="65"/>
  <c r="D52" i="65" s="1"/>
  <c r="H48" i="65" l="1"/>
  <c r="F51" i="65"/>
  <c r="E52" i="65"/>
  <c r="O65" i="65"/>
  <c r="I48" i="65"/>
  <c r="H49" i="65"/>
  <c r="G51" i="65" l="1"/>
  <c r="F52" i="65"/>
  <c r="P65" i="65"/>
  <c r="I49" i="65"/>
  <c r="J48" i="65"/>
  <c r="H51" i="65" l="1"/>
  <c r="G52" i="65"/>
  <c r="Q65" i="65"/>
  <c r="J49" i="65"/>
  <c r="K48" i="65"/>
  <c r="I51" i="65" l="1"/>
  <c r="H52" i="65"/>
  <c r="R65" i="65"/>
  <c r="K49" i="65"/>
  <c r="L48" i="65"/>
  <c r="J51" i="65" l="1"/>
  <c r="I52" i="65"/>
  <c r="L49" i="65"/>
  <c r="M48" i="65"/>
  <c r="K51" i="65" l="1"/>
  <c r="J52" i="65"/>
  <c r="J56" i="65" s="1"/>
  <c r="J69" i="65" s="1"/>
  <c r="N48" i="65"/>
  <c r="M49" i="65"/>
  <c r="L51" i="65" l="1"/>
  <c r="K52" i="65"/>
  <c r="K56" i="65" s="1"/>
  <c r="N49" i="65"/>
  <c r="O48" i="65"/>
  <c r="M51" i="65" l="1"/>
  <c r="L52" i="65"/>
  <c r="L56" i="65" s="1"/>
  <c r="P48" i="65"/>
  <c r="O49" i="65"/>
  <c r="N51" i="65" l="1"/>
  <c r="M52" i="65"/>
  <c r="M56" i="65" s="1"/>
  <c r="P49" i="65"/>
  <c r="Q48" i="65"/>
  <c r="O51" i="65" l="1"/>
  <c r="N52" i="65"/>
  <c r="N56" i="65" s="1"/>
  <c r="Q49" i="65"/>
  <c r="R48" i="65"/>
  <c r="R49" i="65" s="1"/>
  <c r="P51" i="65" l="1"/>
  <c r="O52" i="65"/>
  <c r="O56" i="65" s="1"/>
  <c r="C21" i="65"/>
  <c r="D21" i="65" s="1"/>
  <c r="E21" i="65" s="1"/>
  <c r="F21" i="65" s="1"/>
  <c r="G21" i="65" s="1"/>
  <c r="H21" i="65" s="1"/>
  <c r="I21" i="65" s="1"/>
  <c r="J21" i="65" s="1"/>
  <c r="K21" i="65" s="1"/>
  <c r="L21" i="65" s="1"/>
  <c r="M21" i="65" s="1"/>
  <c r="N21" i="65" s="1"/>
  <c r="O21" i="65" s="1"/>
  <c r="P21" i="65" s="1"/>
  <c r="Q21" i="65" s="1"/>
  <c r="R21" i="65" s="1"/>
  <c r="B14" i="65"/>
  <c r="B17" i="65" s="1"/>
  <c r="B8" i="65"/>
  <c r="B11" i="65" s="1"/>
  <c r="C16" i="65"/>
  <c r="D16" i="65" s="1"/>
  <c r="E16" i="65" s="1"/>
  <c r="F16" i="65" s="1"/>
  <c r="G16" i="65" s="1"/>
  <c r="H16" i="65" s="1"/>
  <c r="I16" i="65" s="1"/>
  <c r="J16" i="65" s="1"/>
  <c r="K16" i="65" s="1"/>
  <c r="L16" i="65" s="1"/>
  <c r="M16" i="65" s="1"/>
  <c r="N16" i="65" s="1"/>
  <c r="O16" i="65" s="1"/>
  <c r="P16" i="65" s="1"/>
  <c r="Q16" i="65" s="1"/>
  <c r="R16" i="65" s="1"/>
  <c r="C13" i="65"/>
  <c r="D13" i="65" s="1"/>
  <c r="C10" i="65"/>
  <c r="D10" i="65" s="1"/>
  <c r="E10" i="65" s="1"/>
  <c r="F10" i="65" s="1"/>
  <c r="G10" i="65" s="1"/>
  <c r="H10" i="65" s="1"/>
  <c r="I10" i="65" s="1"/>
  <c r="J10" i="65" s="1"/>
  <c r="K10" i="65" s="1"/>
  <c r="L10" i="65" s="1"/>
  <c r="M10" i="65" s="1"/>
  <c r="N10" i="65" s="1"/>
  <c r="O10" i="65" s="1"/>
  <c r="P10" i="65" s="1"/>
  <c r="Q10" i="65" s="1"/>
  <c r="R10" i="65" s="1"/>
  <c r="C4" i="65"/>
  <c r="D4" i="65" s="1"/>
  <c r="E4" i="65" s="1"/>
  <c r="F4" i="65" s="1"/>
  <c r="G4" i="65" s="1"/>
  <c r="H4" i="65" s="1"/>
  <c r="I4" i="65" s="1"/>
  <c r="J4" i="65" s="1"/>
  <c r="K4" i="65" s="1"/>
  <c r="L4" i="65" s="1"/>
  <c r="M4" i="65" s="1"/>
  <c r="N4" i="65" s="1"/>
  <c r="O4" i="65" s="1"/>
  <c r="P4" i="65" s="1"/>
  <c r="Q4" i="65" s="1"/>
  <c r="R4" i="65" s="1"/>
  <c r="C7" i="65"/>
  <c r="D7" i="65" s="1"/>
  <c r="E7" i="65" s="1"/>
  <c r="F7" i="65" s="1"/>
  <c r="G7" i="65" s="1"/>
  <c r="H7" i="65" s="1"/>
  <c r="I7" i="65" s="1"/>
  <c r="J7" i="65" s="1"/>
  <c r="K7" i="65" s="1"/>
  <c r="L7" i="65" s="1"/>
  <c r="M7" i="65" s="1"/>
  <c r="N7" i="65" s="1"/>
  <c r="O7" i="65" s="1"/>
  <c r="P7" i="65" s="1"/>
  <c r="Q7" i="65" s="1"/>
  <c r="R7" i="65" s="1"/>
  <c r="Q51" i="65" l="1"/>
  <c r="P52" i="65"/>
  <c r="P56" i="65" s="1"/>
  <c r="B19" i="65"/>
  <c r="B22" i="65" s="1"/>
  <c r="C8" i="65"/>
  <c r="C11" i="65" s="1"/>
  <c r="D14" i="65"/>
  <c r="D17" i="65" s="1"/>
  <c r="C14" i="65"/>
  <c r="C17" i="65" s="1"/>
  <c r="E13" i="65"/>
  <c r="E14" i="65" s="1"/>
  <c r="E17" i="65" s="1"/>
  <c r="R8" i="65"/>
  <c r="R11" i="65" s="1"/>
  <c r="D8" i="65"/>
  <c r="D11" i="65" s="1"/>
  <c r="K8" i="65"/>
  <c r="K11" i="65" s="1"/>
  <c r="J8" i="65"/>
  <c r="J11" i="65" s="1"/>
  <c r="Q8" i="65"/>
  <c r="Q11" i="65" s="1"/>
  <c r="I8" i="65"/>
  <c r="I11" i="65" s="1"/>
  <c r="L8" i="65"/>
  <c r="L11" i="65" s="1"/>
  <c r="P8" i="65"/>
  <c r="P11" i="65" s="1"/>
  <c r="H8" i="65"/>
  <c r="H11" i="65" s="1"/>
  <c r="O8" i="65"/>
  <c r="O11" i="65" s="1"/>
  <c r="G8" i="65"/>
  <c r="G11" i="65" s="1"/>
  <c r="N8" i="65"/>
  <c r="N11" i="65" s="1"/>
  <c r="F8" i="65"/>
  <c r="F11" i="65" s="1"/>
  <c r="M8" i="65"/>
  <c r="M11" i="65" s="1"/>
  <c r="E8" i="65"/>
  <c r="E11" i="65" s="1"/>
  <c r="R51" i="65" l="1"/>
  <c r="R52" i="65" s="1"/>
  <c r="R56" i="65" s="1"/>
  <c r="Q52" i="65"/>
  <c r="Q56" i="65" s="1"/>
  <c r="D19" i="65"/>
  <c r="D22" i="65" s="1"/>
  <c r="C19" i="65"/>
  <c r="C22" i="65" s="1"/>
  <c r="E19" i="65"/>
  <c r="E22" i="65" s="1"/>
  <c r="F13" i="65"/>
  <c r="F14" i="65" s="1"/>
  <c r="F17" i="65" s="1"/>
  <c r="F19" i="65" s="1"/>
  <c r="F22" i="65" s="1"/>
  <c r="G13" i="65" l="1"/>
  <c r="G14" i="65" s="1"/>
  <c r="G17" i="65" s="1"/>
  <c r="G19" i="65" s="1"/>
  <c r="G22" i="65" s="1"/>
  <c r="H13" i="65" l="1"/>
  <c r="H14" i="65" s="1"/>
  <c r="H17" i="65" s="1"/>
  <c r="H19" i="65" s="1"/>
  <c r="H22" i="65" s="1"/>
  <c r="I13" i="65" l="1"/>
  <c r="I14" i="65" s="1"/>
  <c r="I17" i="65" s="1"/>
  <c r="I19" i="65" s="1"/>
  <c r="I22" i="65" s="1"/>
  <c r="I27" i="65" s="1"/>
  <c r="J13" i="65" l="1"/>
  <c r="J14" i="65" s="1"/>
  <c r="J17" i="65" s="1"/>
  <c r="J19" i="65" s="1"/>
  <c r="J22" i="65" s="1"/>
  <c r="J27" i="65" s="1"/>
  <c r="K13" i="65" l="1"/>
  <c r="K14" i="65" s="1"/>
  <c r="K17" i="65" s="1"/>
  <c r="K19" i="65" s="1"/>
  <c r="K22" i="65" s="1"/>
  <c r="K27" i="65" s="1"/>
  <c r="L13" i="65" l="1"/>
  <c r="L14" i="65" s="1"/>
  <c r="L17" i="65" s="1"/>
  <c r="L19" i="65" s="1"/>
  <c r="L22" i="65" s="1"/>
  <c r="L27" i="65" s="1"/>
  <c r="M13" i="65" l="1"/>
  <c r="M14" i="65" s="1"/>
  <c r="M17" i="65" s="1"/>
  <c r="M19" i="65" s="1"/>
  <c r="M22" i="65" s="1"/>
  <c r="M27" i="65" s="1"/>
  <c r="N13" i="65" l="1"/>
  <c r="N14" i="65" s="1"/>
  <c r="N17" i="65" s="1"/>
  <c r="N19" i="65" s="1"/>
  <c r="N22" i="65" s="1"/>
  <c r="N27" i="65" s="1"/>
  <c r="O13" i="65" l="1"/>
  <c r="O14" i="65" s="1"/>
  <c r="O17" i="65" s="1"/>
  <c r="O19" i="65" s="1"/>
  <c r="O22" i="65" s="1"/>
  <c r="O27" i="65" s="1"/>
  <c r="P13" i="65" l="1"/>
  <c r="P14" i="65" s="1"/>
  <c r="P17" i="65" s="1"/>
  <c r="P19" i="65" s="1"/>
  <c r="P22" i="65" s="1"/>
  <c r="P27" i="65" s="1"/>
  <c r="Q13" i="65" l="1"/>
  <c r="Q14" i="65" s="1"/>
  <c r="Q17" i="65" s="1"/>
  <c r="Q19" i="65" s="1"/>
  <c r="Q22" i="65" s="1"/>
  <c r="Q27" i="65" s="1"/>
  <c r="R13" i="65" l="1"/>
  <c r="R14" i="65" s="1"/>
  <c r="R17" i="65" s="1"/>
  <c r="R19" i="65" s="1"/>
  <c r="R22" i="65" s="1"/>
  <c r="R27" i="65" s="1"/>
  <c r="J35" i="65" l="1"/>
  <c r="K35" i="65" s="1"/>
  <c r="L35" i="65" s="1"/>
  <c r="M35" i="65" s="1"/>
  <c r="N35" i="65" s="1"/>
  <c r="O35" i="65" s="1"/>
  <c r="P35" i="65" s="1"/>
  <c r="Q35" i="65" s="1"/>
  <c r="R35" i="65" s="1"/>
  <c r="I34" i="65"/>
  <c r="I36" i="65" s="1"/>
  <c r="I38" i="65" s="1"/>
  <c r="J33" i="65"/>
  <c r="J34" i="65" s="1"/>
  <c r="K30" i="65"/>
  <c r="K29" i="65" s="1"/>
  <c r="K59" i="65" l="1"/>
  <c r="K64" i="65" s="1"/>
  <c r="K66" i="65" s="1"/>
  <c r="K69" i="65" s="1"/>
  <c r="R13" i="4"/>
  <c r="J36" i="65"/>
  <c r="J38" i="65" s="1"/>
  <c r="L30" i="65"/>
  <c r="M30" i="65" s="1"/>
  <c r="N30" i="65" s="1"/>
  <c r="O30" i="65" s="1"/>
  <c r="P30" i="65" s="1"/>
  <c r="Q30" i="65" s="1"/>
  <c r="R30" i="65" s="1"/>
  <c r="K33" i="65"/>
  <c r="AG83" i="5" l="1"/>
  <c r="I101" i="9" s="1"/>
  <c r="I100" i="9"/>
  <c r="L29" i="65"/>
  <c r="L33" i="65"/>
  <c r="K34" i="65"/>
  <c r="K36" i="65" s="1"/>
  <c r="K38" i="65" s="1"/>
  <c r="M29" i="65" l="1"/>
  <c r="L59" i="65"/>
  <c r="L64" i="65" s="1"/>
  <c r="L66" i="65" s="1"/>
  <c r="L69" i="65" s="1"/>
  <c r="L97" i="65"/>
  <c r="L99" i="65" s="1"/>
  <c r="L34" i="65"/>
  <c r="L36" i="65" s="1"/>
  <c r="L38" i="65" s="1"/>
  <c r="M33" i="65"/>
  <c r="L102" i="65" l="1"/>
  <c r="N29" i="65"/>
  <c r="M97" i="65"/>
  <c r="M99" i="65" s="1"/>
  <c r="M102" i="65" s="1"/>
  <c r="M59" i="65"/>
  <c r="M64" i="65" s="1"/>
  <c r="M66" i="65" s="1"/>
  <c r="M69" i="65" s="1"/>
  <c r="M34" i="65"/>
  <c r="M36" i="65" s="1"/>
  <c r="M38" i="65" s="1"/>
  <c r="N33" i="65"/>
  <c r="S13" i="4" l="1"/>
  <c r="L103" i="65"/>
  <c r="M103" i="65"/>
  <c r="O29" i="65"/>
  <c r="N97" i="65"/>
  <c r="N99" i="65" s="1"/>
  <c r="N102" i="65" s="1"/>
  <c r="N59" i="65"/>
  <c r="N64" i="65" s="1"/>
  <c r="N66" i="65" s="1"/>
  <c r="N69" i="65" s="1"/>
  <c r="N34" i="65"/>
  <c r="N36" i="65" s="1"/>
  <c r="N38" i="65" s="1"/>
  <c r="O33" i="65"/>
  <c r="J100" i="9" l="1"/>
  <c r="AH83" i="5"/>
  <c r="J101" i="9" s="1"/>
  <c r="AI83" i="5"/>
  <c r="K101" i="9" s="1"/>
  <c r="T13" i="4"/>
  <c r="N103" i="65"/>
  <c r="K100" i="9"/>
  <c r="P29" i="65"/>
  <c r="O97" i="65"/>
  <c r="O99" i="65" s="1"/>
  <c r="O102" i="65" s="1"/>
  <c r="O59" i="65"/>
  <c r="O64" i="65" s="1"/>
  <c r="O66" i="65" s="1"/>
  <c r="O69" i="65" s="1"/>
  <c r="O34" i="65"/>
  <c r="O36" i="65" s="1"/>
  <c r="O38" i="65" s="1"/>
  <c r="P33" i="65"/>
  <c r="U13" i="4" l="1"/>
  <c r="AJ83" i="5"/>
  <c r="L101" i="9" s="1"/>
  <c r="L100" i="9"/>
  <c r="L117" i="9" s="1"/>
  <c r="O103" i="65"/>
  <c r="Q29" i="65"/>
  <c r="P97" i="65"/>
  <c r="P99" i="65" s="1"/>
  <c r="P102" i="65" s="1"/>
  <c r="P59" i="65"/>
  <c r="P64" i="65" s="1"/>
  <c r="P66" i="65" s="1"/>
  <c r="P69" i="65" s="1"/>
  <c r="P34" i="65"/>
  <c r="P36" i="65" s="1"/>
  <c r="P38" i="65" s="1"/>
  <c r="Q33" i="65"/>
  <c r="AK83" i="5" l="1"/>
  <c r="M101" i="9" s="1"/>
  <c r="L102" i="9"/>
  <c r="M100" i="9"/>
  <c r="V13" i="4"/>
  <c r="M102" i="9"/>
  <c r="P103" i="65"/>
  <c r="R29" i="65"/>
  <c r="Q97" i="65"/>
  <c r="Q99" i="65" s="1"/>
  <c r="Q102" i="65" s="1"/>
  <c r="Q59" i="65"/>
  <c r="Q64" i="65" s="1"/>
  <c r="Q66" i="65" s="1"/>
  <c r="Q69" i="65" s="1"/>
  <c r="Q34" i="65"/>
  <c r="Q36" i="65" s="1"/>
  <c r="Q38" i="65" s="1"/>
  <c r="R33" i="65"/>
  <c r="R34" i="65" s="1"/>
  <c r="R36" i="65" s="1"/>
  <c r="R38" i="65" s="1"/>
  <c r="AL83" i="5" l="1"/>
  <c r="N101" i="9" s="1"/>
  <c r="N100" i="9"/>
  <c r="N117" i="9" s="1"/>
  <c r="W13" i="4"/>
  <c r="M117" i="9"/>
  <c r="Q103" i="65"/>
  <c r="R97" i="65"/>
  <c r="R99" i="65" s="1"/>
  <c r="R102" i="65" s="1"/>
  <c r="R59" i="65"/>
  <c r="R64" i="65" s="1"/>
  <c r="R66" i="65" s="1"/>
  <c r="R69" i="65" s="1"/>
  <c r="N39" i="65"/>
  <c r="N102" i="9" l="1"/>
  <c r="O100" i="9"/>
  <c r="O117" i="9" s="1"/>
  <c r="X13" i="4"/>
  <c r="AM83" i="5"/>
  <c r="O101" i="9" s="1"/>
  <c r="S103" i="65"/>
  <c r="R103" i="65"/>
  <c r="O39" i="65"/>
  <c r="AN83" i="5" l="1"/>
  <c r="P101" i="9" s="1"/>
  <c r="O102" i="9"/>
  <c r="P100" i="9"/>
  <c r="P117" i="9" s="1"/>
  <c r="Y13" i="4"/>
  <c r="Z13" i="4"/>
  <c r="Q100" i="9"/>
  <c r="AO83" i="5"/>
  <c r="Q101" i="9" s="1"/>
  <c r="P39" i="65"/>
  <c r="I7" i="9" l="1"/>
  <c r="P102" i="9"/>
  <c r="Q117" i="9"/>
  <c r="Q102" i="9"/>
  <c r="Q39" i="65"/>
  <c r="R39" i="65" l="1"/>
  <c r="B41" i="9" l="1"/>
  <c r="B172" i="9" s="1"/>
  <c r="Z13" i="2"/>
  <c r="B166" i="9" s="1"/>
  <c r="B178" i="9" l="1"/>
  <c r="C41" i="9"/>
  <c r="C172" i="9" s="1"/>
  <c r="AA22" i="5"/>
  <c r="AA13" i="2" s="1"/>
  <c r="C166" i="9" s="1"/>
  <c r="C178" i="9" s="1"/>
  <c r="P60" i="5"/>
  <c r="D41" i="9" l="1"/>
  <c r="D172" i="9" s="1"/>
  <c r="AB22" i="5"/>
  <c r="AB13" i="2" s="1"/>
  <c r="D166" i="9" s="1"/>
  <c r="D178" i="9" s="1"/>
  <c r="AC22" i="5"/>
  <c r="E41" i="9" l="1"/>
  <c r="E172" i="9" s="1"/>
  <c r="AC13" i="2"/>
  <c r="E166" i="9" s="1"/>
  <c r="E178" i="9" l="1"/>
  <c r="F41" i="9"/>
  <c r="F172" i="9" s="1"/>
  <c r="AD22" i="5"/>
  <c r="AD13" i="2" s="1"/>
  <c r="F166" i="9" s="1"/>
  <c r="AE19" i="5"/>
  <c r="M36" i="2"/>
  <c r="M49" i="2" s="1"/>
  <c r="N36" i="2"/>
  <c r="N49" i="2" s="1"/>
  <c r="O36" i="2"/>
  <c r="O49" i="2" s="1"/>
  <c r="L36" i="2"/>
  <c r="L49" i="2" s="1"/>
  <c r="F178" i="9" l="1"/>
  <c r="G41" i="9"/>
  <c r="G172" i="9" s="1"/>
  <c r="AE22" i="5"/>
  <c r="AF19" i="5"/>
  <c r="N88" i="5"/>
  <c r="M88" i="5"/>
  <c r="L88" i="5"/>
  <c r="M63" i="5"/>
  <c r="O62" i="5"/>
  <c r="O18" i="5"/>
  <c r="O7" i="5"/>
  <c r="O9" i="5" s="1"/>
  <c r="M72" i="5"/>
  <c r="N72" i="5"/>
  <c r="O72" i="5"/>
  <c r="L72" i="5"/>
  <c r="M26" i="5"/>
  <c r="N26" i="5"/>
  <c r="O26" i="5"/>
  <c r="L26" i="5"/>
  <c r="H41" i="9" l="1"/>
  <c r="H172" i="9" s="1"/>
  <c r="AF22" i="5"/>
  <c r="AF13" i="2" s="1"/>
  <c r="H166" i="9" s="1"/>
  <c r="H178" i="9" s="1"/>
  <c r="AE13" i="2"/>
  <c r="G166" i="9" s="1"/>
  <c r="G178" i="9" s="1"/>
  <c r="AG19" i="5"/>
  <c r="N63" i="5"/>
  <c r="I41" i="9" l="1"/>
  <c r="I172" i="9" s="1"/>
  <c r="AG22" i="5"/>
  <c r="AG13" i="2" s="1"/>
  <c r="I166" i="9" s="1"/>
  <c r="I178" i="9" s="1"/>
  <c r="AE56" i="2"/>
  <c r="AF56" i="2"/>
  <c r="AE90" i="5"/>
  <c r="AH19" i="5"/>
  <c r="AF23" i="5"/>
  <c r="AF90" i="5"/>
  <c r="O63" i="5"/>
  <c r="J41" i="9" l="1"/>
  <c r="AH22" i="5"/>
  <c r="AH13" i="2" s="1"/>
  <c r="J166" i="9" s="1"/>
  <c r="AG56" i="2"/>
  <c r="AG23" i="5"/>
  <c r="AG90" i="5"/>
  <c r="AI19" i="5"/>
  <c r="J42" i="9" l="1"/>
  <c r="J43" i="9" s="1"/>
  <c r="J172" i="9"/>
  <c r="J178" i="9" s="1"/>
  <c r="AJ19" i="5"/>
  <c r="AJ22" i="5" s="1"/>
  <c r="AI22" i="5"/>
  <c r="AI13" i="2" s="1"/>
  <c r="K166" i="9" s="1"/>
  <c r="AH56" i="2"/>
  <c r="K41" i="9"/>
  <c r="AH90" i="5"/>
  <c r="AH23" i="5"/>
  <c r="L41" i="9" l="1"/>
  <c r="L42" i="9" s="1"/>
  <c r="L43" i="9" s="1"/>
  <c r="AK19" i="5"/>
  <c r="AK22" i="5" s="1"/>
  <c r="AK23" i="5" s="1"/>
  <c r="K42" i="9"/>
  <c r="K43" i="9" s="1"/>
  <c r="K44" i="9" s="1"/>
  <c r="K172" i="9"/>
  <c r="K178" i="9" s="1"/>
  <c r="AI56" i="2"/>
  <c r="AI90" i="5"/>
  <c r="AJ23" i="5"/>
  <c r="AI23" i="5"/>
  <c r="M41" i="9" l="1"/>
  <c r="AL19" i="5"/>
  <c r="AL22" i="5" s="1"/>
  <c r="AL23" i="5" s="1"/>
  <c r="L44" i="9"/>
  <c r="M42" i="9"/>
  <c r="M43" i="9" s="1"/>
  <c r="AM19" i="5"/>
  <c r="AM22" i="5" s="1"/>
  <c r="K63" i="5"/>
  <c r="G123" i="9"/>
  <c r="G122" i="9"/>
  <c r="C110" i="9"/>
  <c r="D110" i="9" s="1"/>
  <c r="E110" i="9" s="1"/>
  <c r="F110" i="9" s="1"/>
  <c r="G110" i="9" s="1"/>
  <c r="H110" i="9" s="1"/>
  <c r="I110" i="9" s="1"/>
  <c r="J110" i="9" s="1"/>
  <c r="K110" i="9" s="1"/>
  <c r="N41" i="9" l="1"/>
  <c r="N42" i="9" s="1"/>
  <c r="N43" i="9" s="1"/>
  <c r="M44" i="9"/>
  <c r="AN19" i="5"/>
  <c r="AN22" i="5" s="1"/>
  <c r="O41" i="9"/>
  <c r="AM23" i="5"/>
  <c r="L110" i="9"/>
  <c r="AF62" i="5"/>
  <c r="N44" i="9" l="1"/>
  <c r="O42" i="9"/>
  <c r="O43" i="9" s="1"/>
  <c r="AO19" i="5"/>
  <c r="AO22" i="5" s="1"/>
  <c r="P41" i="9"/>
  <c r="AN23" i="5"/>
  <c r="M110" i="9"/>
  <c r="AG62" i="5"/>
  <c r="O88" i="5"/>
  <c r="O44" i="9" l="1"/>
  <c r="P42" i="9"/>
  <c r="P43" i="9" s="1"/>
  <c r="AO23" i="5"/>
  <c r="Q41" i="9"/>
  <c r="N110" i="9"/>
  <c r="AH62" i="5"/>
  <c r="K25" i="2"/>
  <c r="P44" i="9" l="1"/>
  <c r="Q42" i="9"/>
  <c r="Q43" i="9" s="1"/>
  <c r="O110" i="9"/>
  <c r="L25" i="2"/>
  <c r="M25" i="2" s="1"/>
  <c r="N25" i="2" s="1"/>
  <c r="O25" i="2" s="1"/>
  <c r="AI62" i="5"/>
  <c r="AJ62" i="5" s="1"/>
  <c r="Q44" i="9" l="1"/>
  <c r="AK62" i="5"/>
  <c r="P110" i="9"/>
  <c r="AB31" i="5"/>
  <c r="G64" i="9"/>
  <c r="C59" i="9"/>
  <c r="D59" i="9" s="1"/>
  <c r="E59" i="9" s="1"/>
  <c r="F59" i="9" s="1"/>
  <c r="K31" i="5"/>
  <c r="AL62" i="5" l="1"/>
  <c r="Q110" i="9"/>
  <c r="R110" i="9" s="1"/>
  <c r="S110" i="9" s="1"/>
  <c r="T110" i="9" s="1"/>
  <c r="U110" i="9" s="1"/>
  <c r="V110" i="9" s="1"/>
  <c r="W110" i="9" s="1"/>
  <c r="G59" i="9"/>
  <c r="H59" i="9" s="1"/>
  <c r="I59" i="9" s="1"/>
  <c r="J59" i="9" s="1"/>
  <c r="K59" i="9" s="1"/>
  <c r="L59" i="9" s="1"/>
  <c r="M59" i="9" s="1"/>
  <c r="N59" i="9" s="1"/>
  <c r="O59" i="9" s="1"/>
  <c r="P59" i="9" s="1"/>
  <c r="Q59" i="9" s="1"/>
  <c r="R59" i="9" s="1"/>
  <c r="AM62" i="5" l="1"/>
  <c r="I63" i="5"/>
  <c r="H63" i="5"/>
  <c r="G63" i="5"/>
  <c r="J61" i="5"/>
  <c r="J60" i="5"/>
  <c r="I88" i="5"/>
  <c r="H88" i="5"/>
  <c r="G88" i="5"/>
  <c r="J36" i="2"/>
  <c r="J49" i="2" s="1"/>
  <c r="I36" i="2"/>
  <c r="I49" i="2" s="1"/>
  <c r="H36" i="2"/>
  <c r="H49" i="2" s="1"/>
  <c r="G36" i="2"/>
  <c r="G49" i="2" s="1"/>
  <c r="H72" i="5"/>
  <c r="I72" i="5"/>
  <c r="J72" i="5"/>
  <c r="G72" i="5"/>
  <c r="H26" i="5"/>
  <c r="I26" i="5"/>
  <c r="J26" i="5"/>
  <c r="G26" i="5"/>
  <c r="AN62" i="5" l="1"/>
  <c r="J63" i="5"/>
  <c r="D12" i="1"/>
  <c r="D11" i="1"/>
  <c r="C33" i="3"/>
  <c r="E33" i="3"/>
  <c r="B33" i="3"/>
  <c r="AO62" i="5" l="1"/>
  <c r="E7" i="3" l="1"/>
  <c r="J38" i="5" l="1"/>
  <c r="J88" i="5" l="1"/>
  <c r="AF31" i="5"/>
  <c r="AG31" i="5" l="1"/>
  <c r="AH31" i="5" s="1"/>
  <c r="AI31" i="5" s="1"/>
  <c r="AJ31" i="5" s="1"/>
  <c r="AK31" i="5" s="1"/>
  <c r="AL31" i="5" s="1"/>
  <c r="AM31" i="5" s="1"/>
  <c r="AN31" i="5" s="1"/>
  <c r="AO31" i="5" s="1"/>
  <c r="D36" i="1"/>
  <c r="D31" i="1"/>
  <c r="C19" i="1"/>
  <c r="C8" i="1"/>
  <c r="Z60" i="5" l="1"/>
  <c r="AA60" i="5" l="1"/>
  <c r="B117" i="9"/>
  <c r="AB60" i="5" l="1"/>
  <c r="G37" i="9"/>
  <c r="G36" i="9"/>
  <c r="G50" i="9"/>
  <c r="R43" i="9" l="1"/>
  <c r="C117" i="9"/>
  <c r="AH60" i="5" l="1"/>
  <c r="E36" i="2"/>
  <c r="E49" i="2" s="1"/>
  <c r="D36" i="2"/>
  <c r="D49" i="2" s="1"/>
  <c r="C36" i="2"/>
  <c r="C49" i="2" s="1"/>
  <c r="B36" i="2"/>
  <c r="B49" i="2" s="1"/>
  <c r="G49" i="5"/>
  <c r="T26" i="4"/>
  <c r="AI6" i="2" s="1"/>
  <c r="AI60" i="5" l="1"/>
  <c r="C36" i="1"/>
  <c r="B36" i="1"/>
  <c r="C31" i="1"/>
  <c r="B31" i="1"/>
  <c r="B8" i="1"/>
  <c r="K26" i="4"/>
  <c r="L26" i="4"/>
  <c r="M26" i="4"/>
  <c r="N26" i="4"/>
  <c r="O26" i="4"/>
  <c r="P26" i="4"/>
  <c r="AE6" i="2" s="1"/>
  <c r="Q26" i="4"/>
  <c r="AF6" i="2" s="1"/>
  <c r="R26" i="4"/>
  <c r="AG6" i="2" s="1"/>
  <c r="S26" i="4"/>
  <c r="AH6" i="2" s="1"/>
  <c r="AJ60" i="5" l="1"/>
  <c r="AA6" i="2"/>
  <c r="AA7" i="2" s="1"/>
  <c r="L28" i="4"/>
  <c r="AD6" i="2"/>
  <c r="AC6" i="2"/>
  <c r="AC7" i="2" s="1"/>
  <c r="E163" i="9" s="1"/>
  <c r="E175" i="9" s="1"/>
  <c r="N28" i="4"/>
  <c r="AB6" i="2"/>
  <c r="AB7" i="2" s="1"/>
  <c r="M28" i="4"/>
  <c r="Z6" i="2"/>
  <c r="Z7" i="2" s="1"/>
  <c r="K28" i="4"/>
  <c r="H49" i="5"/>
  <c r="K46" i="5"/>
  <c r="I49" i="5"/>
  <c r="K47" i="5"/>
  <c r="P47" i="5" s="1"/>
  <c r="Z47" i="5" s="1"/>
  <c r="AA47" i="5" s="1"/>
  <c r="AB47" i="5" s="1"/>
  <c r="AC47" i="5" s="1"/>
  <c r="AC49" i="5" s="1"/>
  <c r="B163" i="9" l="1"/>
  <c r="B175" i="9" s="1"/>
  <c r="C163" i="9"/>
  <c r="C175" i="9" s="1"/>
  <c r="D163" i="9"/>
  <c r="D175" i="9" s="1"/>
  <c r="AK60" i="5"/>
  <c r="AL60" i="5" s="1"/>
  <c r="P46" i="5"/>
  <c r="AM60" i="5" l="1"/>
  <c r="J49" i="5"/>
  <c r="AN60" i="5" l="1"/>
  <c r="L49" i="5"/>
  <c r="K49" i="5"/>
  <c r="G51" i="5"/>
  <c r="Z46" i="5"/>
  <c r="U49" i="5"/>
  <c r="AO60" i="5" l="1"/>
  <c r="H51" i="5"/>
  <c r="H55" i="5" s="1"/>
  <c r="G54" i="5"/>
  <c r="M49" i="5"/>
  <c r="G55" i="5"/>
  <c r="G53" i="5"/>
  <c r="AA46" i="5"/>
  <c r="Z49" i="5"/>
  <c r="H53" i="5" l="1"/>
  <c r="I51" i="5"/>
  <c r="I54" i="5" s="1"/>
  <c r="H54" i="5"/>
  <c r="N49" i="5"/>
  <c r="P49" i="5"/>
  <c r="G56" i="5"/>
  <c r="G65" i="5" s="1"/>
  <c r="G67" i="5" s="1"/>
  <c r="G69" i="5" s="1"/>
  <c r="AB46" i="5"/>
  <c r="AA49" i="5"/>
  <c r="I53" i="5" l="1"/>
  <c r="I56" i="5" s="1"/>
  <c r="I65" i="5" s="1"/>
  <c r="I67" i="5" s="1"/>
  <c r="J51" i="5"/>
  <c r="J55" i="5" s="1"/>
  <c r="I55" i="5"/>
  <c r="H56" i="5"/>
  <c r="H65" i="5" s="1"/>
  <c r="H67" i="5" s="1"/>
  <c r="O49" i="5"/>
  <c r="D117" i="9"/>
  <c r="AB49" i="5"/>
  <c r="J53" i="5" l="1"/>
  <c r="K51" i="5"/>
  <c r="P51" i="5" s="1"/>
  <c r="J54" i="5"/>
  <c r="J56" i="5" l="1"/>
  <c r="J65" i="5" s="1"/>
  <c r="J67" i="5" s="1"/>
  <c r="K55" i="5"/>
  <c r="L51" i="5"/>
  <c r="L54" i="5" s="1"/>
  <c r="U51" i="5"/>
  <c r="Q51" i="5" s="1"/>
  <c r="P55" i="5"/>
  <c r="L55" i="5" l="1"/>
  <c r="R51" i="5"/>
  <c r="Q53" i="5"/>
  <c r="Q54" i="5"/>
  <c r="Q55" i="5"/>
  <c r="M51" i="5"/>
  <c r="N51" i="5" s="1"/>
  <c r="L53" i="5"/>
  <c r="L56" i="5" s="1"/>
  <c r="AF49" i="5"/>
  <c r="Z51" i="5"/>
  <c r="U55" i="5"/>
  <c r="Q56" i="5" l="1"/>
  <c r="Q65" i="5" s="1"/>
  <c r="Q38" i="5" s="1"/>
  <c r="R53" i="5"/>
  <c r="R54" i="5"/>
  <c r="R55" i="5"/>
  <c r="S51" i="5"/>
  <c r="M54" i="5"/>
  <c r="M53" i="5"/>
  <c r="M56" i="5" s="1"/>
  <c r="M65" i="5" s="1"/>
  <c r="M38" i="5" s="1"/>
  <c r="M36" i="5" s="1"/>
  <c r="M55" i="5"/>
  <c r="AG49" i="5"/>
  <c r="O51" i="5"/>
  <c r="N55" i="5"/>
  <c r="N54" i="5"/>
  <c r="N53" i="5"/>
  <c r="AA51" i="5"/>
  <c r="Z55" i="5"/>
  <c r="B137" i="9" s="1"/>
  <c r="V39" i="5" l="1"/>
  <c r="Q36" i="5"/>
  <c r="T51" i="5"/>
  <c r="S55" i="5"/>
  <c r="S53" i="5"/>
  <c r="S54" i="5"/>
  <c r="R56" i="5"/>
  <c r="R65" i="5" s="1"/>
  <c r="R38" i="5" s="1"/>
  <c r="W39" i="5" s="1"/>
  <c r="B139" i="9"/>
  <c r="AH49" i="5"/>
  <c r="N56" i="5"/>
  <c r="N65" i="5" s="1"/>
  <c r="O55" i="5"/>
  <c r="O54" i="5"/>
  <c r="P54" i="5" s="1"/>
  <c r="O53" i="5"/>
  <c r="P53" i="5" s="1"/>
  <c r="M69" i="5"/>
  <c r="AB51" i="5"/>
  <c r="AA55" i="5"/>
  <c r="C137" i="9" s="1"/>
  <c r="R39" i="5" l="1"/>
  <c r="R36" i="5"/>
  <c r="T54" i="5"/>
  <c r="T53" i="5"/>
  <c r="T55" i="5"/>
  <c r="S56" i="5"/>
  <c r="S65" i="5" s="1"/>
  <c r="C139" i="9"/>
  <c r="B140" i="9"/>
  <c r="B141" i="9" s="1"/>
  <c r="O56" i="5"/>
  <c r="O65" i="5" s="1"/>
  <c r="AB55" i="5"/>
  <c r="D137" i="9" s="1"/>
  <c r="AI49" i="5" l="1"/>
  <c r="T56" i="5"/>
  <c r="T65" i="5" s="1"/>
  <c r="D139" i="9"/>
  <c r="B144" i="9"/>
  <c r="C140" i="9"/>
  <c r="C141" i="9" s="1"/>
  <c r="AE51" i="5"/>
  <c r="AC55" i="5"/>
  <c r="E137" i="9" s="1"/>
  <c r="AJ49" i="5" l="1"/>
  <c r="E139" i="9"/>
  <c r="C144" i="9"/>
  <c r="C142" i="9"/>
  <c r="D140" i="9"/>
  <c r="D141" i="9" s="1"/>
  <c r="AE53" i="5"/>
  <c r="G73" i="9" s="1"/>
  <c r="AF51" i="5"/>
  <c r="AE55" i="5"/>
  <c r="G137" i="9" s="1"/>
  <c r="AE54" i="5"/>
  <c r="E117" i="9"/>
  <c r="AD55" i="5"/>
  <c r="F137" i="9" s="1"/>
  <c r="AK49" i="5" l="1"/>
  <c r="G149" i="9"/>
  <c r="G139" i="9"/>
  <c r="D144" i="9"/>
  <c r="D142" i="9"/>
  <c r="E140" i="9"/>
  <c r="E141" i="9" s="1"/>
  <c r="F139" i="9"/>
  <c r="AE56" i="5"/>
  <c r="AG51" i="5"/>
  <c r="AF55" i="5"/>
  <c r="H137" i="9" s="1"/>
  <c r="AF54" i="5"/>
  <c r="AF53" i="5"/>
  <c r="AF56" i="5" l="1"/>
  <c r="H73" i="9"/>
  <c r="AL49" i="5"/>
  <c r="E144" i="9"/>
  <c r="E142" i="9"/>
  <c r="F140" i="9"/>
  <c r="F141" i="9" s="1"/>
  <c r="G140" i="9"/>
  <c r="G151" i="9"/>
  <c r="H149" i="9"/>
  <c r="H139" i="9"/>
  <c r="AH51" i="5"/>
  <c r="AG55" i="5"/>
  <c r="I137" i="9" s="1"/>
  <c r="AG54" i="5"/>
  <c r="AG53" i="5"/>
  <c r="I73" i="9" s="1"/>
  <c r="H18" i="1"/>
  <c r="I18" i="1" s="1"/>
  <c r="J18" i="1" s="1"/>
  <c r="K18" i="1" s="1"/>
  <c r="L18" i="1" s="1"/>
  <c r="AM49" i="5" l="1"/>
  <c r="F144" i="9"/>
  <c r="F142" i="9"/>
  <c r="H140" i="9"/>
  <c r="H151" i="9"/>
  <c r="I149" i="9"/>
  <c r="I139" i="9"/>
  <c r="AG56" i="5"/>
  <c r="AI51" i="5"/>
  <c r="AJ51" i="5" s="1"/>
  <c r="AH55" i="5"/>
  <c r="J137" i="9" s="1"/>
  <c r="AH54" i="5"/>
  <c r="AH53" i="5"/>
  <c r="J73" i="9" s="1"/>
  <c r="AK51" i="5" l="1"/>
  <c r="AJ55" i="5"/>
  <c r="L137" i="9" s="1"/>
  <c r="AJ54" i="5"/>
  <c r="AJ53" i="5"/>
  <c r="L73" i="9" s="1"/>
  <c r="AN49" i="5"/>
  <c r="J149" i="9"/>
  <c r="J139" i="9"/>
  <c r="I140" i="9"/>
  <c r="I151" i="9"/>
  <c r="AH56" i="5"/>
  <c r="AI55" i="5"/>
  <c r="K137" i="9" s="1"/>
  <c r="AI54" i="5"/>
  <c r="AI53" i="5"/>
  <c r="K73" i="9" s="1"/>
  <c r="L149" i="9" l="1"/>
  <c r="L139" i="9"/>
  <c r="L140" i="9" s="1"/>
  <c r="AJ56" i="5"/>
  <c r="AL51" i="5"/>
  <c r="AK55" i="5"/>
  <c r="M137" i="9" s="1"/>
  <c r="AK54" i="5"/>
  <c r="AK53" i="5"/>
  <c r="M73" i="9" s="1"/>
  <c r="AO49" i="5"/>
  <c r="K149" i="9"/>
  <c r="K139" i="9"/>
  <c r="J140" i="9"/>
  <c r="J151" i="9"/>
  <c r="AI56" i="5"/>
  <c r="AM51" i="5" l="1"/>
  <c r="AL55" i="5"/>
  <c r="N137" i="9" s="1"/>
  <c r="AL54" i="5"/>
  <c r="AL53" i="5"/>
  <c r="N73" i="9" s="1"/>
  <c r="M149" i="9"/>
  <c r="M139" i="9"/>
  <c r="M140" i="9" s="1"/>
  <c r="L151" i="9"/>
  <c r="L141" i="9"/>
  <c r="AK56" i="5"/>
  <c r="K140" i="9"/>
  <c r="K151" i="9"/>
  <c r="F117" i="9"/>
  <c r="L144" i="9" l="1"/>
  <c r="M151" i="9"/>
  <c r="M141" i="9"/>
  <c r="AL56" i="5"/>
  <c r="AN51" i="5"/>
  <c r="AM55" i="5"/>
  <c r="O137" i="9" s="1"/>
  <c r="AM54" i="5"/>
  <c r="AM53" i="5"/>
  <c r="O73" i="9" s="1"/>
  <c r="N149" i="9"/>
  <c r="N139" i="9"/>
  <c r="N140" i="9" s="1"/>
  <c r="G117" i="9"/>
  <c r="O149" i="9" l="1"/>
  <c r="O139" i="9"/>
  <c r="O140" i="9" s="1"/>
  <c r="N151" i="9"/>
  <c r="N141" i="9"/>
  <c r="M144" i="9"/>
  <c r="M142" i="9"/>
  <c r="AM56" i="5"/>
  <c r="AO51" i="5"/>
  <c r="AN55" i="5"/>
  <c r="P137" i="9" s="1"/>
  <c r="AN54" i="5"/>
  <c r="AN53" i="5"/>
  <c r="P73" i="9" s="1"/>
  <c r="C29" i="1"/>
  <c r="C32" i="1" s="1"/>
  <c r="C13" i="1"/>
  <c r="C20" i="1" s="1"/>
  <c r="B41" i="1"/>
  <c r="B29" i="1"/>
  <c r="B32" i="1" s="1"/>
  <c r="B13" i="1"/>
  <c r="B20" i="1" s="1"/>
  <c r="D27" i="1"/>
  <c r="H15" i="1"/>
  <c r="I15" i="1" s="1"/>
  <c r="J15" i="1" s="1"/>
  <c r="K15" i="1" s="1"/>
  <c r="L15" i="1" s="1"/>
  <c r="P149" i="9" l="1"/>
  <c r="P139" i="9"/>
  <c r="P140" i="9" s="1"/>
  <c r="AO55" i="5"/>
  <c r="Q137" i="9" s="1"/>
  <c r="AO54" i="5"/>
  <c r="AO53" i="5"/>
  <c r="Q73" i="9" s="1"/>
  <c r="N144" i="9"/>
  <c r="N142" i="9"/>
  <c r="AN56" i="5"/>
  <c r="O151" i="9"/>
  <c r="O141" i="9"/>
  <c r="B43" i="1"/>
  <c r="C41" i="1"/>
  <c r="C43" i="1" s="1"/>
  <c r="Q149" i="9" l="1"/>
  <c r="Q139" i="9"/>
  <c r="Q140" i="9" s="1"/>
  <c r="P151" i="9"/>
  <c r="P141" i="9"/>
  <c r="AO56" i="5"/>
  <c r="O144" i="9"/>
  <c r="O142" i="9"/>
  <c r="H117" i="9"/>
  <c r="R73" i="9" l="1"/>
  <c r="S73" i="9" s="1"/>
  <c r="T73" i="9" s="1"/>
  <c r="U73" i="9" s="1"/>
  <c r="P144" i="9"/>
  <c r="P142" i="9"/>
  <c r="Q151" i="9"/>
  <c r="Q141" i="9"/>
  <c r="R141" i="9" s="1"/>
  <c r="R144" i="9" s="1"/>
  <c r="I117" i="9"/>
  <c r="Q144" i="9" l="1"/>
  <c r="Q142" i="9"/>
  <c r="K117" i="9"/>
  <c r="J117" i="9" l="1"/>
  <c r="G141" i="9" l="1"/>
  <c r="G144" i="9" s="1"/>
  <c r="H141" i="9"/>
  <c r="H144" i="9" s="1"/>
  <c r="I141" i="9"/>
  <c r="I144" i="9" s="1"/>
  <c r="J141" i="9"/>
  <c r="J144" i="9" s="1"/>
  <c r="K141" i="9"/>
  <c r="K144" i="9" l="1"/>
  <c r="B153" i="9" s="1"/>
  <c r="L142" i="9"/>
  <c r="J142" i="9"/>
  <c r="I142" i="9"/>
  <c r="H142" i="9"/>
  <c r="K142" i="9"/>
  <c r="G142" i="9"/>
  <c r="B27" i="3"/>
  <c r="K54" i="5"/>
  <c r="K53" i="5"/>
  <c r="F7" i="3"/>
  <c r="G7" i="3" l="1"/>
  <c r="H7" i="3" s="1"/>
  <c r="I7" i="3" s="1"/>
  <c r="K56" i="5"/>
  <c r="D27" i="3" l="1"/>
  <c r="P56" i="5"/>
  <c r="H12" i="1"/>
  <c r="E18" i="3" s="1"/>
  <c r="AA23" i="5"/>
  <c r="U53" i="5"/>
  <c r="U54" i="5"/>
  <c r="AB23" i="5"/>
  <c r="E27" i="3" l="1"/>
  <c r="I12" i="1"/>
  <c r="U56" i="5"/>
  <c r="AC23" i="5"/>
  <c r="Z53" i="5"/>
  <c r="B73" i="9" s="1"/>
  <c r="Z54" i="5"/>
  <c r="J12" i="1" l="1"/>
  <c r="F18" i="3"/>
  <c r="Z56" i="5"/>
  <c r="J9" i="1"/>
  <c r="AA53" i="5"/>
  <c r="C73" i="9" s="1"/>
  <c r="AA54" i="5"/>
  <c r="G24" i="3" l="1"/>
  <c r="K12" i="1"/>
  <c r="G18" i="3"/>
  <c r="AD23" i="5"/>
  <c r="AE23" i="5"/>
  <c r="AA56" i="5"/>
  <c r="K9" i="1"/>
  <c r="H24" i="3" s="1"/>
  <c r="AB53" i="5"/>
  <c r="D73" i="9" s="1"/>
  <c r="AB54" i="5"/>
  <c r="L12" i="1" l="1"/>
  <c r="I18" i="3" s="1"/>
  <c r="H18" i="3"/>
  <c r="AB56" i="5"/>
  <c r="I24" i="3"/>
  <c r="AC54" i="5"/>
  <c r="AC53" i="5"/>
  <c r="E73" i="9" s="1"/>
  <c r="AC56" i="5" l="1"/>
  <c r="AD54" i="5"/>
  <c r="AD56" i="5" l="1"/>
  <c r="H27" i="1" l="1"/>
  <c r="I27" i="1" l="1"/>
  <c r="J27" i="1" l="1"/>
  <c r="K27" i="1" l="1"/>
  <c r="L27" i="1" l="1"/>
  <c r="C45" i="9" l="1"/>
  <c r="D45" i="9" s="1"/>
  <c r="E45" i="9" s="1"/>
  <c r="F45" i="9" s="1"/>
  <c r="D15" i="3" l="1"/>
  <c r="G45" i="9"/>
  <c r="H25" i="1"/>
  <c r="G91" i="9"/>
  <c r="H45" i="9" l="1"/>
  <c r="E19" i="3"/>
  <c r="B154" i="9"/>
  <c r="B155" i="9" s="1"/>
  <c r="I25" i="1"/>
  <c r="I45" i="9" l="1"/>
  <c r="C10" i="9"/>
  <c r="B157" i="9"/>
  <c r="F19" i="3"/>
  <c r="J25" i="1"/>
  <c r="J45" i="9" l="1"/>
  <c r="G19" i="3"/>
  <c r="K25" i="1"/>
  <c r="K45" i="9" l="1"/>
  <c r="J46" i="9"/>
  <c r="H19" i="3"/>
  <c r="F10" i="9"/>
  <c r="L25" i="1"/>
  <c r="L45" i="9" l="1"/>
  <c r="K46" i="9"/>
  <c r="I19" i="3"/>
  <c r="T22" i="2"/>
  <c r="Z19" i="2"/>
  <c r="Y19" i="2" s="1"/>
  <c r="Y22" i="2" s="1"/>
  <c r="AA19" i="2"/>
  <c r="AB19" i="2"/>
  <c r="AC19" i="2"/>
  <c r="AD19" i="2"/>
  <c r="Y24" i="2" l="1"/>
  <c r="Z22" i="2"/>
  <c r="M45" i="9"/>
  <c r="L46" i="9"/>
  <c r="G42" i="3"/>
  <c r="Y25" i="2" l="1"/>
  <c r="Z25" i="2" s="1"/>
  <c r="Z24" i="2"/>
  <c r="N45" i="9"/>
  <c r="M46" i="9"/>
  <c r="B83" i="9"/>
  <c r="H42" i="3"/>
  <c r="Z26" i="2" l="1"/>
  <c r="AA26" i="2" s="1"/>
  <c r="AB26" i="2" s="1"/>
  <c r="AC26" i="2" s="1"/>
  <c r="AD26" i="2" s="1"/>
  <c r="AE26" i="2" s="1"/>
  <c r="AF26" i="2"/>
  <c r="G42" i="9"/>
  <c r="G43" i="9" s="1"/>
  <c r="G46" i="9" s="1"/>
  <c r="O45" i="9"/>
  <c r="N46" i="9"/>
  <c r="B114" i="9"/>
  <c r="B84" i="9"/>
  <c r="C83" i="9"/>
  <c r="I42" i="3"/>
  <c r="AG26" i="2" l="1"/>
  <c r="I42" i="9" s="1"/>
  <c r="I43" i="9" s="1"/>
  <c r="H42" i="9"/>
  <c r="H43" i="9" s="1"/>
  <c r="P45" i="9"/>
  <c r="O46" i="9"/>
  <c r="B115" i="9"/>
  <c r="C114" i="9"/>
  <c r="C84" i="9"/>
  <c r="D83" i="9"/>
  <c r="H44" i="9" l="1"/>
  <c r="H46" i="9"/>
  <c r="I44" i="9"/>
  <c r="J44" i="9"/>
  <c r="I46" i="9"/>
  <c r="Q45" i="9"/>
  <c r="P46" i="9"/>
  <c r="B102" i="9"/>
  <c r="C115" i="9"/>
  <c r="D114" i="9"/>
  <c r="D84" i="9"/>
  <c r="E83" i="9"/>
  <c r="R45" i="9" l="1"/>
  <c r="R46" i="9" s="1"/>
  <c r="Q46" i="9"/>
  <c r="C102" i="9"/>
  <c r="D115" i="9"/>
  <c r="E114" i="9"/>
  <c r="E84" i="9"/>
  <c r="F83" i="9"/>
  <c r="F114" i="9" l="1"/>
  <c r="D102" i="9"/>
  <c r="E115" i="9"/>
  <c r="F84" i="9"/>
  <c r="G83" i="9"/>
  <c r="F115" i="9" l="1"/>
  <c r="E102" i="9"/>
  <c r="G84" i="9"/>
  <c r="G115" i="9" l="1"/>
  <c r="F102" i="9"/>
  <c r="H84" i="9"/>
  <c r="G102" i="9" l="1"/>
  <c r="H115" i="9"/>
  <c r="I84" i="9"/>
  <c r="I115" i="9" l="1"/>
  <c r="H102" i="9"/>
  <c r="J84" i="9"/>
  <c r="L84" i="9" l="1"/>
  <c r="I102" i="9"/>
  <c r="J115" i="9"/>
  <c r="K84" i="9"/>
  <c r="L115" i="9" l="1"/>
  <c r="M84" i="9"/>
  <c r="K115" i="9"/>
  <c r="J102" i="9"/>
  <c r="N84" i="9" l="1"/>
  <c r="M115" i="9"/>
  <c r="K102" i="9"/>
  <c r="N115" i="9" l="1"/>
  <c r="O84" i="9"/>
  <c r="K26" i="5"/>
  <c r="P26" i="5"/>
  <c r="U26" i="5"/>
  <c r="Z26" i="5"/>
  <c r="AA26" i="5"/>
  <c r="AB26" i="5"/>
  <c r="AC26" i="5"/>
  <c r="AD26" i="5"/>
  <c r="K72" i="5"/>
  <c r="P72" i="5"/>
  <c r="U72" i="5"/>
  <c r="Z72" i="5"/>
  <c r="AA72" i="5"/>
  <c r="AB72" i="5"/>
  <c r="AC72" i="5"/>
  <c r="AD72" i="5"/>
  <c r="P84" i="9" l="1"/>
  <c r="O115" i="9"/>
  <c r="Q84" i="9" l="1"/>
  <c r="R83" i="9"/>
  <c r="P115" i="9"/>
  <c r="G29" i="1"/>
  <c r="R84" i="9" l="1"/>
  <c r="S83" i="9"/>
  <c r="Q115" i="9"/>
  <c r="R114" i="9"/>
  <c r="S114" i="9" s="1"/>
  <c r="H26" i="1"/>
  <c r="H29" i="1" s="1"/>
  <c r="T114" i="9" l="1"/>
  <c r="S115" i="9"/>
  <c r="S101" i="9"/>
  <c r="S102" i="9" s="1"/>
  <c r="S84" i="9"/>
  <c r="T83" i="9"/>
  <c r="R115" i="9"/>
  <c r="R101" i="9"/>
  <c r="I26" i="1"/>
  <c r="I29" i="1" s="1"/>
  <c r="T84" i="9" l="1"/>
  <c r="U83" i="9"/>
  <c r="U114" i="9"/>
  <c r="T115" i="9"/>
  <c r="T101" i="9"/>
  <c r="T102" i="9" s="1"/>
  <c r="R102" i="9"/>
  <c r="J26" i="1"/>
  <c r="J29" i="1" s="1"/>
  <c r="V83" i="9" l="1"/>
  <c r="U84" i="9"/>
  <c r="U115" i="9"/>
  <c r="V114" i="9"/>
  <c r="U101" i="9"/>
  <c r="U102" i="9" s="1"/>
  <c r="K26" i="1"/>
  <c r="K29" i="1" s="1"/>
  <c r="V115" i="9" l="1"/>
  <c r="W114" i="9"/>
  <c r="V101" i="9"/>
  <c r="V102" i="9" s="1"/>
  <c r="V84" i="9"/>
  <c r="W83" i="9"/>
  <c r="V70" i="9"/>
  <c r="L26" i="1"/>
  <c r="L29" i="1" s="1"/>
  <c r="V75" i="9" l="1"/>
  <c r="V76" i="9" s="1"/>
  <c r="V71" i="9"/>
  <c r="W84" i="9"/>
  <c r="W70" i="9"/>
  <c r="W115" i="9"/>
  <c r="W101" i="9"/>
  <c r="W102" i="9" s="1"/>
  <c r="O30" i="5"/>
  <c r="W71" i="9" l="1"/>
  <c r="W75" i="9"/>
  <c r="W87" i="9"/>
  <c r="V77" i="9"/>
  <c r="AA30" i="5"/>
  <c r="W76" i="9" l="1"/>
  <c r="W77" i="9" s="1"/>
  <c r="AB30" i="5"/>
  <c r="H31" i="1"/>
  <c r="X77" i="9" l="1"/>
  <c r="W78" i="9"/>
  <c r="E20" i="3"/>
  <c r="H32" i="1"/>
  <c r="AC30" i="5"/>
  <c r="I31" i="1"/>
  <c r="AD30" i="5" l="1"/>
  <c r="J31" i="1"/>
  <c r="F20" i="3"/>
  <c r="AE30" i="5" l="1"/>
  <c r="K31" i="1"/>
  <c r="G20" i="3"/>
  <c r="AF30" i="5" l="1"/>
  <c r="L31" i="1"/>
  <c r="I20" i="3" s="1"/>
  <c r="H20" i="3"/>
  <c r="AG30" i="5" l="1"/>
  <c r="Z49" i="2"/>
  <c r="AA36" i="2"/>
  <c r="AA49" i="2" s="1"/>
  <c r="AB36" i="2"/>
  <c r="AB49" i="2" s="1"/>
  <c r="AC36" i="2"/>
  <c r="AC49" i="2" s="1"/>
  <c r="F36" i="2"/>
  <c r="F49" i="2" s="1"/>
  <c r="K36" i="2"/>
  <c r="K49" i="2" s="1"/>
  <c r="P36" i="2"/>
  <c r="P49" i="2" s="1"/>
  <c r="U36" i="2"/>
  <c r="U49" i="2" s="1"/>
  <c r="AH30" i="5" l="1"/>
  <c r="AI30" i="5" l="1"/>
  <c r="AJ30" i="5" s="1"/>
  <c r="P90" i="5"/>
  <c r="AK30" i="5" l="1"/>
  <c r="AL30" i="5" l="1"/>
  <c r="Z90" i="5"/>
  <c r="AM30" i="5" l="1"/>
  <c r="AA90" i="5"/>
  <c r="AN30" i="5" l="1"/>
  <c r="AB90" i="5"/>
  <c r="AO30" i="5" l="1"/>
  <c r="AD90" i="5"/>
  <c r="AC90" i="5"/>
  <c r="C79" i="9" l="1"/>
  <c r="D79" i="9" l="1"/>
  <c r="E79" i="9" l="1"/>
  <c r="F79" i="9" l="1"/>
  <c r="G79" i="9" s="1"/>
  <c r="H79" i="9" l="1"/>
  <c r="I79" i="9" l="1"/>
  <c r="J79" i="9" l="1"/>
  <c r="K79" i="9" l="1"/>
  <c r="L79" i="9" s="1"/>
  <c r="M79" i="9" s="1"/>
  <c r="N79" i="9" s="1"/>
  <c r="O79" i="9" s="1"/>
  <c r="P79" i="9" s="1"/>
  <c r="Q79" i="9" s="1"/>
  <c r="R79" i="9" s="1"/>
  <c r="S79" i="9" s="1"/>
  <c r="T79" i="9" s="1"/>
  <c r="U79" i="9" s="1"/>
  <c r="V79" i="9" s="1"/>
  <c r="W79" i="9" l="1"/>
  <c r="W80" i="9" s="1"/>
  <c r="V80" i="9"/>
  <c r="B42" i="9"/>
  <c r="B43" i="9" s="1"/>
  <c r="B46" i="9" s="1"/>
  <c r="X79" i="9" l="1"/>
  <c r="X80" i="9" s="1"/>
  <c r="K65" i="5"/>
  <c r="C42" i="9"/>
  <c r="C43" i="9" s="1"/>
  <c r="C46" i="9" s="1"/>
  <c r="C44" i="9" l="1"/>
  <c r="D42" i="9"/>
  <c r="D43" i="9" s="1"/>
  <c r="D46" i="9" s="1"/>
  <c r="D44" i="9" l="1"/>
  <c r="F42" i="9"/>
  <c r="F43" i="9" s="1"/>
  <c r="F46" i="9" s="1"/>
  <c r="E42" i="9"/>
  <c r="E43" i="9" s="1"/>
  <c r="E46" i="9" s="1"/>
  <c r="B48" i="9" l="1"/>
  <c r="G44" i="9"/>
  <c r="F44" i="9"/>
  <c r="E44" i="9"/>
  <c r="AD22" i="2" l="1"/>
  <c r="AC22" i="2"/>
  <c r="AB22" i="2"/>
  <c r="AA22" i="2"/>
  <c r="U22" i="2"/>
  <c r="AC56" i="2" l="1"/>
  <c r="AB56" i="2"/>
  <c r="AD56" i="2"/>
  <c r="AA56" i="2"/>
  <c r="K22" i="2" l="1"/>
  <c r="P22" i="2"/>
  <c r="E32" i="1" l="1"/>
  <c r="D10" i="1"/>
  <c r="D29" i="1" l="1"/>
  <c r="D32" i="1" l="1"/>
  <c r="F32" i="1" l="1"/>
  <c r="F27" i="3" l="1"/>
  <c r="G27" i="3" l="1"/>
  <c r="H27" i="3"/>
  <c r="I27" i="3" l="1"/>
  <c r="B46" i="1" l="1"/>
  <c r="I40" i="1" l="1"/>
  <c r="J40" i="1" s="1"/>
  <c r="K40" i="1" s="1"/>
  <c r="L40" i="1" s="1"/>
  <c r="C46" i="1" l="1"/>
  <c r="I51" i="1" l="1"/>
  <c r="J51" i="1" s="1"/>
  <c r="K51" i="1" s="1"/>
  <c r="L51" i="1" s="1"/>
  <c r="P88" i="5" l="1"/>
  <c r="G32" i="1" l="1"/>
  <c r="E43" i="3"/>
  <c r="F33" i="3"/>
  <c r="F43" i="3"/>
  <c r="I31" i="3"/>
  <c r="I33" i="3" s="1"/>
  <c r="I43" i="3"/>
  <c r="H43" i="3"/>
  <c r="H31" i="3"/>
  <c r="G43" i="3"/>
  <c r="G31" i="3"/>
  <c r="G33" i="3" s="1"/>
  <c r="AB30" i="2" l="1"/>
  <c r="H33" i="3"/>
  <c r="U30" i="2"/>
  <c r="AC30" i="2" l="1"/>
  <c r="G153" i="9"/>
  <c r="G120" i="9"/>
  <c r="G89" i="9"/>
  <c r="G34" i="9"/>
  <c r="AD30" i="2" l="1"/>
  <c r="B158" i="9"/>
  <c r="G10" i="9" s="1"/>
  <c r="G48" i="9"/>
  <c r="AE30" i="2" l="1"/>
  <c r="G62" i="9"/>
  <c r="AE32" i="2" l="1"/>
  <c r="AF30" i="2"/>
  <c r="AG30" i="2" l="1"/>
  <c r="AF32" i="2"/>
  <c r="AH30" i="2" l="1"/>
  <c r="AG32" i="2"/>
  <c r="AI30" i="2" l="1"/>
  <c r="AH32" i="2"/>
  <c r="AI32" i="2" l="1"/>
  <c r="D41" i="1" l="1"/>
  <c r="D43" i="1" s="1"/>
  <c r="D13" i="1" l="1"/>
  <c r="D20" i="1" s="1"/>
  <c r="D46" i="1" s="1"/>
  <c r="L32" i="1" l="1"/>
  <c r="K32" i="1"/>
  <c r="J32" i="1"/>
  <c r="I32" i="1"/>
  <c r="H69" i="5" l="1"/>
  <c r="I69" i="5" l="1"/>
  <c r="K85" i="5" l="1"/>
  <c r="K9" i="2" s="1"/>
  <c r="K92" i="5" l="1"/>
  <c r="D10" i="9" l="1"/>
  <c r="K91" i="5" l="1"/>
  <c r="K10" i="2" l="1"/>
  <c r="B15" i="3" l="1"/>
  <c r="E41" i="1" l="1"/>
  <c r="E43" i="1" s="1"/>
  <c r="L85" i="5" l="1"/>
  <c r="E13" i="1"/>
  <c r="E20" i="1" l="1"/>
  <c r="E46" i="1" s="1"/>
  <c r="L10" i="2"/>
  <c r="L17" i="2" s="1"/>
  <c r="L24" i="2" s="1"/>
  <c r="L29" i="2" s="1"/>
  <c r="M85" i="5" l="1"/>
  <c r="M10" i="2" l="1"/>
  <c r="M17" i="2" s="1"/>
  <c r="M24" i="2" s="1"/>
  <c r="M29" i="2" s="1"/>
  <c r="N85" i="5" l="1"/>
  <c r="N10" i="2" l="1"/>
  <c r="N17" i="2" s="1"/>
  <c r="N24" i="2" s="1"/>
  <c r="N29" i="2" s="1"/>
  <c r="B86" i="9" l="1"/>
  <c r="B85" i="9"/>
  <c r="U85" i="5" l="1"/>
  <c r="Q10" i="2" l="1"/>
  <c r="Q17" i="2" s="1"/>
  <c r="Q24" i="2" s="1"/>
  <c r="B87" i="9"/>
  <c r="U92" i="5" l="1"/>
  <c r="C85" i="9" l="1"/>
  <c r="C86" i="9"/>
  <c r="B71" i="9" l="1"/>
  <c r="B75" i="9"/>
  <c r="B76" i="9" s="1"/>
  <c r="B77" i="9" s="1"/>
  <c r="Z85" i="5"/>
  <c r="R10" i="2" l="1"/>
  <c r="R17" i="2" s="1"/>
  <c r="R24" i="2" s="1"/>
  <c r="Z9" i="2"/>
  <c r="C87" i="9"/>
  <c r="B80" i="9"/>
  <c r="K33" i="4"/>
  <c r="Z10" i="2" l="1"/>
  <c r="B164" i="9"/>
  <c r="B176" i="9" s="1"/>
  <c r="Z92" i="5"/>
  <c r="E15" i="3"/>
  <c r="D86" i="9" l="1"/>
  <c r="D85" i="9"/>
  <c r="C71" i="9" l="1"/>
  <c r="AA85" i="5"/>
  <c r="C75" i="9"/>
  <c r="S10" i="2" l="1"/>
  <c r="AA9" i="2"/>
  <c r="L33" i="4"/>
  <c r="D87" i="9"/>
  <c r="C76" i="9"/>
  <c r="C77" i="9" s="1"/>
  <c r="AA92" i="5" l="1"/>
  <c r="C164" i="9"/>
  <c r="C176" i="9" s="1"/>
  <c r="AA10" i="2"/>
  <c r="F15" i="3"/>
  <c r="C78" i="9"/>
  <c r="C80" i="9"/>
  <c r="E85" i="9" l="1"/>
  <c r="E86" i="9"/>
  <c r="D71" i="9" l="1"/>
  <c r="D75" i="9"/>
  <c r="E87" i="9" s="1"/>
  <c r="AB85" i="5"/>
  <c r="T10" i="2" l="1"/>
  <c r="AB9" i="2"/>
  <c r="D76" i="9"/>
  <c r="D77" i="9" s="1"/>
  <c r="D80" i="9" s="1"/>
  <c r="M33" i="4"/>
  <c r="AB10" i="2" l="1"/>
  <c r="D164" i="9"/>
  <c r="D176" i="9" s="1"/>
  <c r="D78" i="9"/>
  <c r="G15" i="3"/>
  <c r="AB92" i="5"/>
  <c r="F85" i="9" l="1"/>
  <c r="F86" i="9"/>
  <c r="U10" i="2" l="1"/>
  <c r="F33" i="4"/>
  <c r="E71" i="9"/>
  <c r="E75" i="9"/>
  <c r="F87" i="9" s="1"/>
  <c r="E76" i="9" l="1"/>
  <c r="E77" i="9" s="1"/>
  <c r="N33" i="4"/>
  <c r="AC9" i="2"/>
  <c r="AC92" i="5" l="1"/>
  <c r="E164" i="9"/>
  <c r="E176" i="9" s="1"/>
  <c r="E80" i="9"/>
  <c r="E78" i="9"/>
  <c r="AC10" i="2"/>
  <c r="H15" i="3"/>
  <c r="I15" i="3" l="1"/>
  <c r="Z61" i="5" l="1"/>
  <c r="B104" i="9" s="1"/>
  <c r="P61" i="5"/>
  <c r="L63" i="5"/>
  <c r="L65" i="5" s="1"/>
  <c r="L69" i="5" l="1"/>
  <c r="L38" i="5"/>
  <c r="P65" i="5"/>
  <c r="B116" i="9"/>
  <c r="B106" i="9"/>
  <c r="J69" i="5"/>
  <c r="Z63" i="5"/>
  <c r="Z65" i="5" s="1"/>
  <c r="AA61" i="5"/>
  <c r="C104" i="9" s="1"/>
  <c r="U65" i="5"/>
  <c r="L36" i="5" l="1"/>
  <c r="Q39" i="5"/>
  <c r="B118" i="9"/>
  <c r="B107" i="9"/>
  <c r="B108" i="9" s="1"/>
  <c r="B111" i="9" s="1"/>
  <c r="C116" i="9"/>
  <c r="C106" i="9"/>
  <c r="P56" i="2"/>
  <c r="K15" i="2"/>
  <c r="K17" i="2"/>
  <c r="K24" i="2" s="1"/>
  <c r="P23" i="5"/>
  <c r="K90" i="5"/>
  <c r="P55" i="2"/>
  <c r="AA63" i="5"/>
  <c r="AA65" i="5" s="1"/>
  <c r="AB61" i="5"/>
  <c r="D104" i="9" s="1"/>
  <c r="K29" i="2" l="1"/>
  <c r="B6" i="3" s="1"/>
  <c r="B21" i="3" s="1"/>
  <c r="C107" i="9"/>
  <c r="C108" i="9" s="1"/>
  <c r="C118" i="9"/>
  <c r="D116" i="9"/>
  <c r="D106" i="9"/>
  <c r="AC61" i="5"/>
  <c r="AD61" i="5" s="1"/>
  <c r="AB63" i="5"/>
  <c r="AB65" i="5" s="1"/>
  <c r="AE61" i="5" l="1"/>
  <c r="G104" i="9" s="1"/>
  <c r="F104" i="9"/>
  <c r="B36" i="3"/>
  <c r="B37" i="3" s="1"/>
  <c r="C35" i="3" s="1"/>
  <c r="D107" i="9"/>
  <c r="D108" i="9" s="1"/>
  <c r="D118" i="9"/>
  <c r="AC63" i="5"/>
  <c r="AC65" i="5" s="1"/>
  <c r="E104" i="9"/>
  <c r="C109" i="9"/>
  <c r="C111" i="9"/>
  <c r="F116" i="9" l="1"/>
  <c r="F106" i="9"/>
  <c r="G116" i="9"/>
  <c r="G106" i="9"/>
  <c r="E116" i="9"/>
  <c r="E106" i="9"/>
  <c r="D109" i="9"/>
  <c r="D111" i="9"/>
  <c r="H104" i="9"/>
  <c r="AE63" i="5"/>
  <c r="AE65" i="5" s="1"/>
  <c r="AD63" i="5"/>
  <c r="AD65" i="5" s="1"/>
  <c r="F118" i="9" l="1"/>
  <c r="F107" i="9"/>
  <c r="F108" i="9" s="1"/>
  <c r="F111" i="9" s="1"/>
  <c r="H116" i="9"/>
  <c r="H106" i="9"/>
  <c r="E107" i="9"/>
  <c r="E108" i="9" s="1"/>
  <c r="E118" i="9"/>
  <c r="G107" i="9"/>
  <c r="G108" i="9" s="1"/>
  <c r="G118" i="9"/>
  <c r="I104" i="9"/>
  <c r="AF63" i="5"/>
  <c r="AF65" i="5" s="1"/>
  <c r="G109" i="9" l="1"/>
  <c r="G111" i="9"/>
  <c r="I116" i="9"/>
  <c r="I106" i="9"/>
  <c r="E109" i="9"/>
  <c r="E111" i="9"/>
  <c r="F109" i="9"/>
  <c r="H107" i="9"/>
  <c r="H108" i="9" s="1"/>
  <c r="H118" i="9"/>
  <c r="J104" i="9"/>
  <c r="AG63" i="5"/>
  <c r="AG65" i="5" s="1"/>
  <c r="H109" i="9" l="1"/>
  <c r="H111" i="9"/>
  <c r="J116" i="9"/>
  <c r="J106" i="9"/>
  <c r="I107" i="9"/>
  <c r="I108" i="9" s="1"/>
  <c r="I118" i="9"/>
  <c r="AH63" i="5"/>
  <c r="AH65" i="5" s="1"/>
  <c r="AJ63" i="5" l="1"/>
  <c r="AJ65" i="5" s="1"/>
  <c r="L104" i="9"/>
  <c r="AI63" i="5"/>
  <c r="AI65" i="5" s="1"/>
  <c r="K104" i="9"/>
  <c r="I109" i="9"/>
  <c r="I111" i="9"/>
  <c r="J107" i="9"/>
  <c r="J108" i="9" s="1"/>
  <c r="J118" i="9"/>
  <c r="L116" i="9" l="1"/>
  <c r="L106" i="9"/>
  <c r="L107" i="9" s="1"/>
  <c r="AK63" i="5"/>
  <c r="AK65" i="5" s="1"/>
  <c r="M104" i="9"/>
  <c r="J109" i="9"/>
  <c r="J111" i="9"/>
  <c r="K116" i="9"/>
  <c r="K106" i="9"/>
  <c r="K107" i="9" s="1"/>
  <c r="O85" i="5"/>
  <c r="L118" i="9" l="1"/>
  <c r="L108" i="9"/>
  <c r="L111" i="9" s="1"/>
  <c r="M106" i="9"/>
  <c r="M107" i="9" s="1"/>
  <c r="M116" i="9"/>
  <c r="AL63" i="5"/>
  <c r="AL65" i="5" s="1"/>
  <c r="N104" i="9"/>
  <c r="K108" i="9"/>
  <c r="K118" i="9"/>
  <c r="M108" i="9" l="1"/>
  <c r="M111" i="9" s="1"/>
  <c r="M118" i="9"/>
  <c r="N116" i="9"/>
  <c r="N106" i="9"/>
  <c r="N107" i="9" s="1"/>
  <c r="AM63" i="5"/>
  <c r="AM65" i="5" s="1"/>
  <c r="O104" i="9"/>
  <c r="L109" i="9"/>
  <c r="K111" i="9"/>
  <c r="K109" i="9"/>
  <c r="O10" i="2"/>
  <c r="O17" i="2" s="1"/>
  <c r="O24" i="2" s="1"/>
  <c r="O29" i="2" s="1"/>
  <c r="AN63" i="5" l="1"/>
  <c r="AN65" i="5" s="1"/>
  <c r="P104" i="9"/>
  <c r="N118" i="9"/>
  <c r="N108" i="9"/>
  <c r="M109" i="9"/>
  <c r="O106" i="9"/>
  <c r="O107" i="9" s="1"/>
  <c r="O116" i="9"/>
  <c r="P85" i="5"/>
  <c r="O118" i="9" l="1"/>
  <c r="O108" i="9"/>
  <c r="N109" i="9"/>
  <c r="N111" i="9"/>
  <c r="P116" i="9"/>
  <c r="P106" i="9"/>
  <c r="P107" i="9" s="1"/>
  <c r="AO63" i="5"/>
  <c r="AO65" i="5" s="1"/>
  <c r="Q104" i="9"/>
  <c r="R104" i="9" s="1"/>
  <c r="S104" i="9" s="1"/>
  <c r="N3" i="9"/>
  <c r="P10" i="2"/>
  <c r="T104" i="9" l="1"/>
  <c r="U104" i="9" s="1"/>
  <c r="S116" i="9"/>
  <c r="S106" i="9"/>
  <c r="S107" i="9" s="1"/>
  <c r="R116" i="9"/>
  <c r="R106" i="9"/>
  <c r="R107" i="9" s="1"/>
  <c r="P108" i="9"/>
  <c r="P118" i="9"/>
  <c r="Q106" i="9"/>
  <c r="Q107" i="9" s="1"/>
  <c r="Q116" i="9"/>
  <c r="O109" i="9"/>
  <c r="O111" i="9"/>
  <c r="P92" i="5"/>
  <c r="P17" i="2"/>
  <c r="P24" i="2" s="1"/>
  <c r="C15" i="3"/>
  <c r="S118" i="9" l="1"/>
  <c r="S108" i="9"/>
  <c r="S111" i="9" s="1"/>
  <c r="T116" i="9"/>
  <c r="T106" i="9"/>
  <c r="T107" i="9" s="1"/>
  <c r="R118" i="9"/>
  <c r="R108" i="9"/>
  <c r="P109" i="9"/>
  <c r="P111" i="9"/>
  <c r="Q108" i="9"/>
  <c r="Q118" i="9"/>
  <c r="P25" i="2"/>
  <c r="P29" i="2" s="1"/>
  <c r="C6" i="3" s="1"/>
  <c r="P57" i="2"/>
  <c r="T118" i="9" l="1"/>
  <c r="T108" i="9"/>
  <c r="U116" i="9"/>
  <c r="U106" i="9"/>
  <c r="U107" i="9" s="1"/>
  <c r="R111" i="9"/>
  <c r="S109" i="9"/>
  <c r="R109" i="9"/>
  <c r="Q109" i="9"/>
  <c r="Q111" i="9"/>
  <c r="Q25" i="2"/>
  <c r="Q29" i="2" s="1"/>
  <c r="P31" i="2"/>
  <c r="P59" i="2"/>
  <c r="W104" i="9" l="1"/>
  <c r="V116" i="9"/>
  <c r="V106" i="9"/>
  <c r="V107" i="9" s="1"/>
  <c r="U118" i="9"/>
  <c r="U108" i="9"/>
  <c r="U111" i="9" s="1"/>
  <c r="T111" i="9"/>
  <c r="T109" i="9"/>
  <c r="R25" i="2"/>
  <c r="P60" i="2"/>
  <c r="U109" i="9" l="1"/>
  <c r="V108" i="9"/>
  <c r="V118" i="9"/>
  <c r="W116" i="9"/>
  <c r="W106" i="9"/>
  <c r="W107" i="9" s="1"/>
  <c r="R29" i="2"/>
  <c r="S25" i="2"/>
  <c r="T25" i="2" s="1"/>
  <c r="C21" i="3"/>
  <c r="V111" i="9" l="1"/>
  <c r="V109" i="9"/>
  <c r="W118" i="9"/>
  <c r="W108" i="9"/>
  <c r="F41" i="1"/>
  <c r="F43" i="1" s="1"/>
  <c r="X108" i="9" l="1"/>
  <c r="X111" i="9" s="1"/>
  <c r="B121" i="9" s="1"/>
  <c r="W111" i="9"/>
  <c r="B120" i="9" s="1"/>
  <c r="W109" i="9"/>
  <c r="B122" i="9" l="1"/>
  <c r="B124" i="9" s="1"/>
  <c r="Z88" i="5"/>
  <c r="B55" i="9" s="1"/>
  <c r="C7" i="9" l="1"/>
  <c r="B125" i="9"/>
  <c r="G7" i="9" s="1"/>
  <c r="F7" i="9"/>
  <c r="AA88" i="5"/>
  <c r="C55" i="9" s="1"/>
  <c r="C56" i="9" s="1"/>
  <c r="C57" i="9" s="1"/>
  <c r="C60" i="9" s="1"/>
  <c r="B56" i="9"/>
  <c r="B57" i="9" s="1"/>
  <c r="B60" i="9" s="1"/>
  <c r="D7" i="9" l="1"/>
  <c r="E8" i="3"/>
  <c r="H38" i="1" s="1"/>
  <c r="AB88" i="5"/>
  <c r="D55" i="9" s="1"/>
  <c r="D56" i="9" s="1"/>
  <c r="D57" i="9" s="1"/>
  <c r="D60" i="9" s="1"/>
  <c r="AC88" i="5"/>
  <c r="E55" i="9" s="1"/>
  <c r="C58" i="9"/>
  <c r="G8" i="3" l="1"/>
  <c r="F8" i="3"/>
  <c r="I38" i="1" s="1"/>
  <c r="E56" i="9"/>
  <c r="E57" i="9" s="1"/>
  <c r="E60" i="9" s="1"/>
  <c r="D58" i="9"/>
  <c r="F55" i="9"/>
  <c r="J38" i="1" l="1"/>
  <c r="H8" i="3"/>
  <c r="E58" i="9"/>
  <c r="AE88" i="5"/>
  <c r="G55" i="9" s="1"/>
  <c r="F56" i="9"/>
  <c r="F57" i="9" s="1"/>
  <c r="K38" i="1" l="1"/>
  <c r="I8" i="3"/>
  <c r="G56" i="9"/>
  <c r="G57" i="9" s="1"/>
  <c r="G60" i="9" s="1"/>
  <c r="F60" i="9"/>
  <c r="F58" i="9"/>
  <c r="AF88" i="5"/>
  <c r="H55" i="9" s="1"/>
  <c r="L38" i="1" l="1"/>
  <c r="G58" i="9"/>
  <c r="H56" i="9"/>
  <c r="H57" i="9" s="1"/>
  <c r="AG88" i="5"/>
  <c r="I55" i="9" s="1"/>
  <c r="I56" i="9" s="1"/>
  <c r="I57" i="9" s="1"/>
  <c r="H60" i="9" l="1"/>
  <c r="H58" i="9"/>
  <c r="I60" i="9"/>
  <c r="I58" i="9"/>
  <c r="AH88" i="5"/>
  <c r="J55" i="9" s="1"/>
  <c r="J56" i="9" s="1"/>
  <c r="J57" i="9" s="1"/>
  <c r="AJ88" i="5" l="1"/>
  <c r="L55" i="9" s="1"/>
  <c r="J60" i="9"/>
  <c r="J58" i="9"/>
  <c r="AI88" i="5"/>
  <c r="L56" i="9" l="1"/>
  <c r="L57" i="9" s="1"/>
  <c r="K55" i="9"/>
  <c r="K56" i="9" s="1"/>
  <c r="K57" i="9" s="1"/>
  <c r="K60" i="9" s="1"/>
  <c r="AK88" i="5"/>
  <c r="K58" i="9" l="1"/>
  <c r="M55" i="9"/>
  <c r="M56" i="9" s="1"/>
  <c r="M57" i="9" s="1"/>
  <c r="M60" i="9" s="1"/>
  <c r="L60" i="9"/>
  <c r="B63" i="9" s="1"/>
  <c r="L58" i="9"/>
  <c r="AL88" i="5"/>
  <c r="M58" i="9" l="1"/>
  <c r="N55" i="9"/>
  <c r="AM88" i="5"/>
  <c r="O55" i="9" s="1"/>
  <c r="O56" i="9" s="1"/>
  <c r="C27" i="3"/>
  <c r="C36" i="3" s="1"/>
  <c r="C37" i="3" s="1"/>
  <c r="N56" i="9" l="1"/>
  <c r="N57" i="9" s="1"/>
  <c r="O57" i="9"/>
  <c r="AN88" i="5"/>
  <c r="P55" i="9" s="1"/>
  <c r="P56" i="9" s="1"/>
  <c r="P57" i="9" s="1"/>
  <c r="O58" i="9" l="1"/>
  <c r="O60" i="9"/>
  <c r="N58" i="9"/>
  <c r="N60" i="9"/>
  <c r="P60" i="9"/>
  <c r="P58" i="9"/>
  <c r="AO88" i="5"/>
  <c r="Q55" i="9" s="1"/>
  <c r="Q56" i="9" s="1"/>
  <c r="Q57" i="9" s="1"/>
  <c r="F50" i="1"/>
  <c r="F51" i="1" s="1"/>
  <c r="F13" i="1"/>
  <c r="F20" i="1" s="1"/>
  <c r="R57" i="9" l="1"/>
  <c r="R60" i="9" s="1"/>
  <c r="B49" i="9" s="1"/>
  <c r="B50" i="9" s="1"/>
  <c r="B51" i="9" s="1"/>
  <c r="Q58" i="9"/>
  <c r="Q60" i="9"/>
  <c r="B62" i="9" s="1"/>
  <c r="B64" i="9" s="1"/>
  <c r="B65" i="9" s="1"/>
  <c r="F46" i="1"/>
  <c r="C17" i="9" l="1"/>
  <c r="P67" i="5"/>
  <c r="P69" i="5" s="1"/>
  <c r="P95" i="5" s="1"/>
  <c r="F17" i="9" l="1"/>
  <c r="D17" i="9"/>
  <c r="G17" i="9" s="1"/>
  <c r="P91" i="5"/>
  <c r="P39" i="5"/>
  <c r="O19" i="5" l="1"/>
  <c r="O22" i="5" s="1"/>
  <c r="O36" i="5" l="1"/>
  <c r="O38" i="5" s="1"/>
  <c r="N38" i="5"/>
  <c r="N67" i="5" s="1"/>
  <c r="N69" i="5" s="1"/>
  <c r="O67" i="5" l="1"/>
  <c r="O69" i="5" s="1"/>
  <c r="Z36" i="5"/>
  <c r="AA36" i="5" s="1"/>
  <c r="AA38" i="5" s="1"/>
  <c r="Z38" i="5" l="1"/>
  <c r="Z39" i="5" s="1"/>
  <c r="AB36" i="5"/>
  <c r="B27" i="9" l="1"/>
  <c r="Z67" i="5"/>
  <c r="Z12" i="2" s="1"/>
  <c r="B165" i="9" s="1"/>
  <c r="U39" i="5"/>
  <c r="U67" i="5"/>
  <c r="AA39" i="5"/>
  <c r="AA67" i="5"/>
  <c r="AA12" i="2" s="1"/>
  <c r="C165" i="9" s="1"/>
  <c r="C27" i="9"/>
  <c r="C171" i="9" s="1"/>
  <c r="AC36" i="5"/>
  <c r="AB38" i="5"/>
  <c r="C177" i="9" l="1"/>
  <c r="B28" i="9"/>
  <c r="B29" i="9" s="1"/>
  <c r="B32" i="9" s="1"/>
  <c r="B171" i="9"/>
  <c r="B177" i="9" s="1"/>
  <c r="Z69" i="5"/>
  <c r="Z95" i="5" s="1"/>
  <c r="AA69" i="5"/>
  <c r="AA91" i="5"/>
  <c r="Z17" i="2"/>
  <c r="Z55" i="2"/>
  <c r="Z15" i="2"/>
  <c r="Z91" i="5"/>
  <c r="AB67" i="5"/>
  <c r="AB12" i="2" s="1"/>
  <c r="D165" i="9" s="1"/>
  <c r="D27" i="9"/>
  <c r="D171" i="9" s="1"/>
  <c r="AB39" i="5"/>
  <c r="AD36" i="5"/>
  <c r="AC38" i="5"/>
  <c r="C28" i="9"/>
  <c r="C29" i="9" s="1"/>
  <c r="C32" i="9" s="1"/>
  <c r="D177" i="9" l="1"/>
  <c r="U55" i="2"/>
  <c r="U91" i="5"/>
  <c r="C30" i="9"/>
  <c r="AB69" i="5"/>
  <c r="AB91" i="5"/>
  <c r="AC67" i="5"/>
  <c r="AC12" i="2" s="1"/>
  <c r="E165" i="9" s="1"/>
  <c r="AC39" i="5"/>
  <c r="E27" i="9"/>
  <c r="E171" i="9" s="1"/>
  <c r="D28" i="9"/>
  <c r="D29" i="9" s="1"/>
  <c r="D32" i="9" s="1"/>
  <c r="AA55" i="2"/>
  <c r="AA17" i="2"/>
  <c r="AA15" i="2"/>
  <c r="AD38" i="5"/>
  <c r="AE36" i="5"/>
  <c r="E177" i="9" l="1"/>
  <c r="E28" i="9"/>
  <c r="E29" i="9" s="1"/>
  <c r="E32" i="9" s="1"/>
  <c r="AF36" i="5"/>
  <c r="AE38" i="5"/>
  <c r="AE67" i="5" s="1"/>
  <c r="AC69" i="5"/>
  <c r="AD67" i="5"/>
  <c r="AD12" i="2" s="1"/>
  <c r="F165" i="9" s="1"/>
  <c r="F27" i="9"/>
  <c r="F171" i="9" s="1"/>
  <c r="AD39" i="5"/>
  <c r="AB17" i="2"/>
  <c r="AB55" i="2"/>
  <c r="AB15" i="2"/>
  <c r="D30" i="9"/>
  <c r="AA24" i="2"/>
  <c r="AA57" i="2"/>
  <c r="F177" i="9" l="1"/>
  <c r="E30" i="9"/>
  <c r="F28" i="9"/>
  <c r="G28" i="9" s="1"/>
  <c r="AD69" i="5"/>
  <c r="AA59" i="2"/>
  <c r="AA25" i="2"/>
  <c r="AC55" i="2"/>
  <c r="AC17" i="2"/>
  <c r="AC15" i="2"/>
  <c r="AC91" i="5"/>
  <c r="AE39" i="5"/>
  <c r="G27" i="9"/>
  <c r="G171" i="9" s="1"/>
  <c r="AE12" i="2"/>
  <c r="AF38" i="5"/>
  <c r="AG36" i="5"/>
  <c r="AB57" i="2"/>
  <c r="AB24" i="2"/>
  <c r="AA29" i="2" l="1"/>
  <c r="AA31" i="2" s="1"/>
  <c r="AE55" i="2"/>
  <c r="G165" i="9"/>
  <c r="G177" i="9" s="1"/>
  <c r="AE15" i="2"/>
  <c r="G29" i="9"/>
  <c r="G32" i="9" s="1"/>
  <c r="AB25" i="2"/>
  <c r="AB29" i="2" s="1"/>
  <c r="AB31" i="2" s="1"/>
  <c r="AB59" i="2"/>
  <c r="F6" i="3"/>
  <c r="F21" i="3" s="1"/>
  <c r="F36" i="3" s="1"/>
  <c r="AD15" i="2"/>
  <c r="AD55" i="2"/>
  <c r="AC24" i="2"/>
  <c r="AC57" i="2"/>
  <c r="AH36" i="5"/>
  <c r="AG38" i="5"/>
  <c r="AE91" i="5"/>
  <c r="AE69" i="5"/>
  <c r="AD91" i="5"/>
  <c r="F29" i="9"/>
  <c r="F32" i="9" s="1"/>
  <c r="H27" i="9"/>
  <c r="AF39" i="5"/>
  <c r="AF67" i="5"/>
  <c r="AF12" i="2" s="1"/>
  <c r="H165" i="9" s="1"/>
  <c r="H29" i="9" l="1"/>
  <c r="H32" i="9" s="1"/>
  <c r="H171" i="9"/>
  <c r="H177" i="9" s="1"/>
  <c r="AF15" i="2"/>
  <c r="AF55" i="2"/>
  <c r="G30" i="9"/>
  <c r="G6" i="3"/>
  <c r="G21" i="3" s="1"/>
  <c r="G36" i="3" s="1"/>
  <c r="AB60" i="2"/>
  <c r="I27" i="9"/>
  <c r="AG67" i="5"/>
  <c r="AG12" i="2" s="1"/>
  <c r="I165" i="9" s="1"/>
  <c r="AG39" i="5"/>
  <c r="AH38" i="5"/>
  <c r="AI36" i="5"/>
  <c r="AC25" i="2"/>
  <c r="AC29" i="2" s="1"/>
  <c r="AC31" i="2" s="1"/>
  <c r="AC59" i="2"/>
  <c r="AF91" i="5"/>
  <c r="AF69" i="5"/>
  <c r="H30" i="9"/>
  <c r="F30" i="9"/>
  <c r="I29" i="9" l="1"/>
  <c r="I32" i="9" s="1"/>
  <c r="I171" i="9"/>
  <c r="I177" i="9" s="1"/>
  <c r="AG15" i="2"/>
  <c r="AG55" i="2"/>
  <c r="AI38" i="5"/>
  <c r="AJ36" i="5"/>
  <c r="AH67" i="5"/>
  <c r="AH12" i="2" s="1"/>
  <c r="J165" i="9" s="1"/>
  <c r="J27" i="9"/>
  <c r="AH39" i="5"/>
  <c r="AG91" i="5"/>
  <c r="AG69" i="5"/>
  <c r="H6" i="3"/>
  <c r="H21" i="3" s="1"/>
  <c r="H36" i="3" s="1"/>
  <c r="AC60" i="2"/>
  <c r="I30" i="9" l="1"/>
  <c r="J29" i="9"/>
  <c r="J32" i="9" s="1"/>
  <c r="J171" i="9"/>
  <c r="J177" i="9" s="1"/>
  <c r="AH15" i="2"/>
  <c r="AH55" i="2"/>
  <c r="AI67" i="5"/>
  <c r="AI39" i="5"/>
  <c r="K27" i="9"/>
  <c r="AK36" i="5"/>
  <c r="AJ38" i="5"/>
  <c r="J30" i="9"/>
  <c r="AH91" i="5"/>
  <c r="AH69" i="5"/>
  <c r="K29" i="9" l="1"/>
  <c r="K32" i="9" s="1"/>
  <c r="K171" i="9"/>
  <c r="AI69" i="5"/>
  <c r="AI12" i="2"/>
  <c r="L27" i="9"/>
  <c r="AJ67" i="5"/>
  <c r="AJ69" i="5" s="1"/>
  <c r="AJ39" i="5"/>
  <c r="AL36" i="5"/>
  <c r="AK38" i="5"/>
  <c r="K30" i="9" l="1"/>
  <c r="AI91" i="5"/>
  <c r="K165" i="9"/>
  <c r="K177" i="9" s="1"/>
  <c r="L28" i="9"/>
  <c r="L29" i="9" s="1"/>
  <c r="AI15" i="2"/>
  <c r="AI55" i="2"/>
  <c r="M27" i="9"/>
  <c r="AK39" i="5"/>
  <c r="AK67" i="5"/>
  <c r="AK69" i="5" s="1"/>
  <c r="AM36" i="5"/>
  <c r="AL38" i="5"/>
  <c r="L32" i="9" l="1"/>
  <c r="L30" i="9"/>
  <c r="M28" i="9"/>
  <c r="M29" i="9" s="1"/>
  <c r="N27" i="9"/>
  <c r="AL39" i="5"/>
  <c r="AL67" i="5"/>
  <c r="AL69" i="5" s="1"/>
  <c r="AN36" i="5"/>
  <c r="AM38" i="5"/>
  <c r="M30" i="9" l="1"/>
  <c r="M32" i="9"/>
  <c r="N28" i="9"/>
  <c r="N29" i="9" s="1"/>
  <c r="O27" i="9"/>
  <c r="AM39" i="5"/>
  <c r="AM67" i="5"/>
  <c r="AM69" i="5" s="1"/>
  <c r="AO36" i="5"/>
  <c r="AO38" i="5" s="1"/>
  <c r="Q27" i="9" s="1"/>
  <c r="Q28" i="9" s="1"/>
  <c r="AN38" i="5"/>
  <c r="N30" i="9" l="1"/>
  <c r="N32" i="9"/>
  <c r="O28" i="9"/>
  <c r="O29" i="9" s="1"/>
  <c r="P27" i="9"/>
  <c r="AN39" i="5"/>
  <c r="AN67" i="5"/>
  <c r="AN69" i="5" s="1"/>
  <c r="AO39" i="5"/>
  <c r="Q29" i="9"/>
  <c r="R29" i="9" s="1"/>
  <c r="R32" i="9" s="1"/>
  <c r="B35" i="9" s="1"/>
  <c r="AO67" i="5"/>
  <c r="AO69" i="5" s="1"/>
  <c r="O32" i="9" l="1"/>
  <c r="O30" i="9"/>
  <c r="P28" i="9"/>
  <c r="P29" i="9" s="1"/>
  <c r="Q32" i="9"/>
  <c r="S23" i="5"/>
  <c r="Q30" i="9" l="1"/>
  <c r="P30" i="9"/>
  <c r="P32" i="9"/>
  <c r="B34" i="9" s="1"/>
  <c r="B36" i="9" s="1"/>
  <c r="S15" i="2"/>
  <c r="S17" i="2"/>
  <c r="S24" i="2" s="1"/>
  <c r="S29" i="2" s="1"/>
  <c r="S31" i="2" s="1"/>
  <c r="K32" i="5"/>
  <c r="C15" i="9" l="1"/>
  <c r="B37" i="9"/>
  <c r="D15" i="9" l="1"/>
  <c r="F15" i="9"/>
  <c r="G15" i="9" l="1"/>
  <c r="F69" i="9" l="1"/>
  <c r="F169" i="9" s="1"/>
  <c r="AD82" i="5"/>
  <c r="O15" i="4"/>
  <c r="O20" i="4" s="1"/>
  <c r="AE82" i="5"/>
  <c r="G69" i="9"/>
  <c r="G169" i="9" s="1"/>
  <c r="P15" i="4"/>
  <c r="P20" i="4" s="1"/>
  <c r="AE5" i="2" s="1"/>
  <c r="AE7" i="2" s="1"/>
  <c r="G163" i="9" s="1"/>
  <c r="G175" i="9" s="1"/>
  <c r="AE43" i="2" l="1"/>
  <c r="AE42" i="2"/>
  <c r="AD5" i="2"/>
  <c r="AD7" i="2" s="1"/>
  <c r="F163" i="9" s="1"/>
  <c r="F175" i="9" s="1"/>
  <c r="O28" i="4"/>
  <c r="F70" i="9"/>
  <c r="AD85" i="5"/>
  <c r="G85" i="9"/>
  <c r="G86" i="9"/>
  <c r="P28" i="4"/>
  <c r="H85" i="9"/>
  <c r="H86" i="9"/>
  <c r="G70" i="9"/>
  <c r="AE85" i="5"/>
  <c r="J69" i="9"/>
  <c r="J169" i="9" s="1"/>
  <c r="S15" i="4"/>
  <c r="S20" i="4" s="1"/>
  <c r="AH5" i="2" s="1"/>
  <c r="AH7" i="2" s="1"/>
  <c r="J163" i="9" s="1"/>
  <c r="AH82" i="5"/>
  <c r="S9" i="4"/>
  <c r="G71" i="9" l="1"/>
  <c r="G170" i="9"/>
  <c r="F75" i="9"/>
  <c r="F77" i="9" s="1"/>
  <c r="F170" i="9"/>
  <c r="J175" i="9"/>
  <c r="F71" i="9"/>
  <c r="AH43" i="2"/>
  <c r="AH42" i="2"/>
  <c r="AE9" i="2"/>
  <c r="G164" i="9" s="1"/>
  <c r="AD9" i="2"/>
  <c r="AD10" i="2" s="1"/>
  <c r="O33" i="4"/>
  <c r="G75" i="9"/>
  <c r="Q9" i="4"/>
  <c r="AF82" i="5"/>
  <c r="Q15" i="4"/>
  <c r="Q20" i="4" s="1"/>
  <c r="AF5" i="2" s="1"/>
  <c r="AF7" i="2" s="1"/>
  <c r="H163" i="9" s="1"/>
  <c r="H69" i="9"/>
  <c r="H169" i="9" s="1"/>
  <c r="AG82" i="5"/>
  <c r="I69" i="9"/>
  <c r="I169" i="9" s="1"/>
  <c r="R15" i="4"/>
  <c r="R20" i="4" s="1"/>
  <c r="R9" i="4"/>
  <c r="AH85" i="5"/>
  <c r="J70" i="9"/>
  <c r="S28" i="4"/>
  <c r="K86" i="9"/>
  <c r="K85" i="9"/>
  <c r="G87" i="9" l="1"/>
  <c r="G176" i="9"/>
  <c r="J75" i="9"/>
  <c r="J77" i="9" s="1"/>
  <c r="J170" i="9"/>
  <c r="H175" i="9"/>
  <c r="AD39" i="2"/>
  <c r="F164" i="9"/>
  <c r="F176" i="9" s="1"/>
  <c r="AD92" i="5"/>
  <c r="S21" i="4"/>
  <c r="AG5" i="2"/>
  <c r="AG7" i="2" s="1"/>
  <c r="I163" i="9" s="1"/>
  <c r="I175" i="9" s="1"/>
  <c r="AF43" i="2"/>
  <c r="AF42" i="2"/>
  <c r="AH9" i="2"/>
  <c r="J164" i="9" s="1"/>
  <c r="AE10" i="2"/>
  <c r="AE39" i="2"/>
  <c r="AE92" i="5"/>
  <c r="J71" i="9"/>
  <c r="AD40" i="2"/>
  <c r="AD17" i="2"/>
  <c r="F80" i="9"/>
  <c r="F78" i="9"/>
  <c r="H87" i="9"/>
  <c r="G77" i="9"/>
  <c r="R28" i="4"/>
  <c r="R21" i="4"/>
  <c r="J85" i="9"/>
  <c r="J86" i="9"/>
  <c r="AG85" i="5"/>
  <c r="I70" i="9"/>
  <c r="I85" i="9"/>
  <c r="I86" i="9"/>
  <c r="Q28" i="4"/>
  <c r="Q29" i="4" s="1"/>
  <c r="Q21" i="4"/>
  <c r="AF85" i="5"/>
  <c r="H70" i="9"/>
  <c r="K87" i="9" l="1"/>
  <c r="J176" i="9"/>
  <c r="H71" i="9"/>
  <c r="H170" i="9"/>
  <c r="I75" i="9"/>
  <c r="I77" i="9" s="1"/>
  <c r="I80" i="9" s="1"/>
  <c r="I170" i="9"/>
  <c r="AG43" i="2"/>
  <c r="AG42" i="2"/>
  <c r="AF9" i="2"/>
  <c r="H164" i="9" s="1"/>
  <c r="AE40" i="2"/>
  <c r="AE17" i="2"/>
  <c r="AE57" i="2" s="1"/>
  <c r="AH10" i="2"/>
  <c r="AH39" i="2"/>
  <c r="AG9" i="2"/>
  <c r="AH92" i="5"/>
  <c r="H75" i="9"/>
  <c r="I87" i="9" s="1"/>
  <c r="AD24" i="2"/>
  <c r="AD57" i="2"/>
  <c r="G78" i="9"/>
  <c r="G80" i="9"/>
  <c r="U15" i="4"/>
  <c r="U20" i="4" s="1"/>
  <c r="L69" i="9"/>
  <c r="AJ82" i="5"/>
  <c r="I71" i="9"/>
  <c r="S29" i="4"/>
  <c r="R29" i="4"/>
  <c r="J80" i="9"/>
  <c r="U9" i="4"/>
  <c r="J87" i="9" l="1"/>
  <c r="H176" i="9"/>
  <c r="AG92" i="5"/>
  <c r="I164" i="9"/>
  <c r="I176" i="9" s="1"/>
  <c r="AE24" i="2"/>
  <c r="AE59" i="2" s="1"/>
  <c r="AE44" i="2"/>
  <c r="AG10" i="2"/>
  <c r="AG39" i="2"/>
  <c r="AF10" i="2"/>
  <c r="AF39" i="2"/>
  <c r="AH40" i="2"/>
  <c r="AH17" i="2"/>
  <c r="AF92" i="5"/>
  <c r="H77" i="9"/>
  <c r="H78" i="9" s="1"/>
  <c r="J78" i="9"/>
  <c r="AD59" i="2"/>
  <c r="AD25" i="2"/>
  <c r="AD29" i="2" s="1"/>
  <c r="L70" i="9"/>
  <c r="L71" i="9" s="1"/>
  <c r="AJ85" i="5"/>
  <c r="M85" i="9"/>
  <c r="M86" i="9"/>
  <c r="T9" i="4"/>
  <c r="AI82" i="5"/>
  <c r="T15" i="4"/>
  <c r="T20" i="4" s="1"/>
  <c r="AI5" i="2" s="1"/>
  <c r="AI7" i="2" s="1"/>
  <c r="K163" i="9" s="1"/>
  <c r="K69" i="9"/>
  <c r="K169" i="9" s="1"/>
  <c r="U28" i="4"/>
  <c r="K175" i="9" l="1"/>
  <c r="L75" i="9"/>
  <c r="L76" i="9" s="1"/>
  <c r="AI43" i="2"/>
  <c r="AI42" i="2"/>
  <c r="I78" i="9"/>
  <c r="H80" i="9"/>
  <c r="AH44" i="2"/>
  <c r="AH24" i="2"/>
  <c r="AF40" i="2"/>
  <c r="AF17" i="2"/>
  <c r="AG40" i="2"/>
  <c r="AG17" i="2"/>
  <c r="AE25" i="2"/>
  <c r="AE29" i="2" s="1"/>
  <c r="AE46" i="2"/>
  <c r="AD31" i="2"/>
  <c r="AD60" i="2"/>
  <c r="I6" i="3"/>
  <c r="L86" i="9"/>
  <c r="L85" i="9"/>
  <c r="V9" i="4"/>
  <c r="V15" i="4"/>
  <c r="V20" i="4" s="1"/>
  <c r="AK82" i="5"/>
  <c r="M69" i="9"/>
  <c r="T21" i="4"/>
  <c r="T28" i="4"/>
  <c r="T29" i="4" s="1"/>
  <c r="AI85" i="5"/>
  <c r="K70" i="9"/>
  <c r="U21" i="4"/>
  <c r="M87" i="9" l="1"/>
  <c r="K71" i="9"/>
  <c r="K170" i="9"/>
  <c r="L77" i="9"/>
  <c r="L80" i="9" s="1"/>
  <c r="AE60" i="2"/>
  <c r="AE31" i="2"/>
  <c r="AE47" i="2"/>
  <c r="AF44" i="2"/>
  <c r="AF57" i="2"/>
  <c r="AF24" i="2"/>
  <c r="AI9" i="2"/>
  <c r="K164" i="9" s="1"/>
  <c r="AG24" i="2"/>
  <c r="AH59" i="2" s="1"/>
  <c r="AG44" i="2"/>
  <c r="AG57" i="2"/>
  <c r="AH46" i="2"/>
  <c r="AH25" i="2"/>
  <c r="AH29" i="2" s="1"/>
  <c r="AH57" i="2"/>
  <c r="I21" i="3"/>
  <c r="I36" i="3" s="1"/>
  <c r="K75" i="9"/>
  <c r="N86" i="9"/>
  <c r="N85" i="9"/>
  <c r="W9" i="4"/>
  <c r="W15" i="4"/>
  <c r="W20" i="4" s="1"/>
  <c r="N69" i="9"/>
  <c r="AL82" i="5"/>
  <c r="U29" i="4"/>
  <c r="AK85" i="5"/>
  <c r="M70" i="9"/>
  <c r="M71" i="9" s="1"/>
  <c r="V21" i="4"/>
  <c r="V28" i="4"/>
  <c r="V29" i="4" s="1"/>
  <c r="K176" i="9" l="1"/>
  <c r="AH31" i="2"/>
  <c r="AH33" i="2"/>
  <c r="AH47" i="2"/>
  <c r="AI39" i="2"/>
  <c r="AI10" i="2"/>
  <c r="AG25" i="2"/>
  <c r="AG29" i="2" s="1"/>
  <c r="AG46" i="2"/>
  <c r="AG59" i="2"/>
  <c r="AI92" i="5"/>
  <c r="AF25" i="2"/>
  <c r="AF29" i="2" s="1"/>
  <c r="AF59" i="2"/>
  <c r="AF46" i="2"/>
  <c r="K77" i="9"/>
  <c r="L87" i="9"/>
  <c r="N70" i="9"/>
  <c r="N71" i="9" s="1"/>
  <c r="AL85" i="5"/>
  <c r="W21" i="4"/>
  <c r="W28" i="4"/>
  <c r="W29" i="4" s="1"/>
  <c r="X9" i="4"/>
  <c r="X15" i="4"/>
  <c r="X20" i="4" s="1"/>
  <c r="AM82" i="5"/>
  <c r="O69" i="9"/>
  <c r="M75" i="9"/>
  <c r="M76" i="9" s="1"/>
  <c r="O86" i="9"/>
  <c r="O85" i="9"/>
  <c r="AG31" i="2" l="1"/>
  <c r="AG33" i="2"/>
  <c r="AF31" i="2"/>
  <c r="AF33" i="2"/>
  <c r="AG60" i="2"/>
  <c r="AG47" i="2"/>
  <c r="AI40" i="2"/>
  <c r="AI17" i="2"/>
  <c r="AF60" i="2"/>
  <c r="AF47" i="2"/>
  <c r="AH60" i="2"/>
  <c r="L78" i="9"/>
  <c r="K78" i="9"/>
  <c r="K80" i="9"/>
  <c r="N75" i="9"/>
  <c r="Y9" i="4"/>
  <c r="Y15" i="4"/>
  <c r="Y20" i="4" s="1"/>
  <c r="P69" i="9"/>
  <c r="AN82" i="5"/>
  <c r="P86" i="9"/>
  <c r="P85" i="9"/>
  <c r="O70" i="9"/>
  <c r="O75" i="9" s="1"/>
  <c r="O76" i="9" s="1"/>
  <c r="AM85" i="5"/>
  <c r="X28" i="4"/>
  <c r="X29" i="4" s="1"/>
  <c r="X21" i="4"/>
  <c r="Z15" i="4"/>
  <c r="Z20" i="4" s="1"/>
  <c r="Z28" i="4" s="1"/>
  <c r="Q69" i="9"/>
  <c r="AO82" i="5"/>
  <c r="Z9" i="4"/>
  <c r="M77" i="9"/>
  <c r="N87" i="9"/>
  <c r="N76" i="9" l="1"/>
  <c r="N77" i="9" s="1"/>
  <c r="AI57" i="2"/>
  <c r="AI44" i="2"/>
  <c r="AI24" i="2"/>
  <c r="O87" i="9"/>
  <c r="M80" i="9"/>
  <c r="M78" i="9"/>
  <c r="Z21" i="4"/>
  <c r="Y21" i="4"/>
  <c r="Y28" i="4"/>
  <c r="Y29" i="4" s="1"/>
  <c r="AN85" i="5"/>
  <c r="P70" i="9"/>
  <c r="P71" i="9" s="1"/>
  <c r="Q70" i="9"/>
  <c r="Q71" i="9" s="1"/>
  <c r="AO85" i="5"/>
  <c r="O71" i="9"/>
  <c r="Q86" i="9"/>
  <c r="Q85" i="9"/>
  <c r="R86" i="9"/>
  <c r="R85" i="9"/>
  <c r="P87" i="9"/>
  <c r="O77" i="9"/>
  <c r="R69" i="9"/>
  <c r="N80" i="9" l="1"/>
  <c r="N78" i="9"/>
  <c r="AI46" i="2"/>
  <c r="AI25" i="2"/>
  <c r="AI29" i="2" s="1"/>
  <c r="AI59" i="2"/>
  <c r="P75" i="9"/>
  <c r="P76" i="9" s="1"/>
  <c r="Z29" i="4"/>
  <c r="O80" i="9"/>
  <c r="O78" i="9"/>
  <c r="AA15" i="4"/>
  <c r="AA20" i="4" s="1"/>
  <c r="AA9" i="4"/>
  <c r="Q75" i="9"/>
  <c r="Q76" i="9" s="1"/>
  <c r="S69" i="9"/>
  <c r="AI31" i="2" l="1"/>
  <c r="AI33" i="2"/>
  <c r="AI47" i="2"/>
  <c r="AI60" i="2"/>
  <c r="Q87" i="9"/>
  <c r="P77" i="9"/>
  <c r="T85" i="9"/>
  <c r="S70" i="9"/>
  <c r="S71" i="9" s="1"/>
  <c r="T86" i="9"/>
  <c r="S86" i="9"/>
  <c r="S85" i="9"/>
  <c r="AA28" i="4"/>
  <c r="AA29" i="4" s="1"/>
  <c r="AA21" i="4"/>
  <c r="R70" i="9"/>
  <c r="R71" i="9" s="1"/>
  <c r="AB15" i="4"/>
  <c r="AB20" i="4" s="1"/>
  <c r="AB9" i="4"/>
  <c r="Q77" i="9"/>
  <c r="R87" i="9"/>
  <c r="T69" i="9"/>
  <c r="P80" i="9" l="1"/>
  <c r="P78" i="9"/>
  <c r="S75" i="9"/>
  <c r="T70" i="9"/>
  <c r="T75" i="9" s="1"/>
  <c r="T76" i="9" s="1"/>
  <c r="U86" i="9"/>
  <c r="U85" i="9"/>
  <c r="R75" i="9"/>
  <c r="R76" i="9" s="1"/>
  <c r="AB21" i="4"/>
  <c r="AB28" i="4"/>
  <c r="AB29" i="4" s="1"/>
  <c r="Q80" i="9"/>
  <c r="Q78" i="9"/>
  <c r="AC15" i="4"/>
  <c r="AC20" i="4" s="1"/>
  <c r="AC9" i="4"/>
  <c r="T87" i="9" l="1"/>
  <c r="S76" i="9"/>
  <c r="S77" i="9" s="1"/>
  <c r="S80" i="9" s="1"/>
  <c r="U69" i="9"/>
  <c r="I6" i="9" s="1"/>
  <c r="AE9" i="4"/>
  <c r="T71" i="9"/>
  <c r="R77" i="9"/>
  <c r="B90" i="9" s="1"/>
  <c r="S87" i="9"/>
  <c r="U87" i="9"/>
  <c r="T77" i="9"/>
  <c r="AD15" i="4"/>
  <c r="AD20" i="4" s="1"/>
  <c r="AE21" i="4" s="1"/>
  <c r="AD9" i="4"/>
  <c r="AC21" i="4"/>
  <c r="AC28" i="4"/>
  <c r="AC29" i="4" s="1"/>
  <c r="U70" i="9" l="1"/>
  <c r="U75" i="9" s="1"/>
  <c r="U76" i="9" s="1"/>
  <c r="V85" i="9"/>
  <c r="V86" i="9"/>
  <c r="I8" i="9"/>
  <c r="R80" i="9"/>
  <c r="S78" i="9"/>
  <c r="R78" i="9"/>
  <c r="T78" i="9"/>
  <c r="T80" i="9"/>
  <c r="AD28" i="4"/>
  <c r="AD21" i="4"/>
  <c r="U71" i="9" l="1"/>
  <c r="V87" i="9"/>
  <c r="U77" i="9"/>
  <c r="U80" i="9" s="1"/>
  <c r="B89" i="9" s="1"/>
  <c r="AD29" i="4"/>
  <c r="AE29" i="4"/>
  <c r="V78" i="9" l="1"/>
  <c r="U78" i="9"/>
  <c r="B91" i="9"/>
  <c r="B93" i="9" l="1"/>
  <c r="F6" i="9" s="1"/>
  <c r="C6" i="9"/>
  <c r="C8" i="9" s="1"/>
  <c r="C12" i="9" s="1"/>
  <c r="B94" i="9" l="1"/>
  <c r="G6" i="9" s="1"/>
  <c r="G8" i="9" s="1"/>
  <c r="G12" i="9" s="1"/>
  <c r="D6" i="9"/>
  <c r="F8" i="9"/>
  <c r="D8" i="9"/>
  <c r="D12" i="9" l="1"/>
  <c r="F12" i="9"/>
  <c r="S69" i="5" l="1"/>
  <c r="S38" i="5"/>
  <c r="S39" i="5" l="1"/>
  <c r="X39" i="5"/>
  <c r="S36" i="5"/>
  <c r="R19" i="5" l="1"/>
  <c r="Q16" i="5"/>
  <c r="T19" i="5" s="1"/>
  <c r="Q19" i="5" l="1"/>
  <c r="U19" i="5" s="1"/>
  <c r="T11" i="5"/>
  <c r="S8" i="5"/>
  <c r="S19" i="5"/>
  <c r="T23" i="5" l="1"/>
  <c r="T15" i="2"/>
  <c r="U23" i="5"/>
  <c r="T17" i="2" l="1"/>
  <c r="T24" i="2" s="1"/>
  <c r="T29" i="2" s="1"/>
  <c r="T31" i="2" s="1"/>
  <c r="Z56" i="2"/>
  <c r="U69" i="5"/>
  <c r="U95" i="5" s="1"/>
  <c r="Z23" i="5"/>
  <c r="U31" i="2" l="1"/>
  <c r="U90" i="5"/>
  <c r="U15" i="2"/>
  <c r="U17" i="2"/>
  <c r="U57" i="2" s="1"/>
  <c r="U56" i="2"/>
  <c r="Z57" i="2" l="1"/>
  <c r="U24" i="2"/>
  <c r="U25" i="2" s="1"/>
  <c r="U29" i="2" l="1"/>
  <c r="U60" i="2" s="1"/>
  <c r="U59" i="2"/>
  <c r="Z59" i="2"/>
  <c r="V29" i="2" l="1"/>
  <c r="D21" i="3"/>
  <c r="D36" i="3" s="1"/>
  <c r="D37" i="3" s="1"/>
  <c r="V31" i="2" l="1"/>
  <c r="W29" i="2"/>
  <c r="W31" i="2" s="1"/>
  <c r="X29" i="2"/>
  <c r="X31" i="2" s="1"/>
  <c r="Y29" i="2"/>
  <c r="Y31" i="2" s="1"/>
  <c r="G41" i="1"/>
  <c r="G43" i="1" s="1"/>
  <c r="E35" i="3"/>
  <c r="Z29" i="2" l="1"/>
  <c r="Z31" i="2"/>
  <c r="G13" i="1"/>
  <c r="G20" i="1" s="1"/>
  <c r="G46" i="1" s="1"/>
  <c r="N8" i="9"/>
  <c r="G50" i="1"/>
  <c r="E6" i="3" l="1"/>
  <c r="AA60" i="2"/>
  <c r="Z60" i="2"/>
  <c r="N10" i="9"/>
  <c r="C18" i="9" s="1"/>
  <c r="E21" i="3" l="1"/>
  <c r="E36" i="3" s="1"/>
  <c r="E37" i="3" s="1"/>
  <c r="H39" i="1"/>
  <c r="D18" i="9"/>
  <c r="C20" i="9"/>
  <c r="F18" i="9"/>
  <c r="F20" i="9" s="1"/>
  <c r="I39" i="1" l="1"/>
  <c r="H41" i="1"/>
  <c r="H43" i="1" s="1"/>
  <c r="H8" i="1"/>
  <c r="F35" i="3"/>
  <c r="F37" i="3" s="1"/>
  <c r="D20" i="9"/>
  <c r="G18" i="9"/>
  <c r="I8" i="1" l="1"/>
  <c r="I50" i="1" s="1"/>
  <c r="I52" i="1" s="1"/>
  <c r="G35" i="3"/>
  <c r="G37" i="3" s="1"/>
  <c r="H50" i="1"/>
  <c r="H52" i="1" s="1"/>
  <c r="H13" i="1"/>
  <c r="H20" i="1" s="1"/>
  <c r="H46" i="1" s="1"/>
  <c r="J39" i="1"/>
  <c r="I41" i="1"/>
  <c r="I43" i="1" s="1"/>
  <c r="G20" i="9"/>
  <c r="K39" i="1" l="1"/>
  <c r="J41" i="1"/>
  <c r="J43" i="1" s="1"/>
  <c r="H35" i="3"/>
  <c r="H37" i="3" s="1"/>
  <c r="J8" i="1"/>
  <c r="J50" i="1" s="1"/>
  <c r="J52" i="1" s="1"/>
  <c r="I13" i="1"/>
  <c r="I20" i="1" s="1"/>
  <c r="I46" i="1" s="1"/>
  <c r="H20" i="9"/>
  <c r="H8" i="9"/>
  <c r="H6" i="9"/>
  <c r="H15" i="9"/>
  <c r="H17" i="9"/>
  <c r="H10" i="9"/>
  <c r="H7" i="9"/>
  <c r="G23" i="9"/>
  <c r="H18" i="9"/>
  <c r="J13" i="1" l="1"/>
  <c r="J20" i="1" s="1"/>
  <c r="J46" i="1" s="1"/>
  <c r="I35" i="3"/>
  <c r="I37" i="3" s="1"/>
  <c r="L8" i="1" s="1"/>
  <c r="L13" i="1" s="1"/>
  <c r="L20" i="1" s="1"/>
  <c r="K8" i="1"/>
  <c r="K41" i="1"/>
  <c r="K43" i="1" s="1"/>
  <c r="L39" i="1"/>
  <c r="L41" i="1" s="1"/>
  <c r="L43" i="1" s="1"/>
  <c r="T69" i="5"/>
  <c r="T38" i="5"/>
  <c r="L50" i="1" l="1"/>
  <c r="L52" i="1" s="1"/>
  <c r="K13" i="1"/>
  <c r="K20" i="1" s="1"/>
  <c r="K46" i="1" s="1"/>
  <c r="L46" i="1"/>
  <c r="K50" i="1"/>
  <c r="K52" i="1" s="1"/>
  <c r="T39" i="5"/>
  <c r="T36" i="5"/>
  <c r="Y39" i="5"/>
  <c r="U9" i="5"/>
  <c r="T7" i="5"/>
  <c r="T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Larios, Alyssa</author>
  </authors>
  <commentList>
    <comment ref="A1" authorId="0" shapeId="0" xr:uid="{02D6E758-38A8-424B-A121-FEE14C2385AF}">
      <text>
        <r>
          <rPr>
            <b/>
            <sz val="9"/>
            <color indexed="81"/>
            <rFont val="Tahoma"/>
            <family val="2"/>
          </rPr>
          <t>&lt;?xml version="1.0" encoding="utf-8"?&gt;&lt;Schema xmlns:xsd="http://www.w3.org/2001/XMLSchema" xmlns:xsi="http://www.w3.org/2001/XMLSchema-instance" Version="2" Timestamp="1773944219"&gt;&lt;FQL&gt;&lt;Q&gt;MPLT^FF_ENTRPR_VAL(ANN_R,0)&lt;/Q&gt;&lt;R&gt;0&lt;/R&gt;&lt;C&gt;0&lt;/C&gt;&lt;/FQL&gt;&lt;FQL&gt;&lt;Q&gt;MPLT^FE_ESTIMATE(EPS,MEAN,ANN,2023,NOW,NOW,,'')&lt;/Q&gt;&lt;R&gt;0&lt;/R&gt;&lt;C&gt;0&lt;/C&gt;&lt;/FQL&gt;&lt;FQL&gt;&lt;Q&gt;MPLT^FG_PRICE(0)&lt;/Q&gt;&lt;R&gt;1&lt;/R&gt;&lt;C&gt;1&lt;/C&gt;&lt;D xsi:type="xsd:double"&gt;17.02&lt;/D&gt;&lt;/FQL&gt;&lt;FQL&gt;&lt;Q&gt;MPLT^P_DATE(0)&lt;/Q&gt;&lt;R&gt;1&lt;/R&gt;&lt;C&gt;1&lt;/C&gt;&lt;D xsi:type="xsd:string"&gt;03/18/2026&lt;/D&gt;&lt;/FQL&gt;&lt;FQL&gt;&lt;Q&gt;MPLT^FE_ESTIMATE(SALES,MEAN,ANN,2023,NOW,,,'')&lt;/Q&gt;&lt;R&gt;0&lt;/R&gt;&lt;C&gt;0&lt;/C&gt;&lt;/FQL&gt;&lt;FQL&gt;&lt;Q&gt;MPLT^FE_ESTIMATE(EPS,MEAN,ANN,2018,NOW,NOW,,'')&lt;/Q&gt;&lt;R&gt;0&lt;/R&gt;&lt;C&gt;0&lt;/C&gt;&lt;/FQL&gt;&lt;FQL&gt;&lt;Q&gt;MPLT^FREF_MARKET_VALUE_COMPANY(0,,,,,0)&lt;/Q&gt;&lt;R&gt;1&lt;/R&gt;&lt;C&gt;1&lt;/C&gt;&lt;D xsi:type="xsd:double"&gt;772.249018878036&lt;/D&gt;&lt;/FQL&gt;&lt;FQL&gt;&lt;Q&gt;AMLX-US^FE_ESTIMATE(EPS,MEAN,ANN,2028,NOW,,,'')&lt;/Q&gt;&lt;R&gt;1&lt;/R&gt;&lt;C&gt;1&lt;/C&gt;&lt;D xsi:type="xsd:double"&gt;-0.57097614&lt;/D&gt;&lt;/FQL&gt;&lt;FQL&gt;&lt;Q&gt;AMLX-US^FE_ESTIMATE(EPS,MEAN,ANN,2025,NOW,,,'')&lt;/Q&gt;&lt;R&gt;1&lt;/R&gt;&lt;C&gt;1&lt;/C&gt;&lt;D xsi:type="xsd:double"&gt;-1.53&lt;/D&gt;&lt;/FQL&gt;&lt;FQL&gt;&lt;Q&gt;AMLX-US^FE_ESTIMATE(EPS,MEAN,ANN,2027,NOW,,,'')&lt;/Q&gt;&lt;R&gt;1&lt;/R&gt;&lt;C&gt;1&lt;/C&gt;&lt;D xsi:type="xsd:double"&gt;-1.2431465&lt;/D&gt;&lt;/FQL&gt;&lt;FQL&gt;&lt;Q&gt;AMLX-US^FE_ESTIMATE(EPS,MEAN,ANN,2024,NOW,,,'')&lt;/Q&gt;&lt;R&gt;1&lt;/R&gt;&lt;C&gt;1&lt;/C&gt;&lt;D xsi:type="xsd:double"&gt;-4.43&lt;/D&gt;&lt;/FQL&gt;&lt;FQL&gt;&lt;Q&gt;AMLX-US^FE_ESTIMATE(EPS,MEAN,ANN,2026,NOW,,,'')&lt;/Q&gt;&lt;R&gt;1&lt;/R&gt;&lt;C&gt;1&lt;/C&gt;&lt;D xsi:type="xsd:double"&gt;-1.3459998&lt;/D&gt;&lt;/FQL&gt;&lt;FQL&gt;&lt;Q&gt;AMLX-US^FE_ESTIMATE(SALES,MEAN,ANN,2028,NOW,,,'')&lt;/Q&gt;&lt;R&gt;1&lt;/R&gt;&lt;C&gt;1&lt;/C&gt;&lt;D xsi:type="xsd:double"&gt;153.24487&lt;/D&gt;&lt;/FQL&gt;&lt;FQL&gt;&lt;Q&gt;MPLT^FG_PRICE(NOW)&lt;/Q&gt;&lt;R&gt;1&lt;/R&gt;&lt;C&gt;1&lt;/C&gt;&lt;D xsi:type="xsd:double"&gt;17.27&lt;/D&gt;&lt;/FQL&gt;&lt;FQL&gt;&lt;Q&gt;MPLT-US^FE_ESTIMATE(EPS,MEAN,ANN,2026,NOW,,,'')&lt;/Q&gt;&lt;R&gt;1&lt;/R&gt;&lt;C&gt;1&lt;/C&gt;&lt;D xsi:type="xsd:double"&gt;-3.666&lt;/D&gt;&lt;/FQL&gt;&lt;FQL&gt;&lt;Q&gt;AMLX-US^FE_ESTIMATE(SALES,MEAN,ANN,2024,NOW,,,'')&lt;/Q&gt;&lt;R&gt;1&lt;/R&gt;&lt;C&gt;1&lt;/C&gt;&lt;D xsi:type="xsd:double"&gt;87.371&lt;/D&gt;&lt;/FQL&gt;&lt;FQL&gt;&lt;Q&gt;MPLT-US^FE_ESTIMATE(EPS,MEAN,ANN,2028,NOW,,,'')&lt;/Q&gt;&lt;R&gt;1&lt;/R&gt;&lt;C&gt;1&lt;/C&gt;&lt;D xsi:type="xsd:double"&gt;-4.515&lt;/D&gt;&lt;/FQL&gt;&lt;FQL&gt;&lt;Q&gt;MPLT-US^FE_ESTIMATE(EPS,MEAN,ANN,2027,NOW,,,'')&lt;/Q&gt;&lt;R&gt;1&lt;/R&gt;&lt;C&gt;1&lt;/C&gt;&lt;D xsi:type="xsd:double"&gt;-4.0433335&lt;/D&gt;&lt;/FQL&gt;&lt;FQL&gt;&lt;Q&gt;AMLX-US^FE_ESTIMATE(SALES,MEAN,ANN,2025,NOW,,,'')&lt;/Q&gt;&lt;R&gt;1&lt;/R&gt;&lt;C&gt;1&lt;/C&gt;&lt;D xsi:type="xsd:double"&gt;0&lt;/D&gt;&lt;/FQL&gt;&lt;FQL&gt;&lt;Q&gt;MPLT-US^FE_ESTIMATE(EPS,MEAN,ANN,2025,NOW,,,'')&lt;/Q&gt;&lt;R&gt;1&lt;/R&gt;&lt;C&gt;1&lt;/C&gt;&lt;D xsi:type="xsd:double"&gt;-7.078&lt;/D&gt;&lt;/FQL&gt;&lt;FQL&gt;&lt;Q&gt;MPLT^FE_ESTIMATE(EPS,MEAN,QTR,2025/4F,NOW,,,'')&lt;/Q&gt;&lt;R&gt;1&lt;/R&gt;&lt;C&gt;1&lt;/C&gt;&lt;D xsi:type="xsd:double"&gt;-1.0633334&lt;/D&gt;&lt;/FQL&gt;&lt;FQL&gt;&lt;Q&gt;ALDX-US^P_DATE(NOW)&lt;/Q&gt;&lt;R&gt;1&lt;/R&gt;&lt;C&gt;1&lt;/C&gt;&lt;D xsi:type="xsd:string"&gt;03/19/2026&lt;/D&gt;&lt;/FQL&gt;&lt;FQL&gt;&lt;Q&gt;AMLX-US^FE_ESTIMATE(SALES,MEAN,ANN,2027,NOW,,,'')&lt;/Q&gt;&lt;R&gt;1&lt;/R&gt;&lt;C&gt;1&lt;/C&gt;&lt;D xsi:type="xsd:double"&gt;44.68518&lt;/D&gt;&lt;/FQL&gt;&lt;FQL&gt;&lt;Q&gt;AMLX-US^FE_ESTIMATE(SALES,MEAN,ANN,2026,NOW,,,'')&lt;/Q&gt;&lt;R&gt;1&lt;/R&gt;&lt;C&gt;1&lt;/C&gt;&lt;D xsi:type="xsd:double"&gt;0&lt;/D&gt;&lt;/FQL&gt;&lt;/Schema&gt;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Yennawar, Madhu</author>
    <author>Radwan, Basma</author>
  </authors>
  <commentList>
    <comment ref="F15" authorId="0" shapeId="0" xr:uid="{186FDC99-2ED5-4B02-A8D7-85F7B4870C3E}">
      <text>
        <r>
          <rPr>
            <b/>
            <sz val="9"/>
            <color indexed="81"/>
            <rFont val="Tahoma"/>
            <family val="2"/>
          </rPr>
          <t>Yennawar, Madhu:</t>
        </r>
        <r>
          <rPr>
            <sz val="9"/>
            <color indexed="81"/>
            <rFont val="Tahoma"/>
            <family val="2"/>
          </rPr>
          <t xml:space="preserve">
Estimated annual expense $200M</t>
        </r>
      </text>
    </comment>
    <comment ref="P29" authorId="1" shapeId="0" xr:uid="{CF5926C3-A748-4957-9298-1E2502D08E02}">
      <text>
        <r>
          <rPr>
            <b/>
            <sz val="9"/>
            <color indexed="81"/>
            <rFont val="Tahoma"/>
            <family val="2"/>
          </rPr>
          <t>Radwan, Basma:</t>
        </r>
        <r>
          <rPr>
            <sz val="9"/>
            <color indexed="81"/>
            <rFont val="Tahoma"/>
            <family val="2"/>
          </rPr>
          <t xml:space="preserve">
$ (77,417 )</t>
        </r>
      </text>
    </comment>
    <comment ref="P30" authorId="1" shapeId="0" xr:uid="{63CE5A22-F617-42EB-92B4-9607CAF3A099}">
      <text>
        <r>
          <rPr>
            <b/>
            <sz val="9"/>
            <color indexed="81"/>
            <rFont val="Tahoma"/>
            <family val="2"/>
          </rPr>
          <t>Radwan, Basma:</t>
        </r>
        <r>
          <rPr>
            <sz val="9"/>
            <color indexed="81"/>
            <rFont val="Tahoma"/>
            <family val="2"/>
          </rPr>
          <t xml:space="preserve">
26,149,152</t>
        </r>
      </text>
    </comment>
    <comment ref="R30" authorId="1" shapeId="0" xr:uid="{301D7AE6-17F5-443A-A278-016C313E51E5}">
      <text>
        <r>
          <rPr>
            <b/>
            <sz val="9"/>
            <color indexed="81"/>
            <rFont val="Tahoma"/>
            <family val="2"/>
          </rPr>
          <t>Radwan, Basma:</t>
        </r>
        <r>
          <rPr>
            <sz val="9"/>
            <color indexed="81"/>
            <rFont val="Tahoma"/>
            <family val="2"/>
          </rPr>
          <t xml:space="preserve">
26.202215 as of June 30, 2025
</t>
        </r>
      </text>
    </comment>
    <comment ref="T30" authorId="1" shapeId="0" xr:uid="{FB9302DF-01F7-4F09-96B3-D2B87ACAA03A}">
      <text>
        <r>
          <rPr>
            <b/>
            <sz val="9"/>
            <color indexed="81"/>
            <rFont val="Tahoma"/>
            <family val="2"/>
          </rPr>
          <t>Radwan, Basma:</t>
        </r>
        <r>
          <rPr>
            <sz val="9"/>
            <color indexed="81"/>
            <rFont val="Tahoma"/>
            <family val="2"/>
          </rPr>
          <t xml:space="preserve">
41,428,922 shares (or 43,641,422 shares if the underwriters exercise in full their option to purchase additional shares), of which 2,727,511 shares are non-voting common stock</t>
        </r>
      </text>
    </comment>
    <comment ref="P31" authorId="1" shapeId="0" xr:uid="{C67B4914-D353-4080-A197-D00D4ADD2A9F}">
      <text>
        <r>
          <rPr>
            <b/>
            <sz val="9"/>
            <color indexed="81"/>
            <rFont val="Tahoma"/>
            <family val="2"/>
          </rPr>
          <t>Radwan, Basma:</t>
        </r>
        <r>
          <rPr>
            <sz val="9"/>
            <color indexed="81"/>
            <rFont val="Tahoma"/>
            <family val="2"/>
          </rPr>
          <t xml:space="preserve">
-2.97</t>
        </r>
      </text>
    </comment>
    <comment ref="R31" authorId="1" shapeId="0" xr:uid="{0548FC92-7CBA-48B4-BF52-C0133905D156}">
      <text>
        <r>
          <rPr>
            <b/>
            <sz val="9"/>
            <color indexed="81"/>
            <rFont val="Tahoma"/>
            <family val="2"/>
          </rPr>
          <t>Radwan, Basma:</t>
        </r>
        <r>
          <rPr>
            <sz val="9"/>
            <color indexed="81"/>
            <rFont val="Tahoma"/>
            <family val="2"/>
          </rPr>
          <t xml:space="preserve">
1H25:-1.99</t>
        </r>
      </text>
    </comment>
    <comment ref="T31" authorId="1" shapeId="0" xr:uid="{7614FCC0-408B-4B2A-9FD9-D0DCBAF024EB}">
      <text>
        <r>
          <rPr>
            <b/>
            <sz val="9"/>
            <color indexed="81"/>
            <rFont val="Tahoma"/>
            <family val="2"/>
          </rPr>
          <t>Radwan, Basma:</t>
        </r>
        <r>
          <rPr>
            <sz val="9"/>
            <color indexed="81"/>
            <rFont val="Tahoma"/>
            <family val="2"/>
          </rPr>
          <t xml:space="preserve">
-2.47</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AD3" authorId="0" shapeId="0" xr:uid="{DEB54633-5BEC-4D20-87DC-5E4BB44EF728}">
      <text>
        <r>
          <rPr>
            <b/>
            <sz val="9"/>
            <color indexed="81"/>
            <rFont val="Tahoma"/>
            <family val="2"/>
          </rPr>
          <t>Radwan, Basma:</t>
        </r>
        <r>
          <rPr>
            <sz val="9"/>
            <color indexed="81"/>
            <rFont val="Tahoma"/>
            <family val="2"/>
          </rPr>
          <t xml:space="preserve">
LOE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P7" authorId="0" shapeId="0" xr:uid="{5B69887F-F9FE-4FEB-B23F-FE8BEFE02A67}">
      <text>
        <r>
          <rPr>
            <b/>
            <sz val="9"/>
            <color indexed="81"/>
            <rFont val="Tahoma"/>
            <family val="2"/>
          </rPr>
          <t>Radwan, Basma:</t>
        </r>
        <r>
          <rPr>
            <sz val="9"/>
            <color indexed="81"/>
            <rFont val="Tahoma"/>
            <family val="2"/>
          </rPr>
          <t xml:space="preserve">
Phase 2/3 initiation</t>
        </r>
      </text>
    </comment>
    <comment ref="U7" authorId="0" shapeId="0" xr:uid="{F8751806-EB15-47B6-B5CD-086C5551A53D}">
      <text>
        <r>
          <rPr>
            <b/>
            <sz val="9"/>
            <color indexed="81"/>
            <rFont val="Tahoma"/>
            <family val="2"/>
          </rPr>
          <t>Radwan, Basma:</t>
        </r>
        <r>
          <rPr>
            <sz val="9"/>
            <color indexed="81"/>
            <rFont val="Tahoma"/>
            <family val="2"/>
          </rPr>
          <t xml:space="preserve">
Phase 2 </t>
        </r>
      </text>
    </comment>
    <comment ref="AA7" authorId="0" shapeId="0" xr:uid="{1E5E8216-1619-48C8-A0E5-34095A20F187}">
      <text>
        <r>
          <rPr>
            <b/>
            <sz val="9"/>
            <color indexed="81"/>
            <rFont val="Tahoma"/>
            <family val="2"/>
          </rPr>
          <t>Radwan, Basma:</t>
        </r>
        <r>
          <rPr>
            <sz val="9"/>
            <color indexed="81"/>
            <rFont val="Tahoma"/>
            <family val="2"/>
          </rPr>
          <t xml:space="preserve">
Phase 3 + Phase 2 OLE</t>
        </r>
      </text>
    </comment>
    <comment ref="AC7" authorId="0" shapeId="0" xr:uid="{868BF9E5-F41A-4F75-91E9-3D43C767C3BE}">
      <text>
        <r>
          <rPr>
            <b/>
            <sz val="9"/>
            <color indexed="81"/>
            <rFont val="Tahoma"/>
            <family val="2"/>
          </rPr>
          <t>Radwan, Basma:</t>
        </r>
        <r>
          <rPr>
            <sz val="9"/>
            <color indexed="81"/>
            <rFont val="Tahoma"/>
            <family val="2"/>
          </rPr>
          <t xml:space="preserve">
+CMC</t>
        </r>
      </text>
    </comment>
    <comment ref="AD7" authorId="0" shapeId="0" xr:uid="{1CE45797-AA49-4B8F-9947-4DE2CCEC75F8}">
      <text>
        <r>
          <rPr>
            <b/>
            <sz val="9"/>
            <color indexed="81"/>
            <rFont val="Tahoma"/>
            <family val="2"/>
          </rPr>
          <t>Radwan, Basma:</t>
        </r>
        <r>
          <rPr>
            <sz val="9"/>
            <color indexed="81"/>
            <rFont val="Tahoma"/>
            <family val="2"/>
          </rPr>
          <t xml:space="preserve">
Submission + CMC</t>
        </r>
      </text>
    </comment>
    <comment ref="U8" authorId="0" shapeId="0" xr:uid="{B2F99AB8-4854-4868-AF18-784618777128}">
      <text>
        <r>
          <rPr>
            <b/>
            <sz val="9"/>
            <color indexed="81"/>
            <rFont val="Tahoma"/>
            <family val="2"/>
          </rPr>
          <t>Radwan, Basma:</t>
        </r>
        <r>
          <rPr>
            <sz val="9"/>
            <color indexed="81"/>
            <rFont val="Tahoma"/>
            <family val="2"/>
          </rPr>
          <t xml:space="preserve">
Phase 2</t>
        </r>
      </text>
    </comment>
    <comment ref="AD8" authorId="0" shapeId="0" xr:uid="{4808D393-0131-4625-927C-3775E3E609A6}">
      <text>
        <r>
          <rPr>
            <b/>
            <sz val="9"/>
            <color indexed="81"/>
            <rFont val="Tahoma"/>
            <family val="2"/>
          </rPr>
          <t>Radwan, Basma:</t>
        </r>
        <r>
          <rPr>
            <sz val="9"/>
            <color indexed="81"/>
            <rFont val="Tahoma"/>
            <family val="2"/>
          </rPr>
          <t xml:space="preserve">
Submission + OLE</t>
        </r>
      </text>
    </comment>
    <comment ref="R9" authorId="0" shapeId="0" xr:uid="{38A3C3F1-F6A4-49E2-A54A-D5EC65A4EE8D}">
      <text>
        <r>
          <rPr>
            <b/>
            <sz val="9"/>
            <color indexed="81"/>
            <rFont val="Tahoma"/>
            <family val="2"/>
          </rPr>
          <t>Radwan, Basma:</t>
        </r>
        <r>
          <rPr>
            <sz val="9"/>
            <color indexed="81"/>
            <rFont val="Tahoma"/>
            <family val="2"/>
          </rPr>
          <t xml:space="preserve">
7.926</t>
        </r>
      </text>
    </comment>
    <comment ref="U11" authorId="0" shapeId="0" xr:uid="{919026E7-0E98-40D9-A610-6D3A307D42F6}">
      <text>
        <r>
          <rPr>
            <b/>
            <sz val="9"/>
            <color indexed="81"/>
            <rFont val="Tahoma"/>
            <family val="2"/>
          </rPr>
          <t>Radwan, Basma:</t>
        </r>
        <r>
          <rPr>
            <sz val="9"/>
            <color indexed="81"/>
            <rFont val="Tahoma"/>
            <family val="2"/>
          </rPr>
          <t xml:space="preserve">
Phase 2
</t>
        </r>
      </text>
    </comment>
    <comment ref="AC11" authorId="0" shapeId="0" xr:uid="{8BC88336-1D17-45C9-9DCB-561D132DD2AE}">
      <text>
        <r>
          <rPr>
            <b/>
            <sz val="9"/>
            <color indexed="81"/>
            <rFont val="Tahoma"/>
            <family val="2"/>
          </rPr>
          <t>Radwan, Basma:</t>
        </r>
        <r>
          <rPr>
            <sz val="9"/>
            <color indexed="81"/>
            <rFont val="Tahoma"/>
            <family val="2"/>
          </rPr>
          <t xml:space="preserve">
CMC</t>
        </r>
      </text>
    </comment>
    <comment ref="U13" authorId="0" shapeId="0" xr:uid="{14D105F8-3DFB-4B1A-91DF-96CDB2545559}">
      <text>
        <r>
          <rPr>
            <b/>
            <sz val="9"/>
            <color indexed="81"/>
            <rFont val="Tahoma"/>
            <family val="2"/>
          </rPr>
          <t>Radwan, Basma:</t>
        </r>
        <r>
          <rPr>
            <sz val="9"/>
            <color indexed="81"/>
            <rFont val="Tahoma"/>
            <family val="2"/>
          </rPr>
          <t xml:space="preserve">
18,266</t>
        </r>
      </text>
    </comment>
    <comment ref="U14" authorId="0" shapeId="0" xr:uid="{69D8806F-4D54-4962-BA89-F2C5B0AF3914}">
      <text>
        <r>
          <rPr>
            <b/>
            <sz val="9"/>
            <color indexed="81"/>
            <rFont val="Tahoma"/>
            <family val="2"/>
          </rPr>
          <t>Radwan, Basma:</t>
        </r>
        <r>
          <rPr>
            <sz val="9"/>
            <color indexed="81"/>
            <rFont val="Tahoma"/>
            <family val="2"/>
          </rPr>
          <t xml:space="preserve">
10,421</t>
        </r>
      </text>
    </comment>
    <comment ref="U16" authorId="0" shapeId="0" xr:uid="{5BC1A191-200F-418D-A47F-D66599896C48}">
      <text>
        <r>
          <rPr>
            <b/>
            <sz val="9"/>
            <color indexed="81"/>
            <rFont val="Tahoma"/>
            <family val="2"/>
          </rPr>
          <t>Radwan, Basma:</t>
        </r>
        <r>
          <rPr>
            <sz val="9"/>
            <color indexed="81"/>
            <rFont val="Tahoma"/>
            <family val="2"/>
          </rPr>
          <t xml:space="preserve">
18,266</t>
        </r>
      </text>
    </comment>
    <comment ref="U18" authorId="0" shapeId="0" xr:uid="{F64893D8-DF61-4176-B16C-6F7FF76D483D}">
      <text>
        <r>
          <rPr>
            <b/>
            <sz val="9"/>
            <color indexed="81"/>
            <rFont val="Tahoma"/>
            <family val="2"/>
          </rPr>
          <t>Radwan, Basma:</t>
        </r>
        <r>
          <rPr>
            <sz val="9"/>
            <color indexed="81"/>
            <rFont val="Tahoma"/>
            <family val="2"/>
          </rPr>
          <t xml:space="preserve">
51,062 </t>
        </r>
      </text>
    </comment>
    <comment ref="U20" authorId="0" shapeId="0" xr:uid="{17BAB3B3-32BB-4070-8B52-9C0EF3CC3F43}">
      <text>
        <r>
          <rPr>
            <b/>
            <sz val="9"/>
            <color indexed="81"/>
            <rFont val="Tahoma"/>
            <family val="2"/>
          </rPr>
          <t>Radwan, Basma:</t>
        </r>
        <r>
          <rPr>
            <sz val="9"/>
            <color indexed="81"/>
            <rFont val="Tahoma"/>
            <family val="2"/>
          </rPr>
          <t xml:space="preserve">
22,196
</t>
        </r>
      </text>
    </comment>
    <comment ref="AD26" authorId="0" shapeId="0" xr:uid="{072BF449-D44B-4CDC-985B-2CB5A1B8F944}">
      <text>
        <r>
          <rPr>
            <b/>
            <sz val="9"/>
            <color indexed="81"/>
            <rFont val="Tahoma"/>
            <family val="2"/>
          </rPr>
          <t>Radwan, Basma:</t>
        </r>
        <r>
          <rPr>
            <sz val="9"/>
            <color indexed="81"/>
            <rFont val="Tahoma"/>
            <family val="2"/>
          </rPr>
          <t xml:space="preserve">
Mid 2030 launch</t>
        </r>
      </text>
    </comment>
    <comment ref="U34" authorId="0" shapeId="0" xr:uid="{A0EC4417-4782-4C20-845F-03155C5413FB}">
      <text>
        <r>
          <rPr>
            <b/>
            <sz val="9"/>
            <color indexed="81"/>
            <rFont val="Tahoma"/>
            <family val="2"/>
          </rPr>
          <t>Radwan, Basma:</t>
        </r>
        <r>
          <rPr>
            <sz val="9"/>
            <color indexed="81"/>
            <rFont val="Tahoma"/>
            <family val="2"/>
          </rPr>
          <t xml:space="preserve">
13,810</t>
        </r>
      </text>
    </comment>
    <comment ref="AC78" authorId="0" shapeId="0" xr:uid="{6DA96457-DCDE-44CB-9AFE-BFFA1187B55C}">
      <text>
        <r>
          <rPr>
            <b/>
            <sz val="9"/>
            <color indexed="81"/>
            <rFont val="Tahoma"/>
            <family val="2"/>
          </rPr>
          <t>Radwan, Basma:</t>
        </r>
        <r>
          <rPr>
            <sz val="9"/>
            <color indexed="81"/>
            <rFont val="Tahoma"/>
            <family val="2"/>
          </rPr>
          <t xml:space="preserve">
assumed royatlies to Stanford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B19" authorId="0" shapeId="0" xr:uid="{66C421D2-8BD5-46B3-9F69-887B3C2696F5}">
      <text>
        <r>
          <rPr>
            <b/>
            <sz val="9"/>
            <color indexed="81"/>
            <rFont val="Tahoma"/>
            <family val="2"/>
          </rPr>
          <t>Radwan, Basma:</t>
        </r>
        <r>
          <rPr>
            <sz val="9"/>
            <color indexed="81"/>
            <rFont val="Tahoma"/>
            <family val="2"/>
          </rPr>
          <t xml:space="preserve">
600,000 patients in the US
</t>
        </r>
      </text>
    </comment>
    <comment ref="A21" authorId="0" shapeId="0" xr:uid="{4A90C9E2-ECC7-46AE-ADB0-0337475F98B6}">
      <text>
        <r>
          <rPr>
            <b/>
            <sz val="9"/>
            <color indexed="81"/>
            <rFont val="Tahoma"/>
            <family val="2"/>
          </rPr>
          <t>Radwan, Basma:</t>
        </r>
        <r>
          <rPr>
            <sz val="9"/>
            <color indexed="81"/>
            <rFont val="Tahoma"/>
            <family val="2"/>
          </rPr>
          <t xml:space="preserve">
60-70% of cases are mild</t>
        </r>
      </text>
    </comment>
    <comment ref="J77" authorId="0" shapeId="0" xr:uid="{F608FC60-B168-48C4-A151-189446F17CB1}">
      <text>
        <r>
          <rPr>
            <b/>
            <sz val="9"/>
            <color indexed="81"/>
            <rFont val="Tahoma"/>
            <family val="2"/>
          </rPr>
          <t>Radwan, Basma:</t>
        </r>
        <r>
          <rPr>
            <sz val="9"/>
            <color indexed="81"/>
            <rFont val="Tahoma"/>
            <family val="2"/>
          </rPr>
          <t xml:space="preserve">
Potential launch</t>
        </r>
      </text>
    </comment>
    <comment ref="W77" authorId="0" shapeId="0" xr:uid="{9D4AC5C7-7759-4519-B653-C39273D011F8}">
      <text>
        <r>
          <rPr>
            <b/>
            <sz val="9"/>
            <color indexed="81"/>
            <rFont val="Tahoma"/>
            <family val="2"/>
          </rPr>
          <t>Radwan, Basma:</t>
        </r>
        <r>
          <rPr>
            <sz val="9"/>
            <color indexed="81"/>
            <rFont val="Tahoma"/>
            <family val="2"/>
          </rPr>
          <t xml:space="preserve">
LOE</t>
        </r>
      </text>
    </comment>
    <comment ref="A84" authorId="0" shapeId="0" xr:uid="{A3F75AC3-43D1-4274-837F-1F32C99C9505}">
      <text>
        <r>
          <rPr>
            <b/>
            <sz val="9"/>
            <color indexed="81"/>
            <rFont val="Tahoma"/>
            <family val="2"/>
          </rPr>
          <t>Radwan, Basma:</t>
        </r>
        <r>
          <rPr>
            <sz val="9"/>
            <color indexed="81"/>
            <rFont val="Tahoma"/>
            <family val="2"/>
          </rPr>
          <t xml:space="preserve">
severe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D30" authorId="0" shapeId="0" xr:uid="{C8614171-021B-449D-8A56-ED262799BFE5}">
      <text>
        <r>
          <rPr>
            <b/>
            <sz val="9"/>
            <color indexed="81"/>
            <rFont val="Tahoma"/>
            <family val="2"/>
          </rPr>
          <t>Radwan, Basma:</t>
        </r>
        <r>
          <rPr>
            <sz val="9"/>
            <color indexed="81"/>
            <rFont val="Tahoma"/>
            <family val="2"/>
          </rPr>
          <t xml:space="preserve">
on a pro forma basis to give effect to: (1) our issuance and sale of an aggregate of 210,033,285 shares of Series D Preferred Stock in July 2025 and September 2025 at a purchase price of $0.95223 per share for aggregate gross proceeds of $200.0 million, less issuance costs</t>
        </r>
      </text>
    </comment>
    <comment ref="D31" authorId="0" shapeId="0" xr:uid="{2A64EDE5-515C-4D8D-91C4-182E235749C1}">
      <text>
        <r>
          <rPr>
            <b/>
            <sz val="9"/>
            <color indexed="81"/>
            <rFont val="Tahoma"/>
            <family val="2"/>
          </rPr>
          <t>Radwan, Basma:</t>
        </r>
        <r>
          <rPr>
            <sz val="9"/>
            <color indexed="81"/>
            <rFont val="Tahoma"/>
            <family val="2"/>
          </rPr>
          <t xml:space="preserve">
We estimate that the net proceeds from this offering will be approximately $227.3 million (or approximately $262.3 million if the underwriters exercise in full their option to purchase up to 2,212,500 additional shares of common stock)</t>
        </r>
      </text>
    </comment>
    <comment ref="F41" authorId="0" shapeId="0" xr:uid="{2DB257BA-D1AB-4D6E-B84E-BD1E60139130}">
      <text>
        <r>
          <rPr>
            <b/>
            <sz val="9"/>
            <color indexed="81"/>
            <rFont val="Tahoma"/>
            <family val="2"/>
          </rPr>
          <t>Radwan, Basma:</t>
        </r>
        <r>
          <rPr>
            <sz val="9"/>
            <color indexed="81"/>
            <rFont val="Tahoma"/>
            <family val="2"/>
          </rPr>
          <t xml:space="preserve">
Raise following readouts</t>
        </r>
      </text>
    </comment>
    <comment ref="D50" authorId="0" shapeId="0" xr:uid="{B8615732-733D-48D1-9227-FB2B2C9E4374}">
      <text>
        <r>
          <rPr>
            <b/>
            <sz val="9"/>
            <color indexed="81"/>
            <rFont val="Tahoma"/>
            <family val="2"/>
          </rPr>
          <t>Radwan, Basma:</t>
        </r>
        <r>
          <rPr>
            <sz val="9"/>
            <color indexed="81"/>
            <rFont val="Tahoma"/>
            <family val="2"/>
          </rPr>
          <t xml:space="preserve">
14,750,000 shares</t>
        </r>
      </text>
    </comment>
    <comment ref="D54" authorId="0" shapeId="0" xr:uid="{E23E57E5-96FF-4BEC-99E8-FC0D88DA1D8E}">
      <text>
        <r>
          <rPr>
            <b/>
            <sz val="9"/>
            <color indexed="81"/>
            <rFont val="Tahoma"/>
            <family val="2"/>
          </rPr>
          <t>Radwan, Basma:</t>
        </r>
        <r>
          <rPr>
            <sz val="9"/>
            <color indexed="81"/>
            <rFont val="Tahoma"/>
            <family val="2"/>
          </rPr>
          <t xml:space="preserve">
shoe</t>
        </r>
      </text>
    </comment>
    <comment ref="D59" authorId="0" shapeId="0" xr:uid="{9E5A83A0-B0B7-443C-A81D-7A72A96BABED}">
      <text>
        <r>
          <rPr>
            <b/>
            <sz val="9"/>
            <color indexed="81"/>
            <rFont val="Tahoma"/>
            <family val="2"/>
          </rPr>
          <t>Radwan, Basma:</t>
        </r>
        <r>
          <rPr>
            <sz val="9"/>
            <color indexed="81"/>
            <rFont val="Tahoma"/>
            <family val="2"/>
          </rPr>
          <t xml:space="preserve">
Concurrent private placement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Radwan, Basma</author>
  </authors>
  <commentList>
    <comment ref="U68" authorId="0" shapeId="0" xr:uid="{51ECC5B8-C44B-421D-897A-BBC37137CBB9}">
      <text>
        <r>
          <rPr>
            <b/>
            <sz val="9"/>
            <color indexed="81"/>
            <rFont val="Tahoma"/>
            <family val="2"/>
          </rPr>
          <t>Radwan, Basma:</t>
        </r>
        <r>
          <rPr>
            <sz val="9"/>
            <color indexed="81"/>
            <rFont val="Tahoma"/>
            <family val="2"/>
          </rPr>
          <t xml:space="preserve">
LOE in 2045</t>
        </r>
      </text>
    </comment>
    <comment ref="U99" authorId="0" shapeId="0" xr:uid="{1D3CA212-529C-49A9-BE14-D9B02C0E4BA7}">
      <text>
        <r>
          <rPr>
            <b/>
            <sz val="9"/>
            <color indexed="81"/>
            <rFont val="Tahoma"/>
            <family val="2"/>
          </rPr>
          <t>Radwan, Basma:</t>
        </r>
        <r>
          <rPr>
            <sz val="9"/>
            <color indexed="81"/>
            <rFont val="Tahoma"/>
            <family val="2"/>
          </rPr>
          <t xml:space="preserve">
LOE in 2045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<sst xmlns="http://schemas.openxmlformats.org/spreadsheetml/2006/main" count="973" uniqueCount="435">
  <si>
    <t>2024E</t>
  </si>
  <si>
    <t>2025E</t>
  </si>
  <si>
    <t>2026E</t>
  </si>
  <si>
    <t>2027E</t>
  </si>
  <si>
    <t>2028E</t>
  </si>
  <si>
    <t>2029E</t>
  </si>
  <si>
    <t>2030E</t>
  </si>
  <si>
    <t>Assets</t>
  </si>
  <si>
    <t>Current Assets</t>
  </si>
  <si>
    <t>Cash and Cash Equivalents</t>
  </si>
  <si>
    <t>Accounts Receivable</t>
  </si>
  <si>
    <t>Other</t>
  </si>
  <si>
    <t>Total Current Assets</t>
  </si>
  <si>
    <t>Property and Equipment</t>
  </si>
  <si>
    <t>Total Assets</t>
  </si>
  <si>
    <t>Liabilities and Stockholder's Equity</t>
  </si>
  <si>
    <t>Current Liabilities</t>
  </si>
  <si>
    <t>Total Current Liabilities</t>
  </si>
  <si>
    <t>Other Liabilities</t>
  </si>
  <si>
    <t>Total Liabilities</t>
  </si>
  <si>
    <t>Stockholder's Equity</t>
  </si>
  <si>
    <t>Additional Paid-in Capital</t>
  </si>
  <si>
    <t>Accumulated Deficit</t>
  </si>
  <si>
    <t>Total Stockholder's Equity</t>
  </si>
  <si>
    <t>Total Liabilities and Stockholder's Equity</t>
  </si>
  <si>
    <t>check</t>
  </si>
  <si>
    <t>Revenues</t>
  </si>
  <si>
    <t>COGS</t>
  </si>
  <si>
    <t>Gross Profit</t>
  </si>
  <si>
    <t>SG&amp;A</t>
  </si>
  <si>
    <t>R&amp;D</t>
  </si>
  <si>
    <t>Operating Income</t>
  </si>
  <si>
    <t>Interest Income</t>
  </si>
  <si>
    <t>Interest Expense</t>
  </si>
  <si>
    <t>Other Income/Expense</t>
  </si>
  <si>
    <t>Non-Operating Income</t>
  </si>
  <si>
    <t>Pretax Income</t>
  </si>
  <si>
    <t>Taxes</t>
  </si>
  <si>
    <t>Tax Rate</t>
  </si>
  <si>
    <t>Net Income</t>
  </si>
  <si>
    <t>Shares - Diluted</t>
  </si>
  <si>
    <t>Margin Analysis</t>
  </si>
  <si>
    <t>Gross Margin</t>
  </si>
  <si>
    <t>Operating Margin</t>
  </si>
  <si>
    <t>Pretax Margin</t>
  </si>
  <si>
    <t>Net Margin</t>
  </si>
  <si>
    <t>% Change</t>
  </si>
  <si>
    <t>Cash Flows from Operating Activities</t>
  </si>
  <si>
    <t>Net Loss</t>
  </si>
  <si>
    <t>Stock-Based Compensation Expense</t>
  </si>
  <si>
    <t>Change in Operating Assets and Liabilities</t>
  </si>
  <si>
    <t>Net Cash Used in Operating Activities</t>
  </si>
  <si>
    <t>Cash Flows from Investing Activities</t>
  </si>
  <si>
    <t>Change in Marketable Securities</t>
  </si>
  <si>
    <t>Capital Expendititures</t>
  </si>
  <si>
    <t>Net Cash Used in Investing Activities</t>
  </si>
  <si>
    <t>Cash Flows from Financing Activities</t>
  </si>
  <si>
    <t>Net Cash Used in Financing Activities</t>
  </si>
  <si>
    <t>Cash/Cash Equivalents at Beginning of Period</t>
  </si>
  <si>
    <t>Change in Cash</t>
  </si>
  <si>
    <t>Cash/Cash Equivalents at End of Period</t>
  </si>
  <si>
    <t>Inventory</t>
  </si>
  <si>
    <t>Accounts Payable and Accrued Liabilities</t>
  </si>
  <si>
    <t>Total R&amp;D</t>
  </si>
  <si>
    <t>G&amp;A</t>
  </si>
  <si>
    <t>People</t>
  </si>
  <si>
    <t>Total G&amp;A</t>
  </si>
  <si>
    <t xml:space="preserve">A&amp;P </t>
  </si>
  <si>
    <t>Total SG&amp;A</t>
  </si>
  <si>
    <t>Total COGS</t>
  </si>
  <si>
    <t>Interest Rate</t>
  </si>
  <si>
    <t>Total Expenses</t>
  </si>
  <si>
    <t>Date</t>
  </si>
  <si>
    <t>Product</t>
  </si>
  <si>
    <t>Comments</t>
  </si>
  <si>
    <t>Adjustments</t>
  </si>
  <si>
    <t>Total</t>
  </si>
  <si>
    <t>Assumptions</t>
  </si>
  <si>
    <t>Terminal</t>
  </si>
  <si>
    <t>Net - G&amp;A</t>
  </si>
  <si>
    <t>Discounted - G&amp;A</t>
  </si>
  <si>
    <t>Terminal Value</t>
  </si>
  <si>
    <t>Terminal Growth Rate</t>
  </si>
  <si>
    <t>Per Share Value - G&amp;A Adj.</t>
  </si>
  <si>
    <t>Net</t>
  </si>
  <si>
    <t>Year of discounting</t>
  </si>
  <si>
    <t>Discounted</t>
  </si>
  <si>
    <t>Probability of Success</t>
  </si>
  <si>
    <t>Risk-Adjusted NPV</t>
  </si>
  <si>
    <t>Per Share Value</t>
  </si>
  <si>
    <t>Total Revenues</t>
  </si>
  <si>
    <t>Discounted - Other R&amp;D</t>
  </si>
  <si>
    <t>After Tax EBIT</t>
  </si>
  <si>
    <t>Per Share Value - Other R&amp;D Adj.</t>
  </si>
  <si>
    <t xml:space="preserve">  % Growth Rate</t>
  </si>
  <si>
    <t>Total Sales &amp; Marketing</t>
  </si>
  <si>
    <t>Sales &amp; Marketing</t>
  </si>
  <si>
    <t>Commercial Planning/Professional Fees</t>
  </si>
  <si>
    <t>EPS - Fully Diluted</t>
  </si>
  <si>
    <t>Growth Rate</t>
  </si>
  <si>
    <t xml:space="preserve">Total A&amp;P </t>
  </si>
  <si>
    <t>% Growth</t>
  </si>
  <si>
    <t>Net - Other R&amp;D Expense</t>
  </si>
  <si>
    <t>2031E</t>
  </si>
  <si>
    <t>2032E</t>
  </si>
  <si>
    <t>2033E</t>
  </si>
  <si>
    <t>2034E</t>
  </si>
  <si>
    <t>2035E</t>
  </si>
  <si>
    <t>Total NPV</t>
  </si>
  <si>
    <t xml:space="preserve">Avg Cash/Investments </t>
  </si>
  <si>
    <t>Discount Rate</t>
  </si>
  <si>
    <t>Net Cash</t>
  </si>
  <si>
    <t>Shares</t>
  </si>
  <si>
    <t>Net Debt</t>
  </si>
  <si>
    <t>Patent type</t>
  </si>
  <si>
    <t>expiration</t>
  </si>
  <si>
    <t>extension</t>
  </si>
  <si>
    <t xml:space="preserve">G&amp;A Expense </t>
  </si>
  <si>
    <t>Per Share</t>
  </si>
  <si>
    <t>Prob</t>
  </si>
  <si>
    <t>Risk-Adj</t>
  </si>
  <si>
    <t>% of Total</t>
  </si>
  <si>
    <t>NPV</t>
  </si>
  <si>
    <t>Value</t>
  </si>
  <si>
    <t>of Success</t>
  </si>
  <si>
    <t>Value/Shr</t>
  </si>
  <si>
    <t>Pipeline</t>
  </si>
  <si>
    <t>Unallocated R&amp;D</t>
  </si>
  <si>
    <t>Current Stock Price</t>
  </si>
  <si>
    <t>Consensus</t>
  </si>
  <si>
    <t>This sheet contains FactSet XML data for use with this workbook's =FDS codes.  Modifying the worksheet's contents may damage the workbook's =FDS functionality.</t>
  </si>
  <si>
    <t>Peak</t>
  </si>
  <si>
    <t>Revenue</t>
  </si>
  <si>
    <t>($ Millions, except per-share data)</t>
  </si>
  <si>
    <t>Difference</t>
  </si>
  <si>
    <t>Prepaid Expenses &amp; Other</t>
  </si>
  <si>
    <t>Accrued Expenses</t>
  </si>
  <si>
    <t>Prepaid Expenses/Other</t>
  </si>
  <si>
    <t>($ Millions)</t>
  </si>
  <si>
    <t>Salesforce/Sales Management/MSLs</t>
  </si>
  <si>
    <t>Capital</t>
  </si>
  <si>
    <t>Stock Price</t>
  </si>
  <si>
    <t>R&amp;D Check</t>
  </si>
  <si>
    <t>SG&amp;A Check</t>
  </si>
  <si>
    <t>COGS Check</t>
  </si>
  <si>
    <t>Total Reps</t>
  </si>
  <si>
    <t>Check</t>
  </si>
  <si>
    <t>Milestones &amp; Royalties</t>
  </si>
  <si>
    <t>2036E</t>
  </si>
  <si>
    <t>Trial Name</t>
  </si>
  <si>
    <t>Depreciation</t>
  </si>
  <si>
    <t>Stock-Based Compensation</t>
  </si>
  <si>
    <t>Product Sales</t>
  </si>
  <si>
    <t>Stock Based Compensation</t>
  </si>
  <si>
    <t>Total Pipeline</t>
  </si>
  <si>
    <t>Change in Common Stock, Net of Costs</t>
  </si>
  <si>
    <t>Accounts Payable/Accrued Liabilities</t>
  </si>
  <si>
    <t>Stock 
(Ticker Symbol)</t>
  </si>
  <si>
    <t>Lateral Impact 
(Other companies/stocks)</t>
  </si>
  <si>
    <t>Drug 
 (Brand or chemical name) / Instrument / Area</t>
  </si>
  <si>
    <t>Indication / 
Product Class</t>
  </si>
  <si>
    <t>Type of Event</t>
  </si>
  <si>
    <t>Event or Trial Details</t>
  </si>
  <si>
    <t>Expected
Timing</t>
  </si>
  <si>
    <t xml:space="preserve">Specific Event Date if known or specified </t>
  </si>
  <si>
    <t>Impact: 
H(igh) &gt; 9%
M(edium) 3 - 9% 
L(ow) &lt; 2%</t>
  </si>
  <si>
    <t>Estimated Stock Up/Down % on Best/Worst Outcomes</t>
  </si>
  <si>
    <t>Other Legal/Regulatory</t>
  </si>
  <si>
    <t xml:space="preserve">H </t>
  </si>
  <si>
    <t>Phase 2 Trial Initiation</t>
  </si>
  <si>
    <t>L</t>
  </si>
  <si>
    <t>Phase 3 Results Announcement</t>
  </si>
  <si>
    <t>Phase 2 Data Announcement</t>
  </si>
  <si>
    <t>Expected Timing</t>
  </si>
  <si>
    <t>Impact</t>
  </si>
  <si>
    <t>Lead Candidate Selection</t>
  </si>
  <si>
    <t>Strongly Positive</t>
  </si>
  <si>
    <t>First Patient Treated</t>
  </si>
  <si>
    <t xml:space="preserve">M </t>
  </si>
  <si>
    <t>Positive</t>
  </si>
  <si>
    <t>IND Enabling Study</t>
  </si>
  <si>
    <t xml:space="preserve">Neutral </t>
  </si>
  <si>
    <t>IND Submission</t>
  </si>
  <si>
    <t>Negative</t>
  </si>
  <si>
    <t>Phase 1 Trial Initiation</t>
  </si>
  <si>
    <t>Strongly Negative</t>
  </si>
  <si>
    <t>Phase 1 Data Announcement</t>
  </si>
  <si>
    <t>1H23</t>
  </si>
  <si>
    <t>Phase 1 Data Presentation</t>
  </si>
  <si>
    <t>2H23</t>
  </si>
  <si>
    <t>1H24</t>
  </si>
  <si>
    <t>2H24</t>
  </si>
  <si>
    <t>Phase 2 Data Presentation</t>
  </si>
  <si>
    <t>1H25</t>
  </si>
  <si>
    <t>Phase 3 Trial Initiation</t>
  </si>
  <si>
    <t>2H25</t>
  </si>
  <si>
    <t>Phase 3 Trial Full Enrollment</t>
  </si>
  <si>
    <t>Phase 3 Results Presentation</t>
  </si>
  <si>
    <t>Phase 4 Trial Initiation</t>
  </si>
  <si>
    <t>Phase 4 Results Announcement</t>
  </si>
  <si>
    <t>Phase 4 Results Presentation</t>
  </si>
  <si>
    <t>1Q22</t>
  </si>
  <si>
    <t>NDA/BLA Filing</t>
  </si>
  <si>
    <t>2Q22</t>
  </si>
  <si>
    <t>MAA Filing</t>
  </si>
  <si>
    <t>3Q22</t>
  </si>
  <si>
    <t>sNDA/sBLA/sMAA Filing</t>
  </si>
  <si>
    <t>4Q22</t>
  </si>
  <si>
    <t>FDA Approval</t>
  </si>
  <si>
    <t>1Q23</t>
  </si>
  <si>
    <t>EMA Approval</t>
  </si>
  <si>
    <t>2Q23</t>
  </si>
  <si>
    <t>Patent Litigation or Challenge</t>
  </si>
  <si>
    <t>3Q23</t>
  </si>
  <si>
    <t>4Q23</t>
  </si>
  <si>
    <t>Collaboration Announcement or Milestone</t>
  </si>
  <si>
    <t>1Q24</t>
  </si>
  <si>
    <t>Clinical Hold Update</t>
  </si>
  <si>
    <t>2Q24</t>
  </si>
  <si>
    <t>Other Event</t>
  </si>
  <si>
    <t>3Q24</t>
  </si>
  <si>
    <t xml:space="preserve">510(k) premarketing submission </t>
  </si>
  <si>
    <t>4Q24</t>
  </si>
  <si>
    <t>Announcement of Pivotal Study</t>
  </si>
  <si>
    <t>1Q25</t>
  </si>
  <si>
    <t>Release of Pivotal Study Data</t>
  </si>
  <si>
    <t>2Q25</t>
  </si>
  <si>
    <t>Post-market Study Announcement</t>
  </si>
  <si>
    <t>3Q25</t>
  </si>
  <si>
    <t>Post-market Study Data Release</t>
  </si>
  <si>
    <t>PMA Approval</t>
  </si>
  <si>
    <t>Submission of CLIA application</t>
  </si>
  <si>
    <t>CLIA certification granted</t>
  </si>
  <si>
    <t>Reimbursement Related</t>
  </si>
  <si>
    <t>Product Launch</t>
  </si>
  <si>
    <t>Assay Launch</t>
  </si>
  <si>
    <t>Question Number</t>
  </si>
  <si>
    <t>Question</t>
  </si>
  <si>
    <t>Character length</t>
  </si>
  <si>
    <t>Gross to Net Adjustment</t>
  </si>
  <si>
    <t>`</t>
  </si>
  <si>
    <t>Milestones/Payments</t>
  </si>
  <si>
    <t>Total Royalties &amp; Milestones</t>
  </si>
  <si>
    <t>Total Debt</t>
  </si>
  <si>
    <t xml:space="preserve">Composition of matter </t>
  </si>
  <si>
    <t>Method of use</t>
  </si>
  <si>
    <t>Royalties &amp; Milestones</t>
  </si>
  <si>
    <t>Cost per Rep per Year</t>
  </si>
  <si>
    <t>Total Salesforce Cost</t>
  </si>
  <si>
    <t xml:space="preserve"> 
Leerink Partners Catalyst Tracker </t>
  </si>
  <si>
    <t xml:space="preserve">Leerink Partners View of Expected Outcome </t>
  </si>
  <si>
    <t>Source: Leerink Partners LLC Equity Research and Company Filings</t>
  </si>
  <si>
    <t>1H26</t>
  </si>
  <si>
    <t>2H26</t>
  </si>
  <si>
    <t>1H27</t>
  </si>
  <si>
    <t>2H27</t>
  </si>
  <si>
    <t>1H28</t>
  </si>
  <si>
    <t>2H28</t>
  </si>
  <si>
    <t>4Q25</t>
  </si>
  <si>
    <t>1Q26</t>
  </si>
  <si>
    <t>2Q26</t>
  </si>
  <si>
    <t>3Q26</t>
  </si>
  <si>
    <t>4Q26</t>
  </si>
  <si>
    <t>1Q27</t>
  </si>
  <si>
    <t>2Q27</t>
  </si>
  <si>
    <t>3Q27</t>
  </si>
  <si>
    <t>4Q27</t>
  </si>
  <si>
    <t>Source: Company reports, Leerink Partners estimates</t>
  </si>
  <si>
    <t xml:space="preserve"> 
Leerink Partners Questions for Management</t>
  </si>
  <si>
    <t>Indication</t>
  </si>
  <si>
    <t>2037E</t>
  </si>
  <si>
    <t>MapLight - Income Statement</t>
  </si>
  <si>
    <t>MapLight - Revenues</t>
  </si>
  <si>
    <t>MapLight - Expenses</t>
  </si>
  <si>
    <t>MapLight- Catalysts</t>
  </si>
  <si>
    <t>MapLight- Balance Sheet</t>
  </si>
  <si>
    <t>MapLight - Cash Flow</t>
  </si>
  <si>
    <t>MapLight- SOTP</t>
  </si>
  <si>
    <t>Gross Cost per Rx</t>
  </si>
  <si>
    <t xml:space="preserve">  % Change in Price - YOY</t>
  </si>
  <si>
    <t>TRxs per Period</t>
  </si>
  <si>
    <t>Gross Cost per Period</t>
  </si>
  <si>
    <t>Net Cost per Period</t>
  </si>
  <si>
    <t>2038E</t>
  </si>
  <si>
    <t>2039E</t>
  </si>
  <si>
    <t>2040E</t>
  </si>
  <si>
    <t>Sales $ millions</t>
  </si>
  <si>
    <t>ML-004</t>
  </si>
  <si>
    <t>ML-004 - US - Autism Spectrum Disorder</t>
  </si>
  <si>
    <t>(3-18 years old)</t>
  </si>
  <si>
    <t>% ASD patients with significant social deficit</t>
  </si>
  <si>
    <t>% ASD patients with irritability</t>
  </si>
  <si>
    <t>ASD patients with irritability</t>
  </si>
  <si>
    <t>ASD patients with significant social deficit</t>
  </si>
  <si>
    <t>% Penetration among ASD social deficit market</t>
  </si>
  <si>
    <t>% Penetration among ASD irritability market</t>
  </si>
  <si>
    <t>ML-007 - US - Dyskinesia</t>
  </si>
  <si>
    <t>Patients on Antipsychotics</t>
  </si>
  <si>
    <t xml:space="preserve">  % on atypical antipsychotics</t>
  </si>
  <si>
    <t>Patients on atypical antipsychotics</t>
  </si>
  <si>
    <t xml:space="preserve">  % of atypical patients who get TD</t>
  </si>
  <si>
    <t xml:space="preserve">  % of atypical patients who get TD (A)</t>
  </si>
  <si>
    <t xml:space="preserve">  % on typical antipsychotics</t>
  </si>
  <si>
    <t>Patients on typical antipsychotics</t>
  </si>
  <si>
    <t xml:space="preserve">  % of typical patients who get TD</t>
  </si>
  <si>
    <t xml:space="preserve">  % of typical patients who get TD (B)</t>
  </si>
  <si>
    <t>Total TD Patients (A + B)</t>
  </si>
  <si>
    <t>% patients not with mild TD/ requiring therapy</t>
  </si>
  <si>
    <t>patients requiring therapy</t>
  </si>
  <si>
    <t>ML-007</t>
  </si>
  <si>
    <t xml:space="preserve">% Penetration among TD patients </t>
  </si>
  <si>
    <t xml:space="preserve">TD patients receiving therapy </t>
  </si>
  <si>
    <t>Parkinson's Patients</t>
  </si>
  <si>
    <t xml:space="preserve">  '% of Patients with Psychosis</t>
  </si>
  <si>
    <t>PDP Patients</t>
  </si>
  <si>
    <t xml:space="preserve">  '% Patients Treated for Psychosis</t>
  </si>
  <si>
    <t>Patients</t>
  </si>
  <si>
    <t>ML-007- US - Parkinson's disease psychosis</t>
  </si>
  <si>
    <t xml:space="preserve">% Penetration among PD patients </t>
  </si>
  <si>
    <t>Patients treated</t>
  </si>
  <si>
    <t>ML-007- US - Alzheimer's disease psychosis</t>
  </si>
  <si>
    <t xml:space="preserve">% Penetration among AD patients </t>
  </si>
  <si>
    <t>ML-007-MA - Schizophrenia</t>
  </si>
  <si>
    <t>US - Schizophrenia</t>
  </si>
  <si>
    <t>ML-004 - ASD</t>
  </si>
  <si>
    <t>US - ASD</t>
  </si>
  <si>
    <t>US - ADP</t>
  </si>
  <si>
    <t>Total  Sales</t>
  </si>
  <si>
    <t xml:space="preserve">Total ASD patients receiving therapy </t>
  </si>
  <si>
    <t xml:space="preserve">Children with ASD </t>
  </si>
  <si>
    <t xml:space="preserve">Adults with ASD </t>
  </si>
  <si>
    <t xml:space="preserve">Total ASD population </t>
  </si>
  <si>
    <t>Total Sales - ML-007</t>
  </si>
  <si>
    <t>ML-007 - Schizophrenia</t>
  </si>
  <si>
    <t>Total ML-007</t>
  </si>
  <si>
    <t>ML-007 - ADP</t>
  </si>
  <si>
    <t>Preclinical</t>
  </si>
  <si>
    <t>ML-007 - Schizophrenia - US</t>
  </si>
  <si>
    <t>ML-007 - ADP - US</t>
  </si>
  <si>
    <t>ML-004 - ASD - US</t>
  </si>
  <si>
    <t>ML-007 - Schizophrenia -US</t>
  </si>
  <si>
    <t>FDS("AXSM-US","FE_ESTIMATE(SALES,MEAN,QTR,2024/1F,NOW,,,'')")</t>
  </si>
  <si>
    <t>ML007 - Schizophrenia - US</t>
  </si>
  <si>
    <t>ML007 - ADP - US</t>
  </si>
  <si>
    <t>ML004 - Austim - US</t>
  </si>
  <si>
    <t>Schizophrenia</t>
  </si>
  <si>
    <t>Alzheimer's Patients</t>
  </si>
  <si>
    <t>Op expenses</t>
  </si>
  <si>
    <t xml:space="preserve">ML-007 - Schizophrenia </t>
  </si>
  <si>
    <t xml:space="preserve">ML-007 - ADP </t>
  </si>
  <si>
    <t xml:space="preserve">ML-004 - ASD </t>
  </si>
  <si>
    <t>CMC and formulation</t>
  </si>
  <si>
    <t>Royalty to NeurSolis</t>
  </si>
  <si>
    <t>https://www.sec.gov/Archives/edgar/data/1770069/000119312525231829/d90027ds1a.htm#fin90027_3</t>
  </si>
  <si>
    <t>Amortization</t>
  </si>
  <si>
    <t>Loss from equity investment</t>
  </si>
  <si>
    <t>Preferred Stock</t>
  </si>
  <si>
    <t>2025Revenues</t>
  </si>
  <si>
    <t>YE2025</t>
  </si>
  <si>
    <t>MPLT</t>
  </si>
  <si>
    <t>2041E</t>
  </si>
  <si>
    <t>ML-007-PAC</t>
  </si>
  <si>
    <t>Polymorphs</t>
  </si>
  <si>
    <t>Top-line</t>
  </si>
  <si>
    <t>Alzheimer's disease psychosis</t>
  </si>
  <si>
    <t>ML-004 - ASD- US</t>
  </si>
  <si>
    <t>NPV (2026-2041, No Risk Adj.)</t>
  </si>
  <si>
    <t>2042E</t>
  </si>
  <si>
    <t>2043E</t>
  </si>
  <si>
    <t>2044E</t>
  </si>
  <si>
    <t>2045E</t>
  </si>
  <si>
    <t>2046E</t>
  </si>
  <si>
    <t>2047E</t>
  </si>
  <si>
    <t>ML-007-MA - Alzheimer's Disease Psychosis</t>
  </si>
  <si>
    <t>Shares - Basic</t>
  </si>
  <si>
    <t>EPS - Basic</t>
  </si>
  <si>
    <t>https://www.sec.gov/Archives/edgar/data/1770069/000119312525251611/d90027d424b3.htm#toc90027_22</t>
  </si>
  <si>
    <t>https://www.sec.gov/Archives/edgar/data/1770069/000119312525231829/d90027ds1a.htm#fin90027_11</t>
  </si>
  <si>
    <t>Shares - FD</t>
  </si>
  <si>
    <t>Accumulated Other Comprehensive Income/Loss</t>
  </si>
  <si>
    <t>Common Stock</t>
  </si>
  <si>
    <t>Deferred Grant Earnings</t>
  </si>
  <si>
    <t>Lease Liability</t>
  </si>
  <si>
    <t>Right of Use Assets</t>
  </si>
  <si>
    <t>Restricted Cash</t>
  </si>
  <si>
    <t>Long-Term Investments</t>
  </si>
  <si>
    <t>Short-Term Investments</t>
  </si>
  <si>
    <t>Non Cash Lease</t>
  </si>
  <si>
    <t>Loss from Reevaluation of Preferred Stock</t>
  </si>
  <si>
    <t>Loss on Disposal of Property and Equipment</t>
  </si>
  <si>
    <t xml:space="preserve">Proceeds from Convertible Stock </t>
  </si>
  <si>
    <t>Cash/ST/LT Secs</t>
  </si>
  <si>
    <t>Total Clinical Expenses</t>
  </si>
  <si>
    <t>Talk to us about your expectations for the opportunity in ADP?</t>
  </si>
  <si>
    <t>Can you provide some color on your plans to explore negative and cognitive symptoms in schizophrenia?</t>
  </si>
  <si>
    <t>Talk to us about the rationale of ML-004 in Austim spectrum disorder?</t>
  </si>
  <si>
    <t>Company Model</t>
  </si>
  <si>
    <t xml:space="preserve">Last Updated: </t>
  </si>
  <si>
    <t>Marc Goodman</t>
  </si>
  <si>
    <t>(212) 277-6137</t>
  </si>
  <si>
    <t>marc.goodman@leerink.com</t>
  </si>
  <si>
    <t>Alyssa Larios, Ph.D.</t>
  </si>
  <si>
    <t>(212) 277-6093</t>
  </si>
  <si>
    <t>alyssa.larios@leerink.com</t>
  </si>
  <si>
    <t>Basma Radwan, Ph.D.</t>
  </si>
  <si>
    <t>(212) 277-6151</t>
  </si>
  <si>
    <t>basma.radwan@leerink.com</t>
  </si>
  <si>
    <t>Analyst Certification</t>
  </si>
  <si>
    <t>I, Marc Goodman, certify that the views expressed in this report accurately reflect my views and that no part of my compensation was, is, or will be directly related to the specific recommendation or views contained in this report.</t>
  </si>
  <si>
    <t>Recd Inv. Banking Serv. In</t>
  </si>
  <si>
    <t>Coverage Universe</t>
  </si>
  <si>
    <t>Count</t>
  </si>
  <si>
    <t>%</t>
  </si>
  <si>
    <t>Previous 12 months</t>
  </si>
  <si>
    <t>Outperform (Buy)</t>
  </si>
  <si>
    <t>Market Perform (Hold/Neutral)</t>
  </si>
  <si>
    <t>Underperform (Sell)</t>
  </si>
  <si>
    <t>Explanation of Ratings</t>
  </si>
  <si>
    <r>
      <t xml:space="preserve">
</t>
    </r>
    <r>
      <rPr>
        <b/>
        <sz val="11"/>
        <color rgb="FF3C4F58"/>
        <rFont val="Arial"/>
        <family val="2"/>
      </rPr>
      <t xml:space="preserve">Outperform (Buy): </t>
    </r>
    <r>
      <rPr>
        <sz val="11"/>
        <color rgb="FF3C4F58"/>
        <rFont val="Arial"/>
        <family val="2"/>
      </rPr>
      <t xml:space="preserve"> We expect this stock to outperform its benchmark over the next 12 months. 
</t>
    </r>
    <r>
      <rPr>
        <b/>
        <sz val="11"/>
        <color rgb="FF3C4F58"/>
        <rFont val="Arial"/>
        <family val="2"/>
      </rPr>
      <t>Market Perform (Hold/Neutral):</t>
    </r>
    <r>
      <rPr>
        <sz val="11"/>
        <color rgb="FF3C4F58"/>
        <rFont val="Arial"/>
        <family val="2"/>
      </rPr>
      <t xml:space="preserve"> We expect this stock to perform in line with its benchmark over the next 12 months. 
</t>
    </r>
    <r>
      <rPr>
        <b/>
        <sz val="11"/>
        <color rgb="FF3C4F58"/>
        <rFont val="Arial"/>
        <family val="2"/>
      </rPr>
      <t>Underperform (Sell):</t>
    </r>
    <r>
      <rPr>
        <sz val="11"/>
        <color rgb="FF3C4F58"/>
        <rFont val="Arial"/>
        <family val="2"/>
      </rPr>
      <t xml:space="preserve"> We expect this stock to underperform its benchmark over the next 12 months. 
The degree of outperformance or underperformance required to warrant an Outperform or an Underperform rating should be commensurate with the risk profile of the company.  
For the purposes of these definitions the relevant benchmark for "Leerink Partners" branded healthcare and life sciences equity research will be the S&amp;P 600® Health Care Index for issuers with a market capitalization of less than $2 billion and the S&amp;P 500® Health Care Index for issuers with a market capitalization over $2 billion. </t>
    </r>
  </si>
  <si>
    <t>Important Disclosures</t>
  </si>
  <si>
    <t xml:space="preserve">This information (including, but not limited to, prices, quotes and statistics) has been obtained from sources that we believe reliable, but we do not represent that it is accurate or complete and it should not be relied upon as such. All information is subject to change without notice. The information is intended for Institutional Use Only and is not an offer to sell or a solicitation to buy any product to which this information relates. Leerink Partners LLC (“Firm”), its officers, directors, employees, proprietary accounts and affiliates may have a position, long or short, in the securities referred to in this report, and/or other related securities, and from time to time may increase or decrease the position or express a view that is contrary to that contained in this report. The Firm's research analysts, salespeople, traders and other professionals may provide oral or written market commentary or trading strategies that are contrary to opinions expressed in this report. The Firm's asset management group and proprietary accounts may make investment decisions that are inconsistent with the opinions expressed in this document. The past performance of securities does not guarantee or predict future performance. Transaction strategies described herein may not be suitable for all investors. This document may not be reproduced or circulated without Leerink Partners’ written authority. Additional information is available upon request by contacting the Editorial Department, Leerink Partners, 53 State Street, 40th Floor, Boston, MA 02109. 
Like all Firm employees, research analysts receive compensation that is impacted by, among other factors, overall firm profitability, which includes revenues from, among other business units, Institutional Equities, Research, and Investment Banking. Research analysts, however, are not compensated for a specific investment banking services transaction. To the extent Leerink Partners research reports are referenced in this material, they are either attached hereto or information about these companies, including prices, rating, market making status, price charts, compensation disclosures, Analyst Certifications, etc. is available on https://leerink.bluematrix.com/sellside/Disclosures.action.  
MEDACorp LLC, an affiliate of Leerink Partners, is a global network of independent healthcare professionals (Key Opinion Leaders and consultants) providing industry and market insights to Leerink Partners and its clients. 
This document may not be reproduced or circulated without our written authority. This document, and any other Leerink Partners research report may not be, in whole or in part, or in any form or manner (i) forwarded, distributed, shared, or made available to third parties, including as input to, or in connection with, any artificial intelligence or machine learning model; (ii) modified or otherwise used to create derivative works; or (iii) used to train or otherwise develop a generative artificial intelligence or machine learning model, without the express written consent of Leerink Partners. Receipt and review of this document constitutes your agreement with the aforementioned limitations in use. </t>
  </si>
  <si>
    <t>I/S</t>
  </si>
  <si>
    <t>SG&amp;A (Excl Stock-Based Comp)</t>
  </si>
  <si>
    <t>R&amp;D (Excl Stock-Based Comp)</t>
  </si>
  <si>
    <t>ADD DOWN</t>
  </si>
  <si>
    <t>CHECK TO 0</t>
  </si>
  <si>
    <t>1Q26E</t>
  </si>
  <si>
    <t>2Q26E</t>
  </si>
  <si>
    <t>3Q26E</t>
  </si>
  <si>
    <t>4Q26E</t>
  </si>
  <si>
    <t>AD psychosis</t>
  </si>
  <si>
    <t>Top-line data</t>
  </si>
  <si>
    <t>Rating Distribution as of 12/31/2025</t>
  </si>
  <si>
    <t xml:space="preserve">© 2026 Leerink Partners LLC. All Rights Reserved. Member FINRA/SIPC. </t>
  </si>
  <si>
    <t>NPV (2026-2047, No Risk Adj.)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</si>
</sst>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 numFmtId="166" formatCode="0.0%"/>
    <numFmt numFmtId="167" formatCode="&quot;$&quot;#,##0.00"/>
    <numFmt numFmtId="168" formatCode="#,##0.000"/>
    <numFmt numFmtId="169" formatCode="&quot;$&quot;#,##0"/>
    <numFmt numFmtId="170" formatCode="&quot;$&quot;#,##0.0"/>
    <numFmt numFmtId="171" formatCode="_(&quot;$&quot;* #,##0_);_(&quot;$&quot;* \(#,##0\);_(&quot;$&quot;* &quot;-&quot;??_);_(@_)"/>
    <numFmt numFmtId="172" formatCode="0.000%"/>
    <numFmt numFmtId="173" formatCode="&quot;$&quot;#,##0.0;\(&quot;$&quot;#,##0.0\)"/>
    <numFmt numFmtId="174" formatCode="_(&quot;$&quot;#,##0_)&quot;millions&quot;;\(&quot;$&quot;#,##0\)&quot; millions&quot;"/>
    <numFmt numFmtId="175" formatCode="&quot;$&quot;#,##0.00_)\ \ \ ;\(&quot;$&quot;#,##0.00\)\ \ \ "/>
    <numFmt numFmtId="176" formatCode="&quot;$&quot;#,##0.00&quot;*&quot;\ \ ;\(&quot;$&quot;#,##0.00\)&quot;*&quot;\ \ "/>
    <numFmt numFmtId="177" formatCode="&quot;$&quot;#,##0.00\A_)\ ;\(&quot;$&quot;#,##0.00\A\)\ \ "/>
    <numFmt numFmtId="178" formatCode="&quot;$&quot;@\ "/>
    <numFmt numFmtId="179" formatCode="&quot;\&quot;#,##0;[Red]&quot;\&quot;\-#,##0"/>
    <numFmt numFmtId="180" formatCode="&quot;\&quot;#,##0.00;[Red]&quot;\&quot;\-#,##0.00"/>
    <numFmt numFmtId="181" formatCode="0.0_)\%;\(0.0\)\%;0.0_)\%;@_)_%"/>
    <numFmt numFmtId="182" formatCode="#,##0.0_)_%;\(#,##0.0\)_%;0.0_)_%;@_)_%"/>
    <numFmt numFmtId="183" formatCode="#,##0.0_);\(#,##0.0\)"/>
    <numFmt numFmtId="184" formatCode="#,##0.0_);\(#,##0.0\);#,##0.0_);@_)"/>
    <numFmt numFmtId="185" formatCode="&quot;Source: &quot;@_%_)"/>
    <numFmt numFmtId="186" formatCode="&quot;$&quot;#,##0.0_);\(&quot;$&quot;#,##0.0\)"/>
    <numFmt numFmtId="187" formatCode="#,##0.00_%_);\(#,##0.00\)_%;#,##0.00_%_);@_%_)"/>
    <numFmt numFmtId="188" formatCode="\€\ 0.00000"/>
    <numFmt numFmtId="189" formatCode="0.00E+00;;;"/>
    <numFmt numFmtId="190" formatCode="&quot;$&quot;#,##0_%_);\(&quot;$&quot;#,##0\)_%;&quot;$&quot;#,##0_%_);@_%_)"/>
    <numFmt numFmtId="191" formatCode="&quot;$&quot;_(#,##0.00_);&quot;$&quot;\(#,##0.00\);&quot;$&quot;_(0.00_);@_)"/>
    <numFmt numFmtId="192" formatCode="#,##0.0_%_);;#,##0.0_%_);@_%_)"/>
    <numFmt numFmtId="193" formatCode="#,##0_%_);\(#,##0\)_%;#,##0_%_);@_%_)"/>
    <numFmt numFmtId="194" formatCode="#,##0.00_);\(#,##0.00\);0.00_);@_)"/>
    <numFmt numFmtId="195" formatCode="\€_(#,##0.00_);\€\(#,##0.00\);\€_(0.00_);@_)"/>
    <numFmt numFmtId="196" formatCode="#,##0.0&quot;x&quot;_);\(#,##0.0&quot;x&quot;\)"/>
    <numFmt numFmtId="197" formatCode="&quot;Yes&quot;_%_);;&quot;No&quot;_%_)"/>
    <numFmt numFmtId="198" formatCode=";;;@*."/>
    <numFmt numFmtId="199" formatCode="#,##0_)\x;\(#,##0\)\x;0_)\x;@_)_x"/>
    <numFmt numFmtId="200" formatCode="#,##0.0_)\x;\(#,##0.0\)\x;0.0_)\x;@_)_x"/>
    <numFmt numFmtId="201" formatCode="0_);\(0\);0_);@_)"/>
    <numFmt numFmtId="202" formatCode="0."/>
    <numFmt numFmtId="203" formatCode="0000\ &quot;Calendar Mean EPS&quot;"/>
    <numFmt numFmtId="204" formatCode="#,##0_)_x;\(#,##0\)_x;0_)_x;@_)_x"/>
    <numFmt numFmtId="205" formatCode="#,##0.0_)_x;\(#,##0.0\)_x;0.0_)_x;@_)_x"/>
    <numFmt numFmtId="206" formatCode="&quot;$&quot;#,##0.00_%_);\(&quot;$&quot;#,##0.00\)_%;&quot;$&quot;#,##0.00_%_);@_%_)"/>
    <numFmt numFmtId="207" formatCode="#,##0.0\x_);\(#,##0.0\x\);#,##0.0\x_);@_)"/>
    <numFmt numFmtId="208" formatCode="&quot;$&quot;#,##0.000_%_);\(&quot;$&quot;#,##0.000\)_%;&quot;$&quot;#,##0.000_%_);@_%_)"/>
    <numFmt numFmtId="209" formatCode="0.0_);\(0.0\);0.0_);@_)"/>
    <numFmt numFmtId="210" formatCode="#,##0.000_%_);\(#,##0.000\)_%;#,##0.000_%_);@_%_)"/>
    <numFmt numFmtId="211" formatCode="&quot;E#,##0.00_);[Red]&quot;\&quot;&quot;\&quot;&quot;\&quot;&quot;\&quot;\(&quot;E#,##0.00&quot;\&quot;&quot;\&quot;&quot;\&quot;&quot;\&quot;\)"/>
    <numFmt numFmtId="212" formatCode="&quot;E#,##0_);[Red]&quot;\&quot;&quot;\&quot;&quot;\&quot;&quot;\&quot;\(&quot;E#,##0&quot;\&quot;&quot;\&quot;&quot;\&quot;&quot;\&quot;\)"/>
    <numFmt numFmtId="213" formatCode="\£\ #,##0_);[Red]\(\£\ #,##0\)"/>
    <numFmt numFmtId="214" formatCode="\¥\ #,##0_);[Red]\(\¥\ #,##0\)"/>
    <numFmt numFmtId="215" formatCode="#,##0\ [$F-40C]"/>
    <numFmt numFmtId="216" formatCode="0_);\(0\)"/>
    <numFmt numFmtId="217" formatCode="_(* #,##0.0_);_(* \(#,##0.0\);_(* &quot;--- &quot;_)"/>
    <numFmt numFmtId="218" formatCode="#,##0.0_x;&quot;NM&quot;_x"/>
    <numFmt numFmtId="219" formatCode="#,##0\x_);&quot;NM&quot;_)"/>
    <numFmt numFmtId="220" formatCode="General_)"/>
    <numFmt numFmtId="221" formatCode="#,##0.0_);[Red]\(#,##0.0\)"/>
    <numFmt numFmtId="222" formatCode="0.000000000"/>
    <numFmt numFmtId="223" formatCode="[Blue]0.0%;[Blue]\-0.0%"/>
    <numFmt numFmtId="224" formatCode="\•\ \ @"/>
    <numFmt numFmtId="225" formatCode="_(* #,##0.0_);_(* \(#,##0.0\);_(* &quot;-&quot;_);_(@_)"/>
    <numFmt numFmtId="226" formatCode="_(* #,##0.00\x_);_(* &quot;N/M&quot;_)"/>
    <numFmt numFmtId="227" formatCode="0.000_)"/>
    <numFmt numFmtId="228" formatCode="_(* #,##0.0_);_(* \(#,##0.0\);_(* &quot;-&quot;??_);_(@_)"/>
    <numFmt numFmtId="229" formatCode="* #,##0.0\ \x_);&quot;NM&quot;_)"/>
    <numFmt numFmtId="230" formatCode="* #,##0.0\ \x_);&quot;NM&quot;"/>
    <numFmt numFmtId="231" formatCode="0.0%;\(0.0\)%"/>
    <numFmt numFmtId="232" formatCode="#,##0.00_%_);\(#,##0.00\)_%;**;@_%_)"/>
    <numFmt numFmtId="233" formatCode="#,##0.000_%_);\(#,##0.000\)_%;**;@_%_)"/>
    <numFmt numFmtId="234" formatCode="#,##0.0_%_);\(#,##0.0\)_%;**;@_%_)"/>
    <numFmt numFmtId="235" formatCode="0.00_);\(0.00\);0.00"/>
    <numFmt numFmtId="236" formatCode="* #,##0.0\ \ \ _);&quot;NM&quot;"/>
    <numFmt numFmtId="237" formatCode="&quot;$&quot;#,##0.00_%_);\(&quot;$&quot;#,##0.00\)_%;**;@_%_)"/>
    <numFmt numFmtId="238" formatCode="&quot;$&quot;#,##0.000_%_);\(&quot;$&quot;#,##0.000\)_%;**;@_%_)"/>
    <numFmt numFmtId="239" formatCode="&quot;$&quot;#,##0.0_%_);\(&quot;$&quot;#,##0.0\)_%;**;@_%_)"/>
    <numFmt numFmtId="240" formatCode="&quot;$&quot;#,##0.00_)\ \ ;\(&quot;$&quot;#,##0.00\)\ \ "/>
    <numFmt numFmtId="241" formatCode="@\ \ \ \ \ "/>
    <numFmt numFmtId="242" formatCode="\ \ _•\–\ \ \ \ @"/>
    <numFmt numFmtId="243" formatCode="0.0\ "/>
    <numFmt numFmtId="244" formatCode="m/d/yy_%_);;**"/>
    <numFmt numFmtId="245" formatCode="_(* &quot;$&quot;#,##0_);_(* &quot;$&quot;\(#,##0\);_(* &quot;$&quot;\ &quot;-&quot;_);_(@_)"/>
    <numFmt numFmtId="246" formatCode="m"/>
    <numFmt numFmtId="247" formatCode="#,##0.0;\(###0.0\)"/>
    <numFmt numFmtId="248" formatCode="#,##0.000,_);[Red]&quot;\&quot;&quot;\&quot;&quot;\&quot;&quot;\&quot;&quot;\&quot;&quot;\&quot;&quot;\&quot;&quot;\&quot;&quot;\&quot;&quot;\&quot;&quot;\&quot;&quot;\&quot;&quot;\&quot;\(#,##0.000,&quot;\&quot;&quot;\&quot;&quot;\&quot;&quot;\&quot;&quot;\&quot;&quot;\&quot;&quot;\&quot;&quot;\&quot;&quot;\&quot;&quot;\&quot;&quot;\&quot;&quot;\&quot;&quot;\&quot;\);"/>
    <numFmt numFmtId="249" formatCode="0%;[Red]&quot;\&quot;&quot;\&quot;&quot;\&quot;&quot;\&quot;&quot;\&quot;&quot;\&quot;&quot;\&quot;&quot;\&quot;&quot;\&quot;&quot;\&quot;&quot;\&quot;&quot;\&quot;&quot;\&quot;\(0%&quot;\&quot;&quot;\&quot;&quot;\&quot;&quot;\&quot;&quot;\&quot;&quot;\&quot;&quot;\&quot;&quot;\&quot;&quot;\&quot;&quot;\&quot;&quot;\&quot;&quot;\&quot;&quot;\&quot;\);"/>
    <numFmt numFmtId="250" formatCode="#,##0.000,_);[Red]&quot;\&quot;&quot;\&quot;&quot;\&quot;&quot;\&quot;&quot;\&quot;&quot;\&quot;&quot;\&quot;&quot;\&quot;\(#,##0.000,&quot;\&quot;&quot;\&quot;&quot;\&quot;&quot;\&quot;&quot;\&quot;&quot;\&quot;&quot;\&quot;&quot;\&quot;\);"/>
    <numFmt numFmtId="251" formatCode="&quot;$&quot;#,##0.0\ \ \ ;\(&quot;$&quot;#,##0.0\)\ \ "/>
    <numFmt numFmtId="252" formatCode="0.0\x_)_);&quot;NM&quot;_x_)_);0.0\x_)_);@_%_)"/>
    <numFmt numFmtId="253" formatCode="#,##0.00_)\ \ \ \ \ ;\(#,##0.00\)\ \ \ \ \ "/>
    <numFmt numFmtId="254" formatCode="&quot;$&quot;#,##0.00_)\ \ \ \ \ ;\(&quot;$&quot;#,##0.00\)\ \ \ \ \ "/>
    <numFmt numFmtId="255" formatCode="&quot;$&quot;#,##0.00\A\ \ \ \ ;\(&quot;$&quot;#,##0.00\A\)\ \ \ \ "/>
    <numFmt numFmtId="256" formatCode="&quot;$&quot;#,##0.00&quot;E&quot;\ \ \ \ ;\(&quot;$&quot;#,##0.00&quot;E&quot;\)\ \ \ \ "/>
    <numFmt numFmtId="257" formatCode="#,##0.00&quot;E&quot;\ \ \ \ ;\(#,##0.00&quot;E&quot;\)\ \ \ \ "/>
    <numFmt numFmtId="258" formatCode="\€#,##0_);\(\€#,##0\)"/>
    <numFmt numFmtId="259" formatCode="_(&quot;$&quot;* #,##0.000_);_(&quot;$&quot;* \(#,##0.000\);_(&quot;$&quot;* &quot;-&quot;_);@"/>
    <numFmt numFmtId="260" formatCode="#,##0.000_);\(#,##0.000\)"/>
    <numFmt numFmtId="261" formatCode="* &quot;$&quot;_(#,##0.0_);* &quot;$&quot;\(#,##0.0\);* &quot;$&quot;_(&quot;-&quot;??_);_(@_)"/>
    <numFmt numFmtId="262" formatCode="* _(#,##0.0_);* \(#,##0.0\);* _(&quot;-&quot;??_);_(@_)"/>
    <numFmt numFmtId="263" formatCode="0%\ \ \ \ \ \ \ "/>
    <numFmt numFmtId="264" formatCode="0_%_);\(0\)_%;0_%_);@_%_)"/>
    <numFmt numFmtId="265" formatCode="#,##0.0000_);\(#,##0.0000\)"/>
    <numFmt numFmtId="266" formatCode="_0.0%;_(0.0\)%"/>
    <numFmt numFmtId="267" formatCode="0_)"/>
    <numFmt numFmtId="268" formatCode="#,##0;[Red]\(#,##0\)"/>
    <numFmt numFmtId="269" formatCode="#,##0.000_%_);\(&quot;$&quot;#,##0.000\)_%;**;@_%_)"/>
    <numFmt numFmtId="270" formatCode="#,##0.0,_);[Red]&quot;\&quot;&quot;\&quot;&quot;\&quot;&quot;\&quot;&quot;\&quot;&quot;\&quot;&quot;\&quot;&quot;\&quot;&quot;\&quot;&quot;\&quot;&quot;\&quot;&quot;\&quot;&quot;\&quot;\(#,##0.0,&quot;\&quot;&quot;\&quot;&quot;\&quot;&quot;\&quot;&quot;\&quot;&quot;\&quot;&quot;\&quot;&quot;\&quot;&quot;\&quot;&quot;\&quot;&quot;\&quot;&quot;\&quot;&quot;\&quot;\);0"/>
    <numFmt numFmtId="271" formatCode="&quot;$&quot;#,##0.0_)\ \ ;\(&quot;$&quot;#,##0.0\)\ \ "/>
    <numFmt numFmtId="272" formatCode="0.0\ \x\ \ \ \ ;&quot;NM      &quot;;\ 0.0\ \x\ \ \ \ "/>
    <numFmt numFmtId="273" formatCode="0.0%_)\ \ ;\(0.0%\)\ \ "/>
    <numFmt numFmtId="274" formatCode="0.00_);\(0.00\)"/>
    <numFmt numFmtId="275" formatCode="_(&quot;$&quot;* #,##0_)\ &quot;millions&quot;;_(&quot;$&quot;* \(#,##0\)&quot; millions&quot;"/>
    <numFmt numFmtId="276" formatCode="&quot;$&quot;#,##0\ &quot;MM&quot;;\(&quot;$&quot;#,##0.00\ &quot;MM&quot;\)"/>
    <numFmt numFmtId="277" formatCode="#,##0.0_);[Red]&quot;\&quot;&quot;\&quot;&quot;\&quot;&quot;\&quot;&quot;\&quot;&quot;\&quot;&quot;\&quot;&quot;\&quot;&quot;\&quot;&quot;\&quot;&quot;\&quot;&quot;\&quot;&quot;\&quot;\(#,##0.0&quot;\&quot;&quot;\&quot;&quot;\&quot;&quot;\&quot;&quot;\&quot;&quot;\&quot;&quot;\&quot;&quot;\&quot;&quot;\&quot;&quot;\&quot;&quot;\&quot;&quot;\&quot;&quot;\&quot;\);"/>
    <numFmt numFmtId="278" formatCode="#,##0\ &quot;MM&quot;"/>
    <numFmt numFmtId="279" formatCode="hh:mm\ AM/PM_)"/>
    <numFmt numFmtId="280" formatCode="0.0_)"/>
    <numFmt numFmtId="281" formatCode="mmm\-yyyy"/>
    <numFmt numFmtId="282" formatCode="&quot;$&quot;#,##0.0_);&quot;$&quot;\(#,##0.0\)"/>
    <numFmt numFmtId="283" formatCode="&quot;$&quot;#,##0.0_);\(#,##0.0\)"/>
    <numFmt numFmtId="284" formatCode="#,##0.0\ \ _);&quot;NM&quot;_)"/>
    <numFmt numFmtId="285" formatCode="0.0_);\(0.0\)"/>
    <numFmt numFmtId="286" formatCode="* #,##0_);* \(\ #,##0_);* \-"/>
    <numFmt numFmtId="287" formatCode="#,##0.0;\(#,##0.0\)"/>
    <numFmt numFmtId="288" formatCode="0.00_)"/>
    <numFmt numFmtId="289" formatCode="#,##0.00_)\ \ ;\(#,##0.00\)\ \ "/>
    <numFmt numFmtId="290" formatCode="#,##0_);[Red]&quot;\&quot;&quot;\&quot;&quot;\&quot;&quot;\&quot;&quot;\&quot;&quot;\&quot;&quot;\&quot;&quot;\&quot;&quot;\&quot;&quot;\&quot;&quot;\&quot;&quot;\&quot;&quot;\&quot;\(#,##0&quot;\&quot;&quot;\&quot;&quot;\&quot;&quot;\&quot;&quot;\&quot;&quot;\&quot;&quot;\&quot;&quot;\&quot;&quot;\&quot;&quot;\&quot;&quot;\&quot;&quot;\&quot;&quot;\&quot;\);0_)"/>
    <numFmt numFmtId="291" formatCode="#,##0.0_);[Red]&quot;\&quot;&quot;\&quot;&quot;\&quot;&quot;\&quot;&quot;\&quot;&quot;\&quot;&quot;\&quot;&quot;\&quot;&quot;\&quot;&quot;\&quot;&quot;\&quot;&quot;\&quot;&quot;\&quot;\(#,##0.0&quot;\&quot;&quot;\&quot;&quot;\&quot;&quot;\&quot;&quot;\&quot;&quot;\&quot;&quot;\&quot;&quot;\&quot;&quot;\&quot;&quot;\&quot;&quot;\&quot;&quot;\&quot;&quot;\&quot;\);0.0"/>
    <numFmt numFmtId="292" formatCode="#,##0.00_);[Red]&quot;\&quot;&quot;\&quot;&quot;\&quot;&quot;\&quot;&quot;\&quot;&quot;\&quot;&quot;\&quot;&quot;\&quot;&quot;\&quot;&quot;\&quot;&quot;\&quot;&quot;\&quot;&quot;\&quot;\(#,##0.00&quot;\&quot;&quot;\&quot;&quot;\&quot;&quot;\&quot;&quot;\&quot;&quot;\&quot;&quot;\&quot;&quot;\&quot;&quot;\&quot;&quot;\&quot;&quot;\&quot;&quot;\&quot;&quot;\&quot;\);0.00"/>
    <numFmt numFmtId="293" formatCode="#,##0.000_);[Red]&quot;\&quot;&quot;\&quot;&quot;\&quot;&quot;\&quot;&quot;\&quot;&quot;\&quot;&quot;\&quot;&quot;\&quot;&quot;\&quot;&quot;\&quot;&quot;\&quot;&quot;\&quot;&quot;\&quot;\(#,##0.000&quot;\&quot;&quot;\&quot;&quot;\&quot;&quot;\&quot;&quot;\&quot;&quot;\&quot;&quot;\&quot;&quot;\&quot;&quot;\&quot;&quot;\&quot;&quot;\&quot;&quot;\&quot;&quot;\&quot;\);"/>
    <numFmt numFmtId="294" formatCode="#,##0.000_);[Red]&quot;\&quot;&quot;\&quot;&quot;\&quot;&quot;\&quot;&quot;\&quot;&quot;\&quot;&quot;\&quot;&quot;\&quot;\(#,##0.000&quot;\&quot;&quot;\&quot;&quot;\&quot;&quot;\&quot;&quot;\&quot;&quot;\&quot;&quot;\&quot;&quot;\&quot;\);"/>
    <numFmt numFmtId="295" formatCode="#,##0.0,_);[Red]&quot;\&quot;&quot;\&quot;&quot;\&quot;&quot;\&quot;&quot;\&quot;&quot;\&quot;&quot;\&quot;&quot;\&quot;&quot;\&quot;&quot;\&quot;&quot;\&quot;&quot;\&quot;&quot;\&quot;\(#,##0.0,&quot;\&quot;&quot;\&quot;&quot;\&quot;&quot;\&quot;&quot;\&quot;&quot;\&quot;&quot;\&quot;&quot;\&quot;&quot;\&quot;&quot;\&quot;&quot;\&quot;&quot;\&quot;&quot;\&quot;\);0.0_)"/>
    <numFmt numFmtId="296" formatCode="#,##0.0\ \ \ ;\(#,##0.0\)\ \ "/>
    <numFmt numFmtId="297" formatCode="0.0\x_);[Red]\(0.0\x\)"/>
    <numFmt numFmtId="298" formatCode="0.0\ \ \ \ \ \ "/>
    <numFmt numFmtId="299" formatCode="0.0%\ \ \ \ \ "/>
    <numFmt numFmtId="300" formatCode="0.0%;[Red]&quot;\&quot;&quot;\&quot;&quot;\&quot;&quot;\&quot;&quot;\&quot;&quot;\&quot;&quot;\&quot;&quot;\&quot;&quot;\&quot;&quot;\&quot;&quot;\&quot;&quot;\&quot;&quot;\&quot;\(0%&quot;\&quot;&quot;\&quot;&quot;\&quot;&quot;\&quot;&quot;\&quot;&quot;\&quot;&quot;\&quot;&quot;\&quot;&quot;\&quot;&quot;\&quot;&quot;\&quot;&quot;\&quot;&quot;\&quot;\);0"/>
    <numFmt numFmtId="301" formatCode="&quot;$&quot;#,##0.0;[Red]&quot;$&quot;#,##0.0"/>
    <numFmt numFmtId="302" formatCode="#,##0.0\%_);\(#,##0.0\%\);#,##0.0\%_);@_%_)"/>
    <numFmt numFmtId="303" formatCode="0.0%_);\(0.0%\);**;@_%_)"/>
    <numFmt numFmtId="304" formatCode="0.00\%;\-0.00\%;0.00\%"/>
    <numFmt numFmtId="305" formatCode="[Red][&gt;0.05]&quot;\&quot;&quot;\&quot;&quot;\&quot;&quot;\&quot;&quot;\&quot;&quot;\&quot;&quot;\&quot;&quot;\&quot;&quot;\&quot;&quot;\&quot;&quot;\&quot;&quot;\&quot;&quot;\&quot;\ 0%;[Red][&lt;-0.05]&quot;\&quot;&quot;\&quot;&quot;\&quot;&quot;\&quot;&quot;\&quot;&quot;\&quot;&quot;\&quot;&quot;\&quot;&quot;\&quot;&quot;\&quot;&quot;\&quot;&quot;\&quot;&quot;\&quot;\ 0%;0%"/>
    <numFmt numFmtId="306" formatCode="#,##0.000_);[Red]\(#,##0.000\)"/>
    <numFmt numFmtId="307" formatCode="_(* &quot;$&quot;#,##0.0_);_(* &quot;$&quot;\(#,##0.0\);_(* &quot;$&quot;\ &quot;-&quot;_);_(@_)"/>
    <numFmt numFmtId="308" formatCode="&quot;$&quot;#\-?/?"/>
    <numFmt numFmtId="309" formatCode="0.000"/>
    <numFmt numFmtId="310" formatCode="_(&quot;$&quot;* #,##0.000_);_(&quot;$&quot;* \(#,##0.000\);_(&quot;$&quot;* &quot;-&quot;??_);_(@_)"/>
    <numFmt numFmtId="311" formatCode="mmmm\ d\,\ yyyy"/>
    <numFmt numFmtId="312" formatCode="_(* #,##0_);_(* \(#,##0\);_(* &quot;-&quot;??_);_(@_)"/>
  </numFmts>
  <fonts count="212">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0000FF"/>
      <name val="Calibri"/>
      <family val="2"/>
      <scheme val="minor"/>
    </font>
    <font>
      <sz val="11"/>
      <name val="Calibri"/>
      <family val="2"/>
      <scheme val="minor"/>
    </font>
    <font>
      <sz val="9"/>
      <color indexed="81"/>
      <name val="Tahoma"/>
      <family val="2"/>
    </font>
    <font>
      <b/>
      <sz val="9"/>
      <color indexed="81"/>
      <name val="Tahoma"/>
      <family val="2"/>
    </font>
    <font>
      <b/>
      <sz val="11"/>
      <name val="Calibri"/>
      <family val="2"/>
      <scheme val="minor"/>
    </font>
    <font>
      <i/>
      <sz val="11"/>
      <color theme="1"/>
      <name val="Calibri"/>
      <family val="2"/>
      <scheme val="minor"/>
    </font>
    <font>
      <i/>
      <sz val="11"/>
      <color rgb="FF0000FF"/>
      <name val="Calibri"/>
      <family val="2"/>
      <scheme val="minor"/>
    </font>
    <font>
      <i/>
      <sz val="11"/>
      <name val="Calibri"/>
      <family val="2"/>
      <scheme val="minor"/>
    </font>
    <font>
      <b/>
      <i/>
      <sz val="11"/>
      <color theme="1"/>
      <name val="Calibri"/>
      <family val="2"/>
      <scheme val="minor"/>
    </font>
    <font>
      <sz val="11"/>
      <color rgb="FF000000"/>
      <name val="Calibri"/>
      <family val="2"/>
      <scheme val="minor"/>
    </font>
    <font>
      <i/>
      <sz val="11"/>
      <color rgb="FFFF0000"/>
      <name val="Calibri"/>
      <family val="2"/>
      <scheme val="minor"/>
    </font>
    <font>
      <sz val="10"/>
      <name val="Arial"/>
      <family val="2"/>
    </font>
    <font>
      <sz val="10"/>
      <name val="Geneva"/>
      <family val="2"/>
    </font>
    <font>
      <sz val="9"/>
      <name val="Arial"/>
      <family val="2"/>
    </font>
    <font>
      <sz val="12"/>
      <name val="Arial"/>
      <family val="2"/>
    </font>
    <font>
      <sz val="11"/>
      <name val="Arial"/>
      <family val="2"/>
    </font>
    <font>
      <b/>
      <sz val="11"/>
      <name val="Arial"/>
      <family val="2"/>
    </font>
    <font>
      <b/>
      <sz val="12"/>
      <name val="Arial"/>
      <family val="2"/>
    </font>
    <font>
      <sz val="10"/>
      <name val="Times New Roman"/>
      <family val="1"/>
    </font>
    <font>
      <sz val="8"/>
      <color indexed="8"/>
      <name val="Times New Roman"/>
      <family val="1"/>
    </font>
    <font>
      <sz val="8"/>
      <name val="Arial"/>
      <family val="2"/>
    </font>
    <font>
      <b/>
      <sz val="14"/>
      <name val="Times New Roman"/>
      <family val="1"/>
    </font>
    <font>
      <sz val="8"/>
      <color indexed="12"/>
      <name val="Arial"/>
      <family val="2"/>
    </font>
    <font>
      <sz val="10"/>
      <name val="Geneva"/>
    </font>
    <font>
      <sz val="8"/>
      <name val="Tms Rmn"/>
    </font>
    <font>
      <sz val="10"/>
      <name val="GillSans"/>
    </font>
    <font>
      <sz val="11"/>
      <name val="MS P????"/>
      <family val="3"/>
    </font>
    <font>
      <sz val="11"/>
      <name val="??"/>
      <family val="1"/>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Univers"/>
      <family val="2"/>
    </font>
    <font>
      <sz val="12"/>
      <name val="Times New Roman"/>
      <family val="1"/>
    </font>
    <font>
      <sz val="10"/>
      <name val="MS Sans Serif"/>
      <family val="2"/>
    </font>
    <font>
      <sz val="11"/>
      <color indexed="8"/>
      <name val="Calibri"/>
      <family val="2"/>
    </font>
    <font>
      <sz val="11"/>
      <color indexed="9"/>
      <name val="Calibri"/>
      <family val="2"/>
    </font>
    <font>
      <sz val="12"/>
      <name val="Arial MT"/>
    </font>
    <font>
      <sz val="9"/>
      <name val="Times New Roman"/>
      <family val="1"/>
    </font>
    <font>
      <sz val="10"/>
      <name val="Courier"/>
      <family val="3"/>
    </font>
    <font>
      <i/>
      <sz val="8"/>
      <color indexed="16"/>
      <name val="Arial"/>
      <family val="2"/>
    </font>
    <font>
      <i/>
      <sz val="8"/>
      <color indexed="54"/>
      <name val="Arial"/>
      <family val="2"/>
    </font>
    <font>
      <i/>
      <sz val="9"/>
      <color indexed="16"/>
      <name val="Arial"/>
      <family val="2"/>
    </font>
    <font>
      <b/>
      <sz val="9"/>
      <name val="Arial"/>
      <family val="2"/>
    </font>
    <font>
      <sz val="9"/>
      <color indexed="12"/>
      <name val="Times New Roman"/>
      <family val="1"/>
    </font>
    <font>
      <sz val="8"/>
      <name val="Arial MT"/>
    </font>
    <font>
      <b/>
      <sz val="6"/>
      <name val="Arial"/>
      <family val="2"/>
    </font>
    <font>
      <sz val="11"/>
      <color indexed="20"/>
      <name val="Calibri"/>
      <family val="2"/>
    </font>
    <font>
      <sz val="8"/>
      <name val="Times New Roman"/>
      <family val="1"/>
    </font>
    <font>
      <sz val="8"/>
      <color indexed="13"/>
      <name val="Arial"/>
      <family val="2"/>
    </font>
    <font>
      <b/>
      <sz val="11"/>
      <color indexed="9"/>
      <name val="Calibri"/>
      <family val="2"/>
    </font>
    <font>
      <sz val="8"/>
      <color indexed="12"/>
      <name val="Tms Rmn"/>
    </font>
    <font>
      <sz val="8"/>
      <name val="Palatino"/>
      <family val="1"/>
    </font>
    <font>
      <b/>
      <sz val="12"/>
      <name val="Times New Roman"/>
      <family val="1"/>
    </font>
    <font>
      <b/>
      <sz val="10"/>
      <name val="MS Sans Serif"/>
      <family val="2"/>
    </font>
    <font>
      <sz val="10"/>
      <name val="Univers 47 CondensedLight"/>
    </font>
    <font>
      <sz val="10"/>
      <name val="Tahoma"/>
      <family val="2"/>
    </font>
    <font>
      <b/>
      <sz val="11"/>
      <color indexed="52"/>
      <name val="Calibri"/>
      <family val="2"/>
    </font>
    <font>
      <sz val="9"/>
      <name val="Tms Rmn"/>
      <family val="1"/>
    </font>
    <font>
      <b/>
      <sz val="8"/>
      <name val="Times New Roman"/>
      <family val="1"/>
    </font>
    <font>
      <sz val="10"/>
      <color indexed="18"/>
      <name val="Times New Roman"/>
      <family val="1"/>
    </font>
    <font>
      <b/>
      <sz val="8"/>
      <name val="Book Antiqua"/>
      <family val="1"/>
    </font>
    <font>
      <b/>
      <sz val="8"/>
      <name val="GillSans"/>
    </font>
    <font>
      <b/>
      <sz val="7"/>
      <name val="Helvetica-Narrow"/>
      <family val="2"/>
    </font>
    <font>
      <b/>
      <sz val="7"/>
      <name val="GillSans"/>
    </font>
    <font>
      <b/>
      <sz val="8"/>
      <name val="Arial"/>
      <family val="2"/>
    </font>
    <font>
      <sz val="11"/>
      <name val="Tms Rmn"/>
      <family val="1"/>
    </font>
    <font>
      <sz val="10"/>
      <color theme="1"/>
      <name val="Arial"/>
      <family val="2"/>
    </font>
    <font>
      <sz val="8"/>
      <color indexed="12"/>
      <name val="Times New Roman"/>
      <family val="1"/>
    </font>
    <font>
      <sz val="10"/>
      <color indexed="24"/>
      <name val="Arial"/>
      <family val="2"/>
    </font>
    <font>
      <i/>
      <sz val="9"/>
      <name val="MS Sans Serif"/>
      <family val="2"/>
    </font>
    <font>
      <sz val="24"/>
      <name val="MS Sans Serif"/>
      <family val="2"/>
    </font>
    <font>
      <b/>
      <sz val="11"/>
      <name val="Times New Roman"/>
      <family val="1"/>
    </font>
    <font>
      <sz val="14"/>
      <name val="Palatino"/>
      <family val="1"/>
    </font>
    <font>
      <sz val="16"/>
      <name val="Palatino"/>
      <family val="1"/>
    </font>
    <font>
      <sz val="32"/>
      <name val="Helvetica-Black"/>
    </font>
    <font>
      <sz val="11"/>
      <color indexed="12"/>
      <name val="Book Antiqua"/>
      <family val="1"/>
    </font>
    <font>
      <sz val="11"/>
      <color rgb="FF000000"/>
      <name val="Calibri"/>
      <family val="2"/>
    </font>
    <font>
      <sz val="8"/>
      <color indexed="16"/>
      <name val="Palatino"/>
      <family val="1"/>
    </font>
    <font>
      <sz val="8"/>
      <name val="Helv"/>
    </font>
    <font>
      <b/>
      <sz val="14"/>
      <color indexed="10"/>
      <name val="Times New Roman"/>
      <family val="1"/>
    </font>
    <font>
      <sz val="12"/>
      <name val="TimesNewRomanPS"/>
    </font>
    <font>
      <b/>
      <sz val="12"/>
      <name val="Geneva"/>
      <family val="2"/>
    </font>
    <font>
      <b/>
      <i/>
      <shadow/>
      <sz val="14"/>
      <name val="Geneva"/>
      <family val="2"/>
    </font>
    <font>
      <sz val="8"/>
      <color indexed="14"/>
      <name val="Times New Roman"/>
      <family val="1"/>
    </font>
    <font>
      <u val="doubleAccounting"/>
      <sz val="10"/>
      <name val="Arial"/>
      <family val="2"/>
    </font>
    <font>
      <b/>
      <i/>
      <sz val="8"/>
      <color indexed="12"/>
      <name val="Arial"/>
      <family val="2"/>
    </font>
    <font>
      <i/>
      <sz val="11"/>
      <color indexed="23"/>
      <name val="Calibri"/>
      <family val="2"/>
    </font>
    <font>
      <sz val="10"/>
      <color indexed="2"/>
      <name val="Tahoma"/>
      <family val="2"/>
    </font>
    <font>
      <sz val="14"/>
      <color indexed="32"/>
      <name val="Times New Roman"/>
      <family val="1"/>
    </font>
    <font>
      <b/>
      <sz val="10"/>
      <color indexed="0"/>
      <name val="Tahoma"/>
      <family val="2"/>
    </font>
    <font>
      <sz val="6"/>
      <color indexed="23"/>
      <name val="Helvetica-Black"/>
    </font>
    <font>
      <sz val="9.5"/>
      <color indexed="23"/>
      <name val="Helvetica-Black"/>
    </font>
    <font>
      <sz val="9"/>
      <name val="GillSans Light"/>
    </font>
    <font>
      <sz val="7"/>
      <name val="Palatino"/>
      <family val="1"/>
    </font>
    <font>
      <u val="singleAccounting"/>
      <sz val="9"/>
      <color indexed="12"/>
      <name val="Arial"/>
      <family val="2"/>
    </font>
    <font>
      <sz val="9"/>
      <name val="Tms Rmn"/>
    </font>
    <font>
      <sz val="11"/>
      <color indexed="17"/>
      <name val="Calibri"/>
      <family val="2"/>
    </font>
    <font>
      <b/>
      <sz val="10"/>
      <color indexed="17"/>
      <name val="Helvetica"/>
    </font>
    <font>
      <sz val="9"/>
      <name val="Futura UBS Bk"/>
      <family val="2"/>
    </font>
    <font>
      <b/>
      <sz val="10"/>
      <color indexed="9"/>
      <name val="GillSans"/>
    </font>
    <font>
      <b/>
      <sz val="10"/>
      <color indexed="8"/>
      <name val="GillSans"/>
    </font>
    <font>
      <sz val="6"/>
      <color indexed="16"/>
      <name val="Palatino"/>
      <family val="1"/>
    </font>
    <font>
      <sz val="6"/>
      <name val="Palatino"/>
      <family val="1"/>
    </font>
    <font>
      <b/>
      <sz val="15"/>
      <color indexed="56"/>
      <name val="Calibri"/>
      <family val="2"/>
    </font>
    <font>
      <sz val="10"/>
      <name val="Helvetica-Black"/>
    </font>
    <font>
      <sz val="28"/>
      <name val="Helvetica-Black"/>
    </font>
    <font>
      <b/>
      <sz val="13"/>
      <color indexed="56"/>
      <name val="Calibri"/>
      <family val="2"/>
    </font>
    <font>
      <sz val="10"/>
      <name val="Palatino"/>
    </font>
    <font>
      <sz val="18"/>
      <name val="Palatino"/>
      <family val="1"/>
    </font>
    <font>
      <b/>
      <sz val="11"/>
      <color indexed="56"/>
      <name val="Calibri"/>
      <family val="2"/>
    </font>
    <font>
      <i/>
      <sz val="14"/>
      <name val="Palatino"/>
      <family val="1"/>
    </font>
    <font>
      <b/>
      <u/>
      <sz val="14"/>
      <name val="Geneva"/>
      <family val="2"/>
    </font>
    <font>
      <b/>
      <sz val="14"/>
      <name val="Geneva"/>
      <family val="2"/>
    </font>
    <font>
      <b/>
      <u/>
      <sz val="12"/>
      <name val="Geneva"/>
      <family val="2"/>
    </font>
    <font>
      <b/>
      <sz val="6"/>
      <name val="Palatino"/>
    </font>
    <font>
      <sz val="7"/>
      <color indexed="8"/>
      <name val="Tms Rmn"/>
    </font>
    <font>
      <sz val="11"/>
      <color indexed="62"/>
      <name val="Calibri"/>
      <family val="2"/>
    </font>
    <font>
      <b/>
      <sz val="12"/>
      <color indexed="8"/>
      <name val="Geneva"/>
      <family val="2"/>
    </font>
    <font>
      <sz val="10"/>
      <color indexed="12"/>
      <name val="Times New Roman"/>
      <family val="1"/>
    </font>
    <font>
      <sz val="8"/>
      <color indexed="12"/>
      <name val="Palatino"/>
      <family val="1"/>
    </font>
    <font>
      <sz val="10"/>
      <name val="GillSans Light"/>
    </font>
    <font>
      <u/>
      <sz val="10"/>
      <color indexed="12"/>
      <name val="Arial"/>
      <family val="2"/>
    </font>
    <font>
      <sz val="11"/>
      <color indexed="52"/>
      <name val="Calibri"/>
      <family val="2"/>
    </font>
    <font>
      <b/>
      <outline/>
      <sz val="9"/>
      <color indexed="14"/>
      <name val="Geneva"/>
      <family val="2"/>
    </font>
    <font>
      <b/>
      <i/>
      <sz val="10"/>
      <color indexed="4"/>
      <name val="Tahoma"/>
      <family val="2"/>
    </font>
    <font>
      <sz val="10"/>
      <color indexed="4"/>
      <name val="Tahoma"/>
      <family val="2"/>
    </font>
    <font>
      <sz val="10"/>
      <color indexed="12"/>
      <name val="Arial"/>
      <family val="2"/>
    </font>
    <font>
      <sz val="10"/>
      <name val="Palatino"/>
      <family val="1"/>
    </font>
    <font>
      <sz val="11"/>
      <color indexed="60"/>
      <name val="Calibri"/>
      <family val="2"/>
    </font>
    <font>
      <sz val="7"/>
      <name val="Small Fonts"/>
      <family val="2"/>
    </font>
    <font>
      <b/>
      <i/>
      <sz val="16"/>
      <name val="Helv"/>
    </font>
    <font>
      <sz val="11"/>
      <color theme="1"/>
      <name val="Arial Narrow"/>
      <family val="2"/>
    </font>
    <font>
      <b/>
      <sz val="12"/>
      <name val="Tms Rmn"/>
    </font>
    <font>
      <sz val="12"/>
      <name val="Geneva"/>
      <family val="2"/>
    </font>
    <font>
      <sz val="14"/>
      <color indexed="15"/>
      <name val="Geneva"/>
      <family val="2"/>
    </font>
    <font>
      <b/>
      <sz val="14"/>
      <color indexed="15"/>
      <name val="Geneva"/>
      <family val="2"/>
    </font>
    <font>
      <b/>
      <sz val="10"/>
      <color indexed="72"/>
      <name val="Arial"/>
      <family val="2"/>
    </font>
    <font>
      <b/>
      <sz val="13.5"/>
      <name val="MS Sans Serif"/>
      <family val="2"/>
    </font>
    <font>
      <b/>
      <sz val="11"/>
      <color indexed="63"/>
      <name val="Calibri"/>
      <family val="2"/>
    </font>
    <font>
      <b/>
      <sz val="26"/>
      <name val="Times New Roman"/>
      <family val="1"/>
    </font>
    <font>
      <b/>
      <sz val="18"/>
      <name val="Times New Roman"/>
      <family val="1"/>
    </font>
    <font>
      <sz val="10"/>
      <color indexed="16"/>
      <name val="Helvetica-Black"/>
    </font>
    <font>
      <b/>
      <sz val="9"/>
      <name val="Frutiger 45 Light"/>
      <family val="2"/>
    </font>
    <font>
      <i/>
      <sz val="8"/>
      <name val="Times New Roman"/>
      <family val="1"/>
    </font>
    <font>
      <sz val="8"/>
      <color indexed="32"/>
      <name val="Arial"/>
      <family val="2"/>
    </font>
    <font>
      <b/>
      <sz val="12"/>
      <name val="MS Sans Serif"/>
      <family val="2"/>
    </font>
    <font>
      <b/>
      <sz val="10"/>
      <name val="Tms Rmn"/>
    </font>
    <font>
      <b/>
      <sz val="10"/>
      <name val="GillSans"/>
    </font>
    <font>
      <b/>
      <sz val="9"/>
      <name val="Palatino"/>
      <family val="1"/>
    </font>
    <font>
      <sz val="9"/>
      <color indexed="21"/>
      <name val="Helvetica-Black"/>
    </font>
    <font>
      <sz val="9"/>
      <name val="Helvetica-Black"/>
    </font>
    <font>
      <b/>
      <sz val="16"/>
      <color indexed="12"/>
      <name val="Arial"/>
      <family val="2"/>
    </font>
    <font>
      <b/>
      <sz val="11"/>
      <color indexed="9"/>
      <name val="GillSans"/>
    </font>
    <font>
      <b/>
      <sz val="11"/>
      <name val="GillSans"/>
    </font>
    <font>
      <b/>
      <sz val="9"/>
      <name val="Times New Roman"/>
      <family val="1"/>
    </font>
    <font>
      <b/>
      <sz val="10"/>
      <name val="Times New Roman"/>
      <family val="1"/>
    </font>
    <font>
      <b/>
      <sz val="14"/>
      <color indexed="12"/>
      <name val="Arial"/>
      <family val="2"/>
    </font>
    <font>
      <b/>
      <sz val="11"/>
      <color rgb="FF00B050"/>
      <name val="Calibri"/>
      <family val="2"/>
      <scheme val="minor"/>
    </font>
    <font>
      <b/>
      <sz val="11"/>
      <color rgb="FF0000FF"/>
      <name val="Calibri"/>
      <family val="2"/>
      <scheme val="minor"/>
    </font>
    <font>
      <sz val="11"/>
      <name val="Times New Roman"/>
      <family val="1"/>
    </font>
    <font>
      <b/>
      <i/>
      <sz val="11"/>
      <color rgb="FFFF0000"/>
      <name val="Calibri"/>
      <family val="2"/>
      <scheme val="minor"/>
    </font>
    <font>
      <sz val="10"/>
      <name val="Arial"/>
      <family val="2"/>
    </font>
    <font>
      <sz val="10"/>
      <name val="Arial"/>
      <family val="2"/>
    </font>
    <font>
      <sz val="10"/>
      <name val="Arial"/>
      <family val="2"/>
    </font>
    <font>
      <sz val="12"/>
      <color theme="1"/>
      <name val="Calibri"/>
      <family val="2"/>
      <scheme val="minor"/>
    </font>
    <font>
      <sz val="10"/>
      <name val="Arial"/>
      <family val="2"/>
    </font>
    <font>
      <sz val="10"/>
      <name val="Arial"/>
      <family val="2"/>
    </font>
    <font>
      <sz val="10"/>
      <name val="Arial"/>
      <family val="2"/>
    </font>
    <font>
      <sz val="8"/>
      <name val="Calibri"/>
      <family val="2"/>
      <scheme val="minor"/>
    </font>
    <font>
      <b/>
      <i/>
      <sz val="11"/>
      <name val="Calibri"/>
      <family val="2"/>
      <scheme val="minor"/>
    </font>
    <font>
      <b/>
      <sz val="14"/>
      <color theme="0"/>
      <name val="Arial"/>
      <family val="2"/>
    </font>
    <font>
      <b/>
      <sz val="14"/>
      <color theme="1"/>
      <name val="Arial"/>
      <family val="2"/>
    </font>
    <font>
      <sz val="14"/>
      <color theme="1"/>
      <name val="Arial"/>
      <family val="2"/>
    </font>
    <font>
      <sz val="14"/>
      <name val="Arial"/>
      <family val="2"/>
    </font>
    <font>
      <sz val="9"/>
      <color theme="1"/>
      <name val="Arial"/>
      <family val="2"/>
    </font>
    <font>
      <b/>
      <sz val="10"/>
      <color theme="0"/>
      <name val="Arial"/>
      <family val="2"/>
    </font>
    <font>
      <sz val="10"/>
      <name val="Arial"/>
      <family val="2"/>
    </font>
    <font>
      <sz val="11"/>
      <color rgb="FF00B050"/>
      <name val="Calibri"/>
      <family val="2"/>
      <scheme val="minor"/>
    </font>
    <font>
      <sz val="10"/>
      <name val="Arial"/>
      <family val="2"/>
    </font>
    <font>
      <sz val="10"/>
      <name val="Arial"/>
      <family val="2"/>
    </font>
    <font>
      <i/>
      <sz val="10"/>
      <color theme="1"/>
      <name val="Calibri"/>
      <family val="2"/>
      <scheme val="minor"/>
    </font>
    <font>
      <b/>
      <sz val="12"/>
      <color rgb="FF0B3047"/>
      <name val="Arial"/>
      <family val="2"/>
    </font>
    <font>
      <sz val="11"/>
      <color rgb="FF3C4F58"/>
      <name val="Calibri"/>
      <family val="2"/>
      <scheme val="minor"/>
    </font>
    <font>
      <b/>
      <sz val="14"/>
      <color rgb="FF3C4F58"/>
      <name val="Arial"/>
      <family val="2"/>
    </font>
    <font>
      <sz val="14"/>
      <color rgb="FF3C4F58"/>
      <name val="Arial"/>
      <family val="2"/>
    </font>
    <font>
      <i/>
      <sz val="14"/>
      <color rgb="FF3C4F58"/>
      <name val="Arial"/>
      <family val="2"/>
    </font>
    <font>
      <b/>
      <sz val="12"/>
      <color rgb="FF3C4F58"/>
      <name val="Arial"/>
      <family val="2"/>
    </font>
    <font>
      <sz val="12"/>
      <color rgb="FF3C4F58"/>
      <name val="Calibri"/>
      <family val="2"/>
      <scheme val="minor"/>
    </font>
    <font>
      <sz val="10"/>
      <name val="Arial"/>
      <family val="2"/>
    </font>
    <font>
      <sz val="10"/>
      <name val="Arial"/>
      <family val="2"/>
    </font>
    <font>
      <sz val="10"/>
      <name val="Arial"/>
      <family val="2"/>
    </font>
    <font>
      <sz val="10"/>
      <name val="Arial"/>
      <family val="2"/>
    </font>
    <font>
      <sz val="10"/>
      <name val="Arial"/>
      <family val="2"/>
    </font>
    <font>
      <u/>
      <sz val="11"/>
      <color theme="10"/>
      <name val="Calibri"/>
      <family val="2"/>
      <scheme val="minor"/>
    </font>
    <font>
      <b/>
      <sz val="10"/>
      <name val="Arial"/>
      <family val="2"/>
    </font>
    <font>
      <sz val="36"/>
      <color rgb="FF3C4F58"/>
      <name val="Arial"/>
      <family val="2"/>
    </font>
    <font>
      <sz val="10"/>
      <color rgb="FF3C4F58"/>
      <name val="Arial"/>
      <family val="2"/>
    </font>
    <font>
      <sz val="11"/>
      <color rgb="FF3C4F58"/>
      <name val="Arial"/>
      <family val="2"/>
    </font>
    <font>
      <b/>
      <sz val="11"/>
      <color rgb="FF3C4F58"/>
      <name val="Arial"/>
      <family val="2"/>
    </font>
    <font>
      <sz val="10"/>
      <color rgb="FF3C4F58"/>
      <name val="Times New Roman"/>
      <family val="1"/>
    </font>
    <font>
      <sz val="8"/>
      <color rgb="FF3C4F58"/>
      <name val="Times New Roman"/>
      <family val="1"/>
    </font>
    <font>
      <sz val="10"/>
      <color indexed="8"/>
      <name val="Times New Roman"/>
      <family val="1"/>
    </font>
    <font>
      <b/>
      <sz val="10"/>
      <color rgb="FF3C4F58"/>
      <name val="Arial"/>
      <family val="2"/>
    </font>
    <font>
      <sz val="11"/>
      <color rgb="FF3C4F58"/>
      <name val="Times New Roman"/>
      <family val="1"/>
    </font>
    <font>
      <b/>
      <sz val="11"/>
      <color rgb="FF3C4F58"/>
      <name val="Arial Narrow"/>
      <family val="2"/>
    </font>
    <font>
      <sz val="8"/>
      <color rgb="FF3C4F58"/>
      <name val="Arial"/>
      <family val="2"/>
    </font>
  </fonts>
  <fills count="52">
    <fill>
      <patternFill patternType="none"/>
    </fill>
    <fill>
      <patternFill patternType="gray125"/>
    </fill>
    <fill>
      <patternFill patternType="solid">
        <fgColor theme="8" tint="0.79998168889431442"/>
        <bgColor indexed="64"/>
      </patternFill>
    </fill>
    <fill>
      <patternFill patternType="solid">
        <fgColor indexed="9"/>
        <bgColor indexed="64"/>
      </patternFill>
    </fill>
    <fill>
      <patternFill patternType="solid">
        <fgColor indexed="22"/>
        <bgColor indexed="64"/>
      </patternFill>
    </fill>
    <fill>
      <patternFill patternType="solid">
        <f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18"/>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indexed="51"/>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32"/>
        <bgColor indexed="64"/>
      </patternFill>
    </fill>
    <fill>
      <patternFill patternType="solid">
        <fgColor rgb="FF4F81BD"/>
        <bgColor indexed="64"/>
      </patternFill>
    </fill>
    <fill>
      <patternFill patternType="solid">
        <fgColor indexed="22"/>
      </patternFill>
    </fill>
    <fill>
      <patternFill patternType="lightGray">
        <fgColor indexed="15"/>
      </patternFill>
    </fill>
    <fill>
      <patternFill patternType="solid">
        <fgColor indexed="55"/>
      </patternFill>
    </fill>
    <fill>
      <patternFill patternType="lightGray">
        <fgColor indexed="12"/>
      </patternFill>
    </fill>
    <fill>
      <patternFill patternType="solid">
        <fgColor indexed="35"/>
        <bgColor indexed="64"/>
      </patternFill>
    </fill>
    <fill>
      <patternFill patternType="solid">
        <fgColor indexed="48"/>
      </patternFill>
    </fill>
    <fill>
      <patternFill patternType="mediumGray"/>
    </fill>
    <fill>
      <patternFill patternType="solid">
        <fgColor indexed="26"/>
        <bgColor indexed="64"/>
      </patternFill>
    </fill>
    <fill>
      <patternFill patternType="lightGray">
        <fgColor indexed="11"/>
        <bgColor indexed="9"/>
      </patternFill>
    </fill>
    <fill>
      <patternFill patternType="solid">
        <fgColor indexed="13"/>
      </patternFill>
    </fill>
    <fill>
      <patternFill patternType="solid">
        <fgColor indexed="26"/>
      </patternFill>
    </fill>
    <fill>
      <patternFill patternType="solid">
        <fgColor indexed="16"/>
        <bgColor indexed="64"/>
      </patternFill>
    </fill>
    <fill>
      <patternFill patternType="solid">
        <fgColor indexed="8"/>
        <bgColor indexed="64"/>
      </patternFill>
    </fill>
    <fill>
      <patternFill patternType="solid">
        <fgColor indexed="65"/>
        <bgColor indexed="64"/>
      </patternFill>
    </fill>
    <fill>
      <patternFill patternType="solid">
        <fgColor rgb="FFC0C0C0"/>
        <bgColor indexed="64"/>
      </patternFill>
    </fill>
    <fill>
      <patternFill patternType="solid">
        <fgColor theme="0"/>
        <bgColor indexed="64"/>
      </patternFill>
    </fill>
    <fill>
      <patternFill patternType="solid">
        <fgColor rgb="FF002060"/>
        <bgColor indexed="64"/>
      </patternFill>
    </fill>
    <fill>
      <patternFill patternType="solid">
        <fgColor theme="0" tint="-0.249977111117893"/>
        <bgColor indexed="64"/>
      </patternFill>
    </fill>
    <fill>
      <patternFill patternType="solid">
        <fgColor rgb="FF0B3047"/>
        <bgColor indexed="64"/>
      </patternFill>
    </fill>
    <fill>
      <patternFill patternType="solid">
        <fgColor rgb="FFFFFF00"/>
        <bgColor indexed="64"/>
      </patternFill>
    </fill>
  </fills>
  <borders count="8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hair">
        <color indexed="8"/>
      </top>
      <bottom style="hair">
        <color indexed="8"/>
      </bottom>
      <diagonal/>
    </border>
    <border>
      <left/>
      <right/>
      <top/>
      <bottom style="medium">
        <color indexed="18"/>
      </bottom>
      <diagonal/>
    </border>
    <border>
      <left style="medium">
        <color indexed="64"/>
      </left>
      <right style="medium">
        <color indexed="64"/>
      </right>
      <top/>
      <bottom style="thick">
        <color indexed="37"/>
      </bottom>
      <diagonal/>
    </border>
    <border>
      <left style="thin">
        <color indexed="9"/>
      </left>
      <right style="thin">
        <color indexed="9"/>
      </right>
      <top style="thin">
        <color indexed="9"/>
      </top>
      <bottom style="thin">
        <color indexed="9"/>
      </bottom>
      <diagonal/>
    </border>
    <border>
      <left/>
      <right/>
      <top/>
      <bottom style="thin">
        <color indexed="44"/>
      </bottom>
      <diagonal/>
    </border>
    <border>
      <left/>
      <right/>
      <top style="thin">
        <color indexed="8"/>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n">
        <color indexed="8"/>
      </bottom>
      <diagonal/>
    </border>
    <border>
      <left style="double">
        <color indexed="63"/>
      </left>
      <right style="double">
        <color indexed="63"/>
      </right>
      <top style="double">
        <color indexed="63"/>
      </top>
      <bottom style="double">
        <color indexed="63"/>
      </bottom>
      <diagonal/>
    </border>
    <border>
      <left/>
      <right/>
      <top/>
      <bottom style="hair">
        <color indexed="64"/>
      </bottom>
      <diagonal/>
    </border>
    <border>
      <left/>
      <right style="thin">
        <color indexed="8"/>
      </right>
      <top style="thin">
        <color indexed="8"/>
      </top>
      <bottom/>
      <diagonal/>
    </border>
    <border>
      <left/>
      <right/>
      <top/>
      <bottom style="dotted">
        <color indexed="64"/>
      </bottom>
      <diagonal/>
    </border>
    <border>
      <left style="dashed">
        <color indexed="64"/>
      </left>
      <right style="dashed">
        <color indexed="64"/>
      </right>
      <top style="dashed">
        <color indexed="64"/>
      </top>
      <bottom style="dashed">
        <color indexed="64"/>
      </bottom>
      <diagonal/>
    </border>
    <border>
      <left style="thin">
        <color indexed="9"/>
      </left>
      <right style="thin">
        <color indexed="9"/>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4"/>
      </bottom>
      <diagonal/>
    </border>
    <border>
      <left/>
      <right/>
      <top style="thin">
        <color indexed="64"/>
      </top>
      <bottom style="double">
        <color indexed="64"/>
      </bottom>
      <diagonal/>
    </border>
    <border>
      <left style="medium">
        <color indexed="64"/>
      </left>
      <right style="medium">
        <color indexed="64"/>
      </right>
      <top/>
      <bottom style="medium">
        <color indexed="64"/>
      </bottom>
      <diagonal/>
    </border>
    <border>
      <left style="thin">
        <color indexed="64"/>
      </left>
      <right/>
      <top/>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auto="1"/>
      </top>
      <bottom/>
      <diagonal/>
    </border>
    <border>
      <left/>
      <right/>
      <top/>
      <bottom style="medium">
        <color indexed="18"/>
      </bottom>
      <diagonal/>
    </border>
    <border>
      <left style="thin">
        <color indexed="9"/>
      </left>
      <right style="thin">
        <color indexed="9"/>
      </right>
      <top style="thin">
        <color indexed="9"/>
      </top>
      <bottom style="thin">
        <color indexed="9"/>
      </bottom>
      <diagonal/>
    </border>
    <border>
      <left/>
      <right/>
      <top style="thin">
        <color indexed="8"/>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style="thin">
        <color indexed="8"/>
      </right>
      <top style="thin">
        <color indexed="8"/>
      </top>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style="thin">
        <color indexed="63"/>
      </left>
      <right style="thin">
        <color indexed="63"/>
      </right>
      <top style="thin">
        <color indexed="63"/>
      </top>
      <bottom style="thin">
        <color indexed="63"/>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thin">
        <color indexed="64"/>
      </top>
      <bottom style="thin">
        <color indexed="64"/>
      </bottom>
      <diagonal/>
    </border>
  </borders>
  <cellStyleXfs count="1229">
    <xf numFmtId="0" fontId="0" fillId="0" borderId="0"/>
    <xf numFmtId="9" fontId="1"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 fillId="0" borderId="0"/>
    <xf numFmtId="0" fontId="1"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9" fontId="26" fillId="0" borderId="0">
      <alignment horizontal="right"/>
    </xf>
    <xf numFmtId="0" fontId="22" fillId="0" borderId="0"/>
    <xf numFmtId="5" fontId="27" fillId="0" borderId="0" applyFont="0" applyFill="0" applyBorder="0" applyAlignment="0" applyProtection="0"/>
    <xf numFmtId="8" fontId="27" fillId="0" borderId="0" applyFont="0" applyFill="0" applyBorder="0" applyAlignment="0" applyProtection="0"/>
    <xf numFmtId="173" fontId="28" fillId="0" borderId="0">
      <alignment horizontal="right"/>
    </xf>
    <xf numFmtId="0" fontId="29" fillId="0" borderId="0"/>
    <xf numFmtId="174" fontId="29" fillId="0" borderId="0">
      <alignment horizontal="right"/>
    </xf>
    <xf numFmtId="175" fontId="29" fillId="4" borderId="0"/>
    <xf numFmtId="176" fontId="29" fillId="4" borderId="0"/>
    <xf numFmtId="177" fontId="29" fillId="4" borderId="0"/>
    <xf numFmtId="178" fontId="29" fillId="4" borderId="0">
      <alignment horizontal="right"/>
    </xf>
    <xf numFmtId="9" fontId="27" fillId="0" borderId="0" applyFont="0" applyFill="0" applyBorder="0" applyAlignment="0" applyProtection="0"/>
    <xf numFmtId="0" fontId="15" fillId="0" borderId="0"/>
    <xf numFmtId="10" fontId="27" fillId="0" borderId="0" applyFont="0" applyFill="0" applyBorder="0" applyAlignment="0" applyProtection="0"/>
    <xf numFmtId="0" fontId="15" fillId="0" borderId="0"/>
    <xf numFmtId="0" fontId="15" fillId="0" borderId="0"/>
    <xf numFmtId="0" fontId="16" fillId="0" borderId="0" applyNumberFormat="0" applyFill="0" applyBorder="0" applyAlignment="0" applyProtection="0"/>
    <xf numFmtId="0" fontId="15" fillId="0" borderId="0" applyNumberFormat="0" applyFill="0" applyBorder="0" applyAlignment="0" applyProtection="0"/>
    <xf numFmtId="0" fontId="15" fillId="0" borderId="0"/>
    <xf numFmtId="0" fontId="22" fillId="0" borderId="0" applyFont="0" applyFill="0" applyBorder="0" applyAlignment="0"/>
    <xf numFmtId="179" fontId="30" fillId="0" borderId="0" applyFont="0" applyFill="0" applyBorder="0" applyAlignment="0" applyProtection="0"/>
    <xf numFmtId="180" fontId="30" fillId="0" borderId="0" applyFont="0" applyFill="0" applyBorder="0" applyAlignment="0" applyProtection="0"/>
    <xf numFmtId="0" fontId="31" fillId="0" borderId="0"/>
    <xf numFmtId="181" fontId="15" fillId="0" borderId="0" applyFont="0" applyFill="0" applyBorder="0" applyAlignment="0" applyProtection="0"/>
    <xf numFmtId="182" fontId="15" fillId="0" borderId="0" applyFont="0" applyFill="0" applyBorder="0" applyAlignment="0" applyProtection="0"/>
    <xf numFmtId="0" fontId="15" fillId="4" borderId="0"/>
    <xf numFmtId="183" fontId="15"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184" fontId="15" fillId="0" borderId="0" applyFont="0" applyFill="0" applyBorder="0" applyAlignment="0" applyProtection="0"/>
    <xf numFmtId="0" fontId="15" fillId="0" borderId="0" applyFont="0" applyFill="0" applyBorder="0" applyAlignment="0" applyProtection="0"/>
    <xf numFmtId="185"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6"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88" fontId="22" fillId="0" borderId="0" applyFont="0" applyFill="0" applyBorder="0" applyAlignment="0" applyProtection="0"/>
    <xf numFmtId="188" fontId="22"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90" fontId="15" fillId="0" borderId="0" applyFont="0" applyFill="0" applyBorder="0" applyAlignment="0" applyProtection="0"/>
    <xf numFmtId="190"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1" fontId="15" fillId="0" borderId="0" applyFont="0" applyFill="0" applyBorder="0" applyAlignment="0" applyProtection="0"/>
    <xf numFmtId="192" fontId="15" fillId="0" borderId="0" applyFont="0" applyFill="0" applyBorder="0" applyAlignment="0" applyProtection="0"/>
    <xf numFmtId="192"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194" fontId="15" fillId="0" borderId="0" applyFont="0" applyFill="0" applyBorder="0" applyAlignment="0" applyProtection="0"/>
    <xf numFmtId="194" fontId="15" fillId="0" borderId="0" applyFont="0" applyFill="0" applyBorder="0" applyAlignment="0" applyProtection="0"/>
    <xf numFmtId="194" fontId="15" fillId="0" borderId="0" applyFont="0" applyFill="0" applyBorder="0" applyAlignment="0" applyProtection="0"/>
    <xf numFmtId="195" fontId="15" fillId="0" borderId="0" applyFont="0" applyFill="0" applyBorder="0" applyAlignment="0" applyProtection="0"/>
    <xf numFmtId="0" fontId="32" fillId="0" borderId="0" applyNumberFormat="0" applyFill="0" applyBorder="0" applyAlignment="0" applyProtection="0"/>
    <xf numFmtId="0" fontId="15" fillId="5" borderId="0" applyNumberFormat="0" applyFont="0" applyAlignment="0" applyProtection="0"/>
    <xf numFmtId="190" fontId="15" fillId="0" borderId="0" applyFont="0" applyFill="0" applyBorder="0" applyAlignment="0" applyProtection="0"/>
    <xf numFmtId="190"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199" fontId="15" fillId="0" borderId="0" applyFont="0" applyFill="0" applyBorder="0" applyAlignment="0" applyProtection="0"/>
    <xf numFmtId="200" fontId="15"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201" fontId="15" fillId="0" borderId="0" applyFont="0" applyFill="0" applyBorder="0" applyAlignment="0" applyProtection="0"/>
    <xf numFmtId="201" fontId="15" fillId="0" borderId="0" applyFont="0" applyFill="0" applyBorder="0" applyAlignment="0" applyProtection="0"/>
    <xf numFmtId="199" fontId="15" fillId="0" borderId="0" applyFont="0" applyFill="0" applyBorder="0" applyAlignment="0" applyProtection="0"/>
    <xf numFmtId="199" fontId="15" fillId="0" borderId="0" applyFont="0" applyFill="0" applyBorder="0" applyAlignment="0" applyProtection="0"/>
    <xf numFmtId="202" fontId="15" fillId="0" borderId="0" applyFont="0" applyFill="0" applyBorder="0" applyAlignment="0" applyProtection="0"/>
    <xf numFmtId="202" fontId="15" fillId="0" borderId="0" applyFont="0" applyFill="0" applyBorder="0" applyAlignment="0" applyProtection="0"/>
    <xf numFmtId="203" fontId="15" fillId="0" borderId="0" applyFont="0" applyFill="0" applyBorder="0" applyAlignment="0" applyProtection="0"/>
    <xf numFmtId="203" fontId="15"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186" fontId="15" fillId="0" borderId="0" applyFont="0" applyFill="0" applyBorder="0" applyAlignment="0" applyProtection="0"/>
    <xf numFmtId="186" fontId="15" fillId="0" borderId="0" applyFont="0" applyFill="0" applyBorder="0" applyAlignment="0" applyProtection="0"/>
    <xf numFmtId="204" fontId="15" fillId="0" borderId="0" applyFont="0" applyFill="0" applyBorder="0" applyProtection="0">
      <alignment horizontal="right"/>
    </xf>
    <xf numFmtId="205" fontId="15" fillId="0" borderId="0" applyFont="0" applyFill="0" applyBorder="0" applyProtection="0">
      <alignment horizontal="right"/>
    </xf>
    <xf numFmtId="204" fontId="15" fillId="0" borderId="0" applyFont="0" applyFill="0" applyBorder="0" applyProtection="0">
      <alignment horizontal="right"/>
    </xf>
    <xf numFmtId="204" fontId="15" fillId="0" borderId="0" applyFont="0" applyFill="0" applyBorder="0" applyProtection="0">
      <alignment horizontal="right"/>
    </xf>
    <xf numFmtId="206" fontId="15" fillId="0" borderId="0" applyFont="0" applyFill="0" applyBorder="0" applyAlignment="0" applyProtection="0"/>
    <xf numFmtId="206" fontId="15" fillId="0" borderId="0" applyFont="0" applyFill="0" applyBorder="0" applyAlignment="0" applyProtection="0"/>
    <xf numFmtId="185"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6" fontId="15" fillId="0" borderId="0" applyFont="0" applyFill="0" applyBorder="0" applyAlignment="0" applyProtection="0"/>
    <xf numFmtId="207" fontId="15" fillId="0" borderId="0" applyFont="0" applyFill="0" applyBorder="0" applyAlignment="0" applyProtection="0"/>
    <xf numFmtId="207" fontId="15" fillId="0" borderId="0" applyFont="0" applyFill="0" applyBorder="0" applyAlignment="0" applyProtection="0"/>
    <xf numFmtId="208" fontId="15" fillId="0" borderId="0" applyFont="0" applyFill="0" applyBorder="0" applyAlignment="0" applyProtection="0"/>
    <xf numFmtId="208"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187" fontId="15" fillId="0" borderId="0" applyFont="0" applyFill="0" applyBorder="0" applyAlignment="0" applyProtection="0"/>
    <xf numFmtId="187" fontId="15"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188" fontId="22" fillId="0" borderId="0" applyFont="0" applyFill="0" applyBorder="0" applyAlignment="0" applyProtection="0"/>
    <xf numFmtId="188" fontId="22" fillId="0" borderId="0" applyFont="0" applyFill="0" applyBorder="0" applyAlignment="0" applyProtection="0"/>
    <xf numFmtId="189" fontId="15" fillId="0" borderId="0" applyFont="0" applyFill="0" applyBorder="0" applyAlignment="0" applyProtection="0"/>
    <xf numFmtId="189" fontId="15" fillId="0" borderId="0" applyFont="0" applyFill="0" applyBorder="0" applyAlignment="0" applyProtection="0"/>
    <xf numFmtId="190" fontId="15" fillId="0" borderId="0" applyFont="0" applyFill="0" applyBorder="0" applyAlignment="0" applyProtection="0"/>
    <xf numFmtId="190" fontId="15" fillId="0" borderId="0" applyFont="0" applyFill="0" applyBorder="0" applyAlignment="0" applyProtection="0"/>
    <xf numFmtId="196" fontId="15" fillId="0" borderId="0" applyFont="0" applyFill="0" applyBorder="0" applyAlignment="0" applyProtection="0"/>
    <xf numFmtId="196" fontId="15" fillId="0" borderId="0" applyFont="0" applyFill="0" applyBorder="0" applyAlignment="0" applyProtection="0"/>
    <xf numFmtId="209" fontId="15" fillId="0" borderId="0" applyFont="0" applyFill="0" applyBorder="0" applyAlignment="0" applyProtection="0"/>
    <xf numFmtId="209" fontId="15" fillId="0" borderId="0" applyFont="0" applyFill="0" applyBorder="0" applyAlignment="0" applyProtection="0"/>
    <xf numFmtId="210" fontId="15" fillId="0" borderId="0" applyFont="0" applyFill="0" applyBorder="0" applyAlignment="0" applyProtection="0"/>
    <xf numFmtId="210"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0" fontId="33" fillId="0" borderId="0" applyNumberFormat="0" applyFill="0" applyBorder="0" applyProtection="0">
      <alignment vertical="top"/>
    </xf>
    <xf numFmtId="0" fontId="34" fillId="0" borderId="30" applyNumberFormat="0" applyFill="0" applyAlignment="0" applyProtection="0"/>
    <xf numFmtId="0" fontId="35" fillId="0" borderId="31" applyNumberFormat="0" applyFill="0" applyProtection="0">
      <alignment horizontal="center"/>
    </xf>
    <xf numFmtId="0" fontId="35" fillId="0" borderId="0" applyNumberFormat="0" applyFill="0" applyBorder="0" applyProtection="0">
      <alignment horizontal="left"/>
    </xf>
    <xf numFmtId="0" fontId="36" fillId="0" borderId="0" applyNumberFormat="0" applyFill="0" applyBorder="0" applyProtection="0">
      <alignment horizontal="centerContinuous"/>
    </xf>
    <xf numFmtId="0" fontId="15" fillId="0" borderId="0"/>
    <xf numFmtId="211" fontId="37" fillId="0" borderId="0" applyFont="0" applyFill="0" applyBorder="0" applyAlignment="0" applyProtection="0"/>
    <xf numFmtId="212" fontId="37" fillId="0" borderId="0" applyFont="0" applyFill="0" applyBorder="0" applyAlignment="0" applyProtection="0"/>
    <xf numFmtId="213" fontId="38" fillId="0" borderId="0" applyFont="0" applyFill="0" applyBorder="0" applyAlignment="0" applyProtection="0"/>
    <xf numFmtId="213" fontId="38" fillId="0" borderId="0" applyFont="0" applyFill="0" applyBorder="0" applyAlignment="0" applyProtection="0"/>
    <xf numFmtId="214" fontId="38" fillId="0" borderId="0" applyFont="0" applyFill="0" applyBorder="0" applyAlignment="0" applyProtection="0"/>
    <xf numFmtId="214" fontId="38" fillId="0" borderId="0" applyFont="0" applyFill="0" applyBorder="0" applyAlignment="0" applyProtection="0"/>
    <xf numFmtId="0" fontId="15" fillId="0" borderId="0"/>
    <xf numFmtId="0" fontId="15" fillId="0" borderId="0"/>
    <xf numFmtId="0" fontId="37" fillId="0" borderId="0"/>
    <xf numFmtId="0" fontId="22" fillId="0" borderId="0"/>
    <xf numFmtId="0" fontId="15" fillId="0" borderId="0" applyFont="0" applyFill="0" applyBorder="0" applyAlignment="0" applyProtection="0"/>
    <xf numFmtId="0" fontId="15" fillId="0" borderId="0" applyFont="0" applyFill="0" applyBorder="0" applyAlignment="0" applyProtection="0"/>
    <xf numFmtId="0" fontId="15" fillId="0" borderId="0"/>
    <xf numFmtId="0" fontId="39" fillId="0" borderId="0"/>
    <xf numFmtId="9" fontId="15" fillId="0" borderId="0"/>
    <xf numFmtId="9" fontId="15" fillId="0" borderId="0"/>
    <xf numFmtId="215" fontId="15" fillId="0" borderId="0"/>
    <xf numFmtId="215" fontId="15" fillId="0" borderId="0"/>
    <xf numFmtId="166" fontId="18" fillId="0" borderId="0"/>
    <xf numFmtId="216" fontId="22" fillId="0" borderId="0"/>
    <xf numFmtId="2" fontId="39" fillId="0" borderId="0"/>
    <xf numFmtId="10" fontId="39" fillId="0" borderId="0"/>
    <xf numFmtId="183" fontId="15" fillId="0" borderId="0"/>
    <xf numFmtId="183" fontId="15" fillId="0" borderId="0"/>
    <xf numFmtId="0" fontId="40" fillId="6"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9" borderId="0" applyNumberFormat="0" applyBorder="0" applyAlignment="0" applyProtection="0"/>
    <xf numFmtId="0" fontId="40" fillId="12" borderId="0" applyNumberFormat="0" applyBorder="0" applyAlignment="0" applyProtection="0"/>
    <xf numFmtId="0" fontId="40" fillId="15" borderId="0" applyNumberFormat="0" applyBorder="0" applyAlignment="0" applyProtection="0"/>
    <xf numFmtId="0" fontId="41" fillId="16" borderId="0" applyNumberFormat="0" applyBorder="0" applyAlignment="0" applyProtection="0"/>
    <xf numFmtId="0" fontId="41" fillId="13" borderId="0" applyNumberFormat="0" applyBorder="0" applyAlignment="0" applyProtection="0"/>
    <xf numFmtId="0" fontId="41" fillId="14"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41" fillId="19" borderId="0" applyNumberFormat="0" applyBorder="0" applyAlignment="0" applyProtection="0"/>
    <xf numFmtId="37" fontId="42" fillId="0" borderId="0">
      <alignment horizontal="center"/>
    </xf>
    <xf numFmtId="183" fontId="19" fillId="4" borderId="0" applyFont="0" applyBorder="0"/>
    <xf numFmtId="0" fontId="43" fillId="20" borderId="0"/>
    <xf numFmtId="183" fontId="19" fillId="21" borderId="0" applyNumberFormat="0" applyFont="0" applyBorder="0" applyAlignment="0" applyProtection="0"/>
    <xf numFmtId="183" fontId="44" fillId="22" borderId="0" applyNumberFormat="0" applyFont="0" applyBorder="0" applyAlignment="0" applyProtection="0"/>
    <xf numFmtId="183" fontId="24" fillId="23" borderId="0" applyBorder="0"/>
    <xf numFmtId="183" fontId="15" fillId="0" borderId="29" applyNumberFormat="0" applyBorder="0" applyAlignment="0" applyProtection="0"/>
    <xf numFmtId="164" fontId="26" fillId="0" borderId="0" applyBorder="0">
      <alignment horizontal="right"/>
    </xf>
    <xf numFmtId="164" fontId="24" fillId="0" borderId="29" applyBorder="0">
      <alignment horizontal="right"/>
    </xf>
    <xf numFmtId="166" fontId="45" fillId="0" borderId="0" applyBorder="0">
      <alignment horizontal="right"/>
    </xf>
    <xf numFmtId="166" fontId="46" fillId="0" borderId="29" applyBorder="0">
      <alignment horizontal="right"/>
    </xf>
    <xf numFmtId="183" fontId="47" fillId="0" borderId="0">
      <alignment horizontal="left" indent="1"/>
    </xf>
    <xf numFmtId="183" fontId="20" fillId="0" borderId="11" applyBorder="0"/>
    <xf numFmtId="183" fontId="20" fillId="0" borderId="11" applyBorder="0"/>
    <xf numFmtId="183" fontId="19" fillId="24" borderId="29" applyNumberFormat="0" applyFont="0" applyBorder="0" applyAlignment="0" applyProtection="0"/>
    <xf numFmtId="164" fontId="48" fillId="25" borderId="11" applyBorder="0">
      <alignment horizontal="right"/>
    </xf>
    <xf numFmtId="164" fontId="48" fillId="25" borderId="11" applyBorder="0">
      <alignment horizontal="right"/>
    </xf>
    <xf numFmtId="164" fontId="48" fillId="0" borderId="11" applyBorder="0">
      <alignment horizontal="right"/>
    </xf>
    <xf numFmtId="164" fontId="48" fillId="0" borderId="11" applyBorder="0">
      <alignment horizontal="right"/>
    </xf>
    <xf numFmtId="183" fontId="17" fillId="0" borderId="29" applyNumberFormat="0" applyBorder="0" applyAlignment="0" applyProtection="0"/>
    <xf numFmtId="0" fontId="48" fillId="4" borderId="32" applyBorder="0">
      <alignment horizontal="center"/>
    </xf>
    <xf numFmtId="0" fontId="41" fillId="26" borderId="0" applyNumberFormat="0" applyBorder="0" applyAlignment="0" applyProtection="0"/>
    <xf numFmtId="0" fontId="41" fillId="27" borderId="0" applyNumberFormat="0" applyBorder="0" applyAlignment="0" applyProtection="0"/>
    <xf numFmtId="0" fontId="41" fillId="28" borderId="0" applyNumberFormat="0" applyBorder="0" applyAlignment="0" applyProtection="0"/>
    <xf numFmtId="0" fontId="41" fillId="17" borderId="0" applyNumberFormat="0" applyBorder="0" applyAlignment="0" applyProtection="0"/>
    <xf numFmtId="0" fontId="41" fillId="18" borderId="0" applyNumberFormat="0" applyBorder="0" applyAlignment="0" applyProtection="0"/>
    <xf numFmtId="0" fontId="41" fillId="29" borderId="0" applyNumberFormat="0" applyBorder="0" applyAlignment="0" applyProtection="0"/>
    <xf numFmtId="217" fontId="49" fillId="0" borderId="0" applyFont="0" applyFill="0" applyBorder="0" applyAlignment="0" applyProtection="0"/>
    <xf numFmtId="218" fontId="22" fillId="0" borderId="14"/>
    <xf numFmtId="219" fontId="22" fillId="0" borderId="16"/>
    <xf numFmtId="219" fontId="22" fillId="0" borderId="16"/>
    <xf numFmtId="219" fontId="22" fillId="0" borderId="15" applyBorder="0"/>
    <xf numFmtId="219" fontId="22" fillId="0" borderId="15" applyBorder="0"/>
    <xf numFmtId="220" fontId="50" fillId="0" borderId="0">
      <alignment horizontal="left"/>
    </xf>
    <xf numFmtId="0" fontId="15" fillId="0" borderId="0" applyNumberFormat="0" applyFill="0" applyBorder="0" applyAlignment="0" applyProtection="0"/>
    <xf numFmtId="0" fontId="18" fillId="0" borderId="0" applyNumberFormat="0" applyFill="0" applyBorder="0" applyAlignment="0" applyProtection="0"/>
    <xf numFmtId="0" fontId="51" fillId="0" borderId="33" applyNumberFormat="0" applyFill="0" applyBorder="0" applyAlignment="0" applyProtection="0"/>
    <xf numFmtId="0" fontId="51" fillId="0" borderId="33" applyNumberFormat="0" applyFill="0" applyBorder="0" applyAlignment="0" applyProtection="0"/>
    <xf numFmtId="0" fontId="24" fillId="0" borderId="33" applyNumberFormat="0" applyFill="0" applyAlignment="0" applyProtection="0"/>
    <xf numFmtId="0" fontId="24" fillId="0" borderId="33" applyNumberFormat="0" applyFill="0" applyAlignment="0" applyProtection="0"/>
    <xf numFmtId="0" fontId="52" fillId="7" borderId="0" applyNumberFormat="0" applyBorder="0" applyAlignment="0" applyProtection="0"/>
    <xf numFmtId="221" fontId="53" fillId="0" borderId="0" applyFill="0" applyBorder="0" applyProtection="0"/>
    <xf numFmtId="221" fontId="53" fillId="0" borderId="0" applyFill="0" applyBorder="0" applyProtection="0"/>
    <xf numFmtId="1" fontId="54" fillId="30" borderId="13" applyNumberFormat="0" applyBorder="0" applyAlignment="0">
      <alignment horizontal="center" vertical="top" wrapText="1"/>
      <protection hidden="1"/>
    </xf>
    <xf numFmtId="183" fontId="23" fillId="0" borderId="0" applyNumberFormat="0" applyFill="0" applyBorder="0" applyAlignment="0" applyProtection="0"/>
    <xf numFmtId="0" fontId="55" fillId="31" borderId="0"/>
    <xf numFmtId="0" fontId="56" fillId="0" borderId="0" applyNumberFormat="0" applyFill="0" applyBorder="0" applyAlignment="0" applyProtection="0"/>
    <xf numFmtId="222" fontId="57" fillId="0" borderId="0" applyBorder="0" applyProtection="0"/>
    <xf numFmtId="223" fontId="15" fillId="0" borderId="0"/>
    <xf numFmtId="223" fontId="15" fillId="0" borderId="0"/>
    <xf numFmtId="0" fontId="22" fillId="0" borderId="0"/>
    <xf numFmtId="0" fontId="58" fillId="0" borderId="16" applyNumberFormat="0" applyFill="0" applyAlignment="0" applyProtection="0"/>
    <xf numFmtId="0" fontId="58" fillId="0" borderId="16" applyNumberFormat="0" applyFill="0" applyAlignment="0" applyProtection="0"/>
    <xf numFmtId="5" fontId="59" fillId="0" borderId="11" applyAlignment="0" applyProtection="0"/>
    <xf numFmtId="5" fontId="59" fillId="0" borderId="11" applyAlignment="0" applyProtection="0"/>
    <xf numFmtId="5" fontId="59" fillId="0" borderId="11" applyAlignment="0" applyProtection="0"/>
    <xf numFmtId="0" fontId="53" fillId="0" borderId="8" applyNumberFormat="0" applyFont="0" applyFill="0" applyAlignment="0" applyProtection="0"/>
    <xf numFmtId="0" fontId="53" fillId="0" borderId="34" applyNumberFormat="0" applyFont="0" applyFill="0" applyAlignment="0" applyProtection="0"/>
    <xf numFmtId="0" fontId="53" fillId="0" borderId="34" applyNumberFormat="0" applyFont="0" applyFill="0" applyAlignment="0" applyProtection="0"/>
    <xf numFmtId="0" fontId="27" fillId="0" borderId="16" applyNumberFormat="0" applyFont="0" applyFill="0" applyAlignment="0" applyProtection="0"/>
    <xf numFmtId="0" fontId="27" fillId="0" borderId="16" applyNumberFormat="0" applyFont="0" applyFill="0" applyAlignment="0" applyProtection="0"/>
    <xf numFmtId="0" fontId="27" fillId="0" borderId="13" applyNumberFormat="0" applyFont="0" applyFill="0" applyAlignment="0" applyProtection="0"/>
    <xf numFmtId="0" fontId="27" fillId="0" borderId="14" applyNumberFormat="0" applyFont="0" applyFill="0" applyAlignment="0" applyProtection="0"/>
    <xf numFmtId="0" fontId="27" fillId="0" borderId="14" applyNumberFormat="0" applyFont="0" applyFill="0" applyAlignment="0" applyProtection="0"/>
    <xf numFmtId="0" fontId="27" fillId="0" borderId="14" applyNumberFormat="0" applyFont="0" applyFill="0" applyAlignment="0" applyProtection="0"/>
    <xf numFmtId="0" fontId="27" fillId="0" borderId="14" applyNumberFormat="0" applyFont="0" applyFill="0" applyAlignment="0" applyProtection="0"/>
    <xf numFmtId="0" fontId="27" fillId="0" borderId="14" applyNumberFormat="0" applyFont="0" applyFill="0" applyAlignment="0" applyProtection="0"/>
    <xf numFmtId="0" fontId="27" fillId="0" borderId="14" applyNumberFormat="0" applyFont="0" applyFill="0" applyAlignment="0" applyProtection="0"/>
    <xf numFmtId="0" fontId="27" fillId="0" borderId="14" applyNumberFormat="0" applyFont="0" applyFill="0" applyAlignment="0" applyProtection="0"/>
    <xf numFmtId="0" fontId="27" fillId="0" borderId="14" applyNumberFormat="0" applyFont="0" applyFill="0" applyAlignment="0" applyProtection="0"/>
    <xf numFmtId="0" fontId="27" fillId="0" borderId="11" applyNumberFormat="0" applyFont="0" applyFill="0" applyAlignment="0" applyProtection="0"/>
    <xf numFmtId="0" fontId="27" fillId="0" borderId="11" applyNumberFormat="0" applyFont="0" applyFill="0" applyAlignment="0" applyProtection="0"/>
    <xf numFmtId="0" fontId="27" fillId="0" borderId="11" applyNumberFormat="0" applyFont="0" applyFill="0" applyAlignment="0" applyProtection="0"/>
    <xf numFmtId="0" fontId="15" fillId="0" borderId="35" applyFill="0" applyProtection="0">
      <alignment horizontal="right"/>
    </xf>
    <xf numFmtId="0" fontId="15" fillId="0" borderId="35" applyFill="0" applyProtection="0">
      <alignment horizontal="right"/>
    </xf>
    <xf numFmtId="0" fontId="15" fillId="0" borderId="35" applyFill="0" applyProtection="0">
      <alignment horizontal="right"/>
    </xf>
    <xf numFmtId="0" fontId="15" fillId="0" borderId="35" applyFill="0" applyProtection="0">
      <alignment horizontal="right"/>
    </xf>
    <xf numFmtId="0" fontId="15" fillId="0" borderId="35" applyFill="0" applyProtection="0">
      <alignment horizontal="right"/>
    </xf>
    <xf numFmtId="0" fontId="15" fillId="0" borderId="35" applyFill="0" applyProtection="0">
      <alignment horizontal="right"/>
    </xf>
    <xf numFmtId="0" fontId="60" fillId="0" borderId="16" applyNumberFormat="0" applyFont="0" applyFill="0" applyAlignment="0" applyProtection="0"/>
    <xf numFmtId="0" fontId="60" fillId="0" borderId="16" applyNumberFormat="0" applyFont="0" applyFill="0" applyAlignment="0" applyProtection="0"/>
    <xf numFmtId="193" fontId="57" fillId="0" borderId="0" applyFont="0" applyFill="0" applyBorder="0" applyAlignment="0" applyProtection="0"/>
    <xf numFmtId="224" fontId="38" fillId="0" borderId="0" applyFont="0" applyFill="0" applyBorder="0" applyAlignment="0" applyProtection="0"/>
    <xf numFmtId="224" fontId="38" fillId="0" borderId="0" applyFont="0" applyFill="0" applyBorder="0" applyAlignment="0" applyProtection="0"/>
    <xf numFmtId="49" fontId="61" fillId="24" borderId="36" applyNumberFormat="0">
      <alignment horizontal="left" vertical="top" wrapText="1"/>
      <protection locked="0"/>
    </xf>
    <xf numFmtId="49" fontId="61" fillId="24" borderId="36" applyNumberFormat="0">
      <alignment horizontal="left" vertical="top" wrapText="1"/>
      <protection locked="0"/>
    </xf>
    <xf numFmtId="0" fontId="24" fillId="0" borderId="0"/>
    <xf numFmtId="225" fontId="22" fillId="0" borderId="0" applyFill="0" applyBorder="0" applyAlignment="0"/>
    <xf numFmtId="0" fontId="62" fillId="32" borderId="37" applyNumberFormat="0" applyAlignment="0" applyProtection="0"/>
    <xf numFmtId="0" fontId="62" fillId="32" borderId="37" applyNumberFormat="0" applyAlignment="0" applyProtection="0"/>
    <xf numFmtId="186" fontId="63" fillId="33" borderId="0" applyNumberFormat="0" applyFont="0" applyBorder="0" applyAlignment="0">
      <alignment horizontal="left"/>
    </xf>
    <xf numFmtId="221" fontId="53" fillId="0" borderId="0" applyFill="0" applyBorder="0" applyProtection="0"/>
    <xf numFmtId="221" fontId="53" fillId="0" borderId="0" applyFill="0" applyBorder="0" applyProtection="0"/>
    <xf numFmtId="221" fontId="64" fillId="0" borderId="0" applyFont="0" applyFill="0" applyBorder="0" applyAlignment="0" applyProtection="0"/>
    <xf numFmtId="221" fontId="64" fillId="0" borderId="0" applyFont="0" applyFill="0" applyBorder="0" applyAlignment="0" applyProtection="0"/>
    <xf numFmtId="221" fontId="64" fillId="0" borderId="0" applyFont="0" applyFill="0" applyBorder="0" applyAlignment="0" applyProtection="0"/>
    <xf numFmtId="8" fontId="15" fillId="0" borderId="38" applyFont="0" applyFill="0" applyBorder="0" applyProtection="0">
      <alignment horizontal="right"/>
    </xf>
    <xf numFmtId="8" fontId="15" fillId="0" borderId="38" applyFont="0" applyFill="0" applyBorder="0" applyProtection="0">
      <alignment horizontal="right"/>
    </xf>
    <xf numFmtId="8" fontId="15" fillId="0" borderId="38" applyFont="0" applyFill="0" applyBorder="0" applyProtection="0">
      <alignment horizontal="right"/>
    </xf>
    <xf numFmtId="8" fontId="15" fillId="0" borderId="38" applyFont="0" applyFill="0" applyBorder="0" applyProtection="0">
      <alignment horizontal="right"/>
    </xf>
    <xf numFmtId="1" fontId="65" fillId="0" borderId="0"/>
    <xf numFmtId="0" fontId="55" fillId="34" borderId="39" applyNumberFormat="0" applyAlignment="0" applyProtection="0"/>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226" fontId="22" fillId="0" borderId="11" applyNumberFormat="0" applyFont="0" applyFill="0" applyBorder="0" applyAlignment="0" applyProtection="0">
      <alignment horizontal="right"/>
    </xf>
    <xf numFmtId="0" fontId="15" fillId="0" borderId="0" applyNumberFormat="0" applyFont="0" applyFill="0" applyAlignment="0" applyProtection="0"/>
    <xf numFmtId="0" fontId="15" fillId="0" borderId="0" applyNumberFormat="0" applyFont="0" applyFill="0" applyAlignment="0" applyProtection="0"/>
    <xf numFmtId="0" fontId="66" fillId="0" borderId="16" applyNumberFormat="0" applyFill="0" applyBorder="0" applyAlignment="0" applyProtection="0">
      <alignment horizontal="center"/>
    </xf>
    <xf numFmtId="0" fontId="66" fillId="0" borderId="16" applyNumberFormat="0" applyFill="0" applyBorder="0" applyAlignment="0" applyProtection="0">
      <alignment horizontal="center"/>
    </xf>
    <xf numFmtId="0" fontId="67" fillId="0" borderId="16" applyNumberFormat="0" applyFill="0" applyProtection="0">
      <alignment horizontal="left" vertical="center"/>
    </xf>
    <xf numFmtId="0" fontId="39" fillId="0" borderId="0">
      <alignment horizontal="center" wrapText="1"/>
      <protection hidden="1"/>
    </xf>
    <xf numFmtId="0" fontId="68" fillId="0" borderId="40" applyNumberFormat="0" applyFill="0" applyProtection="0">
      <alignment horizontal="center" vertical="center"/>
    </xf>
    <xf numFmtId="0" fontId="69" fillId="0" borderId="16" applyNumberFormat="0" applyFill="0" applyBorder="0" applyProtection="0">
      <alignment horizontal="right" vertical="center"/>
    </xf>
    <xf numFmtId="0" fontId="69" fillId="0" borderId="16" applyNumberFormat="0" applyFill="0" applyBorder="0" applyProtection="0">
      <alignment horizontal="right" vertical="center"/>
    </xf>
    <xf numFmtId="165" fontId="70" fillId="0" borderId="0" applyBorder="0">
      <alignment horizontal="right"/>
    </xf>
    <xf numFmtId="165" fontId="70" fillId="0" borderId="8" applyAlignment="0">
      <alignment horizontal="right"/>
    </xf>
    <xf numFmtId="227" fontId="71" fillId="0" borderId="0"/>
    <xf numFmtId="227" fontId="71" fillId="0" borderId="0"/>
    <xf numFmtId="227" fontId="71" fillId="0" borderId="0"/>
    <xf numFmtId="227" fontId="71" fillId="0" borderId="0"/>
    <xf numFmtId="227" fontId="71" fillId="0" borderId="0"/>
    <xf numFmtId="227" fontId="71" fillId="0" borderId="0"/>
    <xf numFmtId="227" fontId="71" fillId="0" borderId="0"/>
    <xf numFmtId="227" fontId="71" fillId="0" borderId="0"/>
    <xf numFmtId="183" fontId="22" fillId="0" borderId="0"/>
    <xf numFmtId="41" fontId="72" fillId="0" borderId="0" applyFont="0" applyFill="0" applyBorder="0" applyAlignment="0" applyProtection="0"/>
    <xf numFmtId="228" fontId="73" fillId="0" borderId="0" applyFont="0" applyFill="0" applyBorder="0" applyAlignment="0" applyProtection="0"/>
    <xf numFmtId="229" fontId="15" fillId="0" borderId="0" applyFont="0" applyFill="0" applyBorder="0" applyAlignment="0" applyProtection="0"/>
    <xf numFmtId="230" fontId="15" fillId="0" borderId="0" applyFont="0" applyFill="0" applyBorder="0" applyAlignment="0" applyProtection="0">
      <alignment horizontal="center"/>
    </xf>
    <xf numFmtId="230" fontId="15" fillId="0" borderId="0" applyFont="0" applyFill="0" applyBorder="0" applyAlignment="0" applyProtection="0">
      <alignment horizontal="center"/>
    </xf>
    <xf numFmtId="231" fontId="15" fillId="0" borderId="0" applyFont="0" applyFill="0" applyBorder="0" applyAlignment="0" applyProtection="0">
      <alignment horizontal="right"/>
    </xf>
    <xf numFmtId="0" fontId="15" fillId="0" borderId="0" applyFont="0" applyFill="0" applyBorder="0" applyAlignment="0" applyProtection="0"/>
    <xf numFmtId="229" fontId="15" fillId="0" borderId="0" applyFont="0" applyFill="0" applyBorder="0" applyAlignment="0" applyProtection="0">
      <alignment horizontal="right"/>
    </xf>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32" fontId="57" fillId="0" borderId="0" applyFont="0" applyFill="0" applyBorder="0" applyAlignment="0" applyProtection="0"/>
    <xf numFmtId="0" fontId="57" fillId="0" borderId="0" applyFont="0" applyFill="0" applyBorder="0" applyAlignment="0" applyProtection="0">
      <alignment horizontal="right"/>
    </xf>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2" fillId="0" borderId="0" applyFont="0" applyFill="0" applyBorder="0" applyAlignment="0" applyProtection="0"/>
    <xf numFmtId="233" fontId="57" fillId="0" borderId="0" applyFont="0" applyFill="0" applyBorder="0" applyAlignment="0" applyProtection="0"/>
    <xf numFmtId="40" fontId="53" fillId="0" borderId="0" applyFont="0" applyFill="0" applyBorder="0" applyAlignment="0" applyProtection="0"/>
    <xf numFmtId="43" fontId="72" fillId="0" borderId="0" applyFont="0" applyFill="0" applyBorder="0" applyAlignment="0" applyProtection="0"/>
    <xf numFmtId="40" fontId="15" fillId="0" borderId="0" applyFont="0" applyFill="0" applyBorder="0" applyProtection="0">
      <alignment horizontal="right"/>
    </xf>
    <xf numFmtId="40" fontId="15" fillId="0" borderId="0" applyFont="0" applyFill="0" applyBorder="0" applyProtection="0">
      <alignment horizontal="right"/>
    </xf>
    <xf numFmtId="234" fontId="57" fillId="0" borderId="0" applyFont="0" applyFill="0" applyBorder="0" applyAlignment="0" applyProtection="0"/>
    <xf numFmtId="3" fontId="74" fillId="0" borderId="0" applyFont="0" applyFill="0" applyBorder="0" applyAlignment="0" applyProtection="0"/>
    <xf numFmtId="0" fontId="75" fillId="0" borderId="0"/>
    <xf numFmtId="0" fontId="76" fillId="35" borderId="0">
      <alignment horizontal="center" vertical="center" wrapText="1"/>
    </xf>
    <xf numFmtId="0" fontId="77" fillId="0" borderId="0" applyFill="0" applyBorder="0">
      <alignment horizontal="left"/>
    </xf>
    <xf numFmtId="0" fontId="77" fillId="0" borderId="0" applyFill="0" applyBorder="0">
      <alignment horizontal="left"/>
    </xf>
    <xf numFmtId="0" fontId="78" fillId="0" borderId="0">
      <alignment horizontal="left"/>
    </xf>
    <xf numFmtId="0" fontId="79" fillId="0" borderId="0"/>
    <xf numFmtId="0" fontId="80" fillId="0" borderId="0">
      <alignment horizontal="left"/>
    </xf>
    <xf numFmtId="235" fontId="39" fillId="0" borderId="0" applyFill="0" applyBorder="0">
      <alignment horizontal="right"/>
      <protection locked="0"/>
    </xf>
    <xf numFmtId="42" fontId="72" fillId="0" borderId="0" applyFont="0" applyFill="0" applyBorder="0" applyAlignment="0" applyProtection="0"/>
    <xf numFmtId="0" fontId="22" fillId="0" borderId="0" applyFont="0" applyFill="0" applyBorder="0" applyAlignment="0" applyProtection="0"/>
    <xf numFmtId="236" fontId="15" fillId="0" borderId="0" applyFont="0" applyFill="0" applyBorder="0" applyAlignment="0" applyProtection="0"/>
    <xf numFmtId="8" fontId="81" fillId="0" borderId="41">
      <protection locked="0"/>
    </xf>
    <xf numFmtId="8" fontId="15" fillId="0" borderId="0" applyBorder="0"/>
    <xf numFmtId="8" fontId="81" fillId="0" borderId="41">
      <protection locked="0"/>
    </xf>
    <xf numFmtId="0" fontId="53" fillId="0" borderId="0" applyFont="0" applyFill="0" applyBorder="0" applyAlignment="0" applyProtection="0"/>
    <xf numFmtId="0" fontId="53" fillId="0" borderId="0" applyFont="0" applyFill="0" applyBorder="0" applyAlignment="0" applyProtection="0"/>
    <xf numFmtId="0" fontId="15" fillId="0" borderId="0" applyFont="0" applyFill="0" applyBorder="0" applyAlignment="0" applyProtection="0">
      <alignment horizontal="right"/>
    </xf>
    <xf numFmtId="0" fontId="15" fillId="0" borderId="0" applyFont="0" applyFill="0" applyBorder="0" applyAlignment="0" applyProtection="0">
      <alignment horizontal="right"/>
    </xf>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82" fillId="0" borderId="0" applyFont="0" applyFill="0" applyBorder="0" applyAlignment="0" applyProtection="0"/>
    <xf numFmtId="237" fontId="83" fillId="0" borderId="0" applyFont="0" applyFill="0" applyBorder="0" applyAlignment="0" applyProtection="0"/>
    <xf numFmtId="206" fontId="57" fillId="0" borderId="0" applyFont="0" applyFill="0" applyBorder="0" applyAlignment="0" applyProtection="0">
      <alignment horizontal="right"/>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38" fontId="83" fillId="0" borderId="0" applyFont="0" applyFill="0" applyBorder="0" applyAlignment="0" applyProtection="0"/>
    <xf numFmtId="44" fontId="15" fillId="0" borderId="0" applyFont="0" applyFill="0" applyBorder="0" applyAlignment="0" applyProtection="0"/>
    <xf numFmtId="44" fontId="72" fillId="0" borderId="0" applyFont="0" applyFill="0" applyBorder="0" applyAlignment="0" applyProtection="0"/>
    <xf numFmtId="239" fontId="57" fillId="0" borderId="0" applyFont="0" applyFill="0" applyBorder="0" applyAlignment="0" applyProtection="0"/>
    <xf numFmtId="0" fontId="74" fillId="0" borderId="0" applyFont="0" applyFill="0" applyBorder="0" applyAlignment="0" applyProtection="0"/>
    <xf numFmtId="240" fontId="57" fillId="0" borderId="0" applyFill="0" applyBorder="0" applyProtection="0">
      <alignment vertical="center"/>
    </xf>
    <xf numFmtId="7" fontId="84" fillId="0" borderId="0" applyFill="0" applyBorder="0" applyProtection="0"/>
    <xf numFmtId="0" fontId="39" fillId="0" borderId="0" applyFont="0" applyFill="0" applyBorder="0" applyAlignment="0">
      <protection locked="0"/>
    </xf>
    <xf numFmtId="241" fontId="29" fillId="4" borderId="14">
      <alignment horizontal="right"/>
    </xf>
    <xf numFmtId="241" fontId="29" fillId="4" borderId="14">
      <alignment horizontal="right"/>
    </xf>
    <xf numFmtId="241" fontId="29" fillId="4" borderId="14">
      <alignment horizontal="right"/>
    </xf>
    <xf numFmtId="241" fontId="29" fillId="4" borderId="14">
      <alignment horizontal="right"/>
    </xf>
    <xf numFmtId="241" fontId="29" fillId="4" borderId="14">
      <alignment horizontal="right"/>
    </xf>
    <xf numFmtId="241" fontId="29" fillId="4" borderId="14">
      <alignment horizontal="right"/>
    </xf>
    <xf numFmtId="241" fontId="29" fillId="4" borderId="14">
      <alignment horizontal="right"/>
    </xf>
    <xf numFmtId="241" fontId="29" fillId="4" borderId="14">
      <alignment horizontal="right"/>
    </xf>
    <xf numFmtId="183" fontId="85" fillId="0" borderId="0"/>
    <xf numFmtId="242" fontId="38" fillId="0" borderId="0" applyFont="0" applyFill="0" applyBorder="0" applyAlignment="0" applyProtection="0"/>
    <xf numFmtId="242" fontId="38" fillId="0" borderId="0" applyFont="0" applyFill="0" applyBorder="0" applyAlignment="0" applyProtection="0"/>
    <xf numFmtId="14" fontId="86" fillId="0" borderId="0"/>
    <xf numFmtId="15" fontId="15" fillId="0" borderId="0" applyFont="0" applyFill="0" applyBorder="0" applyProtection="0">
      <alignment horizontal="right"/>
    </xf>
    <xf numFmtId="243" fontId="15" fillId="0" borderId="0" applyFont="0" applyFill="0" applyBorder="0" applyAlignment="0" applyProtection="0"/>
    <xf numFmtId="244" fontId="57" fillId="0" borderId="0" applyFont="0" applyFill="0" applyBorder="0" applyAlignment="0" applyProtection="0"/>
    <xf numFmtId="0" fontId="57" fillId="0" borderId="0" applyFont="0" applyFill="0" applyBorder="0" applyAlignment="0" applyProtection="0"/>
    <xf numFmtId="14" fontId="64" fillId="0" borderId="0" applyFill="0" applyBorder="0" applyProtection="0">
      <alignment horizontal="center"/>
    </xf>
    <xf numFmtId="14" fontId="64" fillId="0" borderId="0" applyFill="0" applyBorder="0" applyProtection="0">
      <alignment horizontal="center"/>
    </xf>
    <xf numFmtId="14" fontId="64" fillId="0" borderId="0" applyFill="0" applyBorder="0" applyProtection="0">
      <alignment horizontal="center"/>
    </xf>
    <xf numFmtId="193" fontId="24" fillId="0" borderId="0" applyFill="0" applyBorder="0" applyProtection="0">
      <alignment horizontal="center"/>
    </xf>
    <xf numFmtId="245" fontId="15" fillId="0" borderId="0" applyFont="0" applyFill="0" applyBorder="0" applyProtection="0">
      <alignment horizontal="right"/>
    </xf>
    <xf numFmtId="0" fontId="22" fillId="0" borderId="0"/>
    <xf numFmtId="246" fontId="87" fillId="0" borderId="0">
      <alignment horizontal="right"/>
    </xf>
    <xf numFmtId="14" fontId="64" fillId="0" borderId="0" applyFont="0" applyFill="0" applyBorder="0" applyAlignment="0" applyProtection="0">
      <alignment horizontal="center"/>
    </xf>
    <xf numFmtId="14" fontId="64" fillId="0" borderId="0" applyFont="0" applyFill="0" applyBorder="0" applyAlignment="0" applyProtection="0">
      <alignment horizontal="center"/>
    </xf>
    <xf numFmtId="14" fontId="64" fillId="0" borderId="0" applyFont="0" applyFill="0" applyBorder="0" applyAlignment="0" applyProtection="0">
      <alignment horizontal="center"/>
    </xf>
    <xf numFmtId="193" fontId="24" fillId="0" borderId="0" applyFont="0" applyFill="0" applyBorder="0" applyAlignment="0" applyProtection="0">
      <alignment horizontal="center"/>
    </xf>
    <xf numFmtId="0" fontId="53" fillId="0" borderId="0"/>
    <xf numFmtId="247" fontId="28" fillId="0" borderId="0">
      <alignment horizontal="right"/>
    </xf>
    <xf numFmtId="0" fontId="53" fillId="0" borderId="0"/>
    <xf numFmtId="0" fontId="53" fillId="0" borderId="0"/>
    <xf numFmtId="248" fontId="88" fillId="0" borderId="0">
      <alignment horizontal="right"/>
    </xf>
    <xf numFmtId="249" fontId="88" fillId="0" borderId="0">
      <alignment horizontal="right"/>
    </xf>
    <xf numFmtId="250" fontId="88" fillId="0" borderId="0">
      <alignment horizontal="right"/>
    </xf>
    <xf numFmtId="251" fontId="15" fillId="0" borderId="0" applyBorder="0" applyProtection="0"/>
    <xf numFmtId="252" fontId="24" fillId="0" borderId="0" applyFill="0" applyBorder="0" applyProtection="0"/>
    <xf numFmtId="251" fontId="15" fillId="0" borderId="0" applyBorder="0" applyProtection="0"/>
    <xf numFmtId="251" fontId="15" fillId="0" borderId="0" applyBorder="0" applyProtection="0"/>
    <xf numFmtId="6" fontId="53" fillId="0" borderId="0" applyFill="0" applyBorder="0" applyProtection="0"/>
    <xf numFmtId="6" fontId="53" fillId="0" borderId="0" applyFill="0" applyBorder="0" applyProtection="0"/>
    <xf numFmtId="8" fontId="53" fillId="0" borderId="0" applyFill="0" applyBorder="0" applyProtection="0"/>
    <xf numFmtId="167" fontId="89" fillId="0" borderId="0" applyFont="0" applyFill="0" applyBorder="0" applyAlignment="0" applyProtection="0"/>
    <xf numFmtId="6" fontId="53" fillId="0" borderId="0" applyFont="0" applyFill="0" applyBorder="0" applyAlignment="0" applyProtection="0"/>
    <xf numFmtId="6" fontId="53" fillId="0" borderId="0" applyFont="0" applyFill="0" applyBorder="0" applyAlignment="0" applyProtection="0"/>
    <xf numFmtId="0" fontId="15" fillId="0" borderId="42" applyNumberFormat="0" applyFont="0" applyFill="0" applyAlignment="0" applyProtection="0"/>
    <xf numFmtId="42" fontId="90" fillId="0" borderId="0" applyFill="0" applyBorder="0" applyAlignment="0" applyProtection="0"/>
    <xf numFmtId="166" fontId="91" fillId="0" borderId="43" applyNumberFormat="0" applyAlignment="0" applyProtection="0">
      <alignment vertical="top"/>
    </xf>
    <xf numFmtId="221" fontId="15" fillId="23" borderId="0">
      <alignment horizontal="right"/>
    </xf>
    <xf numFmtId="253" fontId="15" fillId="0" borderId="0"/>
    <xf numFmtId="254" fontId="15" fillId="0" borderId="0"/>
    <xf numFmtId="255" fontId="15" fillId="0" borderId="0"/>
    <xf numFmtId="256" fontId="15" fillId="0" borderId="0"/>
    <xf numFmtId="253" fontId="15" fillId="0" borderId="0"/>
    <xf numFmtId="257" fontId="29" fillId="0" borderId="0"/>
    <xf numFmtId="258" fontId="17" fillId="0" borderId="0"/>
    <xf numFmtId="259" fontId="22" fillId="0" borderId="0" applyFont="0" applyFill="0" applyBorder="0" applyAlignment="0" applyProtection="0"/>
    <xf numFmtId="0" fontId="92" fillId="0" borderId="0" applyNumberFormat="0" applyFill="0" applyBorder="0" applyAlignment="0" applyProtection="0"/>
    <xf numFmtId="0" fontId="93" fillId="0" borderId="0"/>
    <xf numFmtId="1" fontId="94" fillId="36" borderId="10" applyNumberFormat="0" applyBorder="0" applyAlignment="0">
      <alignment horizontal="centerContinuous" vertical="center"/>
      <protection locked="0"/>
    </xf>
    <xf numFmtId="1" fontId="94" fillId="36" borderId="10" applyNumberFormat="0" applyBorder="0" applyAlignment="0">
      <alignment horizontal="centerContinuous" vertical="center"/>
      <protection locked="0"/>
    </xf>
    <xf numFmtId="1" fontId="94" fillId="36" borderId="10" applyNumberFormat="0" applyBorder="0" applyAlignment="0">
      <alignment horizontal="centerContinuous" vertical="center"/>
      <protection locked="0"/>
    </xf>
    <xf numFmtId="0" fontId="95" fillId="37" borderId="0"/>
    <xf numFmtId="2" fontId="74" fillId="0" borderId="0" applyFont="0" applyFill="0" applyBorder="0" applyAlignment="0" applyProtection="0"/>
    <xf numFmtId="260" fontId="84" fillId="0" borderId="0" applyFill="0" applyBorder="0" applyProtection="0"/>
    <xf numFmtId="0" fontId="96" fillId="0" borderId="0">
      <alignment horizontal="left"/>
    </xf>
    <xf numFmtId="0" fontId="97" fillId="0" borderId="0">
      <alignment horizontal="left"/>
    </xf>
    <xf numFmtId="0" fontId="98" fillId="0" borderId="0" applyNumberFormat="0" applyFill="0" applyBorder="0" applyProtection="0">
      <alignment horizontal="left" vertical="center"/>
    </xf>
    <xf numFmtId="0" fontId="99" fillId="0" borderId="0" applyNumberFormat="0" applyFill="0" applyBorder="0" applyProtection="0">
      <alignment horizontal="left"/>
    </xf>
    <xf numFmtId="0" fontId="99" fillId="0" borderId="0">
      <alignment horizontal="left"/>
    </xf>
    <xf numFmtId="261" fontId="17" fillId="0" borderId="0" applyFont="0"/>
    <xf numFmtId="262" fontId="17" fillId="0" borderId="0" applyFont="0"/>
    <xf numFmtId="41" fontId="100" fillId="0" borderId="0"/>
    <xf numFmtId="254" fontId="29" fillId="0" borderId="44"/>
    <xf numFmtId="263" fontId="29" fillId="4" borderId="14">
      <alignment horizontal="right"/>
    </xf>
    <xf numFmtId="263" fontId="29" fillId="4" borderId="14">
      <alignment horizontal="right"/>
    </xf>
    <xf numFmtId="263" fontId="29" fillId="4" borderId="14">
      <alignment horizontal="right"/>
    </xf>
    <xf numFmtId="263" fontId="29" fillId="4" borderId="14">
      <alignment horizontal="right"/>
    </xf>
    <xf numFmtId="263" fontId="29" fillId="4" borderId="14">
      <alignment horizontal="right"/>
    </xf>
    <xf numFmtId="263" fontId="29" fillId="4" borderId="14">
      <alignment horizontal="right"/>
    </xf>
    <xf numFmtId="263" fontId="29" fillId="4" borderId="14">
      <alignment horizontal="right"/>
    </xf>
    <xf numFmtId="263" fontId="29" fillId="4" borderId="14">
      <alignment horizontal="right"/>
    </xf>
    <xf numFmtId="49" fontId="24" fillId="0" borderId="0" applyFill="0" applyBorder="0"/>
    <xf numFmtId="49" fontId="24" fillId="0" borderId="0" applyFill="0" applyBorder="0"/>
    <xf numFmtId="49" fontId="15" fillId="0" borderId="0"/>
    <xf numFmtId="49" fontId="15" fillId="0" borderId="0" applyFill="0" applyBorder="0">
      <alignment horizontal="right" vertical="center"/>
    </xf>
    <xf numFmtId="49" fontId="15" fillId="0" borderId="0" applyFill="0" applyBorder="0">
      <alignment horizontal="right" vertical="center"/>
    </xf>
    <xf numFmtId="49" fontId="15" fillId="0" borderId="0" applyFill="0" applyBorder="0">
      <alignment horizontal="right" vertical="center"/>
    </xf>
    <xf numFmtId="49" fontId="15" fillId="0" borderId="0" applyFill="0" applyBorder="0">
      <alignment horizontal="right" vertical="center"/>
    </xf>
    <xf numFmtId="0" fontId="101" fillId="0" borderId="0"/>
    <xf numFmtId="0" fontId="102" fillId="8" borderId="0" applyNumberFormat="0" applyBorder="0" applyAlignment="0" applyProtection="0"/>
    <xf numFmtId="0" fontId="103" fillId="0" borderId="0"/>
    <xf numFmtId="38" fontId="24" fillId="4" borderId="0" applyNumberFormat="0" applyBorder="0" applyAlignment="0" applyProtection="0"/>
    <xf numFmtId="187" fontId="24" fillId="0" borderId="0" applyFill="0" applyBorder="0" applyAlignment="0" applyProtection="0">
      <alignment horizontal="right"/>
    </xf>
    <xf numFmtId="264" fontId="24" fillId="0" borderId="0" applyFill="0" applyBorder="0" applyAlignment="0" applyProtection="0"/>
    <xf numFmtId="265" fontId="24" fillId="0" borderId="0" applyAlignment="0">
      <alignment horizontal="left"/>
      <protection locked="0"/>
    </xf>
    <xf numFmtId="166" fontId="15" fillId="22" borderId="24" applyNumberFormat="0" applyFont="0" applyBorder="0" applyAlignment="0" applyProtection="0"/>
    <xf numFmtId="166" fontId="15" fillId="22" borderId="24" applyNumberFormat="0" applyFont="0" applyBorder="0" applyAlignment="0" applyProtection="0"/>
    <xf numFmtId="266" fontId="15" fillId="0" borderId="0" applyFont="0" applyFill="0" applyBorder="0" applyAlignment="0" applyProtection="0">
      <alignment horizontal="right"/>
    </xf>
    <xf numFmtId="183" fontId="104" fillId="22" borderId="0" applyNumberFormat="0" applyFont="0" applyAlignment="0"/>
    <xf numFmtId="0" fontId="105" fillId="38" borderId="0" applyNumberFormat="0" applyBorder="0" applyProtection="0">
      <alignment horizontal="left" vertical="center"/>
    </xf>
    <xf numFmtId="0" fontId="106" fillId="1" borderId="0" applyNumberFormat="0" applyBorder="0" applyProtection="0">
      <alignment horizontal="left" vertical="center"/>
    </xf>
    <xf numFmtId="0" fontId="107" fillId="0" borderId="0" applyProtection="0">
      <alignment horizontal="right"/>
    </xf>
    <xf numFmtId="0" fontId="108" fillId="0" borderId="0">
      <alignment horizontal="left"/>
    </xf>
    <xf numFmtId="0" fontId="108" fillId="0" borderId="0">
      <alignment horizontal="left"/>
    </xf>
    <xf numFmtId="0" fontId="21" fillId="0" borderId="2" applyNumberFormat="0" applyAlignment="0" applyProtection="0">
      <alignment horizontal="left" vertical="center"/>
    </xf>
    <xf numFmtId="0" fontId="21" fillId="0" borderId="22">
      <alignment horizontal="left" vertical="center"/>
    </xf>
    <xf numFmtId="0" fontId="21" fillId="0" borderId="22">
      <alignment horizontal="left" vertical="center"/>
    </xf>
    <xf numFmtId="0" fontId="48" fillId="0" borderId="0" applyFill="0" applyBorder="0" applyProtection="0">
      <alignment horizontal="right"/>
    </xf>
    <xf numFmtId="0" fontId="109" fillId="0" borderId="45" applyNumberFormat="0" applyFill="0" applyAlignment="0" applyProtection="0"/>
    <xf numFmtId="0" fontId="110" fillId="0" borderId="0">
      <alignment horizontal="left"/>
    </xf>
    <xf numFmtId="0" fontId="111" fillId="0" borderId="13">
      <alignment horizontal="left" vertical="top"/>
    </xf>
    <xf numFmtId="0" fontId="112" fillId="0" borderId="46" applyNumberFormat="0" applyFill="0" applyAlignment="0" applyProtection="0"/>
    <xf numFmtId="0" fontId="113" fillId="0" borderId="0">
      <alignment horizontal="left"/>
    </xf>
    <xf numFmtId="0" fontId="114" fillId="0" borderId="13">
      <alignment horizontal="left" vertical="top"/>
    </xf>
    <xf numFmtId="0" fontId="115" fillId="0" borderId="47" applyNumberFormat="0" applyFill="0" applyAlignment="0" applyProtection="0"/>
    <xf numFmtId="0" fontId="116" fillId="0" borderId="0">
      <alignment horizontal="left"/>
    </xf>
    <xf numFmtId="0" fontId="115" fillId="0" borderId="0" applyNumberFormat="0" applyFill="0" applyBorder="0" applyAlignment="0" applyProtection="0"/>
    <xf numFmtId="0" fontId="117" fillId="0" borderId="0"/>
    <xf numFmtId="0" fontId="117" fillId="0" borderId="0"/>
    <xf numFmtId="0" fontId="118" fillId="0" borderId="0"/>
    <xf numFmtId="0" fontId="119" fillId="0" borderId="0"/>
    <xf numFmtId="0" fontId="87" fillId="0" borderId="0"/>
    <xf numFmtId="0" fontId="87" fillId="0" borderId="0"/>
    <xf numFmtId="0" fontId="120" fillId="0" borderId="0">
      <alignment horizontal="left"/>
    </xf>
    <xf numFmtId="0" fontId="61" fillId="0" borderId="0">
      <alignment wrapText="1"/>
    </xf>
    <xf numFmtId="0" fontId="121" fillId="0" borderId="0" applyNumberFormat="0" applyFill="0" applyBorder="0" applyAlignment="0" applyProtection="0"/>
    <xf numFmtId="221" fontId="53" fillId="0" borderId="0" applyFill="0" applyBorder="0" applyAlignment="0" applyProtection="0"/>
    <xf numFmtId="221" fontId="53" fillId="0" borderId="0" applyFill="0" applyBorder="0" applyAlignment="0" applyProtection="0"/>
    <xf numFmtId="10" fontId="24" fillId="39" borderId="24" applyNumberFormat="0" applyBorder="0" applyAlignment="0" applyProtection="0"/>
    <xf numFmtId="10" fontId="24" fillId="39" borderId="24" applyNumberFormat="0" applyBorder="0" applyAlignment="0" applyProtection="0"/>
    <xf numFmtId="0" fontId="122" fillId="11" borderId="37" applyNumberFormat="0" applyAlignment="0" applyProtection="0"/>
    <xf numFmtId="0" fontId="122" fillId="11" borderId="37" applyNumberFormat="0" applyAlignment="0" applyProtection="0"/>
    <xf numFmtId="267" fontId="15" fillId="0" borderId="0" applyFill="0" applyBorder="0" applyProtection="0"/>
    <xf numFmtId="268" fontId="15" fillId="0" borderId="0" applyFill="0" applyBorder="0" applyProtection="0"/>
    <xf numFmtId="268" fontId="15" fillId="0" borderId="0" applyFill="0" applyBorder="0" applyProtection="0"/>
    <xf numFmtId="267" fontId="15" fillId="0" borderId="0" applyFill="0" applyBorder="0" applyProtection="0"/>
    <xf numFmtId="170" fontId="15" fillId="0" borderId="0" applyFill="0" applyBorder="0" applyProtection="0"/>
    <xf numFmtId="170" fontId="15" fillId="0" borderId="0" applyFill="0" applyBorder="0" applyProtection="0"/>
    <xf numFmtId="269" fontId="15" fillId="0" borderId="0" applyFill="0" applyBorder="0" applyProtection="0"/>
    <xf numFmtId="269" fontId="15" fillId="0" borderId="0" applyFill="0" applyBorder="0" applyProtection="0"/>
    <xf numFmtId="270" fontId="123" fillId="40" borderId="0">
      <alignment horizontal="right"/>
    </xf>
    <xf numFmtId="0" fontId="124" fillId="0" borderId="0" applyNumberFormat="0" applyFill="0" applyBorder="0" applyAlignment="0">
      <protection locked="0"/>
    </xf>
    <xf numFmtId="271" fontId="125" fillId="0" borderId="0" applyFill="0" applyBorder="0" applyProtection="0">
      <alignment vertical="center"/>
    </xf>
    <xf numFmtId="240" fontId="125" fillId="0" borderId="0" applyFill="0" applyBorder="0" applyProtection="0">
      <alignment vertical="center"/>
    </xf>
    <xf numFmtId="272" fontId="125" fillId="0" borderId="0" applyFill="0" applyBorder="0" applyProtection="0">
      <alignment vertical="center"/>
    </xf>
    <xf numFmtId="273" fontId="125" fillId="0" borderId="0" applyFill="0" applyBorder="0" applyProtection="0">
      <alignment vertical="center"/>
    </xf>
    <xf numFmtId="0" fontId="28" fillId="0" borderId="0"/>
    <xf numFmtId="274" fontId="39" fillId="0" borderId="0" applyFill="0" applyBorder="0">
      <alignment horizontal="right"/>
      <protection locked="0"/>
    </xf>
    <xf numFmtId="0" fontId="59" fillId="41" borderId="48">
      <alignment horizontal="left" vertical="center" wrapText="1"/>
    </xf>
    <xf numFmtId="0" fontId="59" fillId="41" borderId="48">
      <alignment horizontal="left" vertical="center" wrapText="1"/>
    </xf>
    <xf numFmtId="0" fontId="126" fillId="0" borderId="0" applyNumberFormat="0" applyFill="0" applyBorder="0" applyProtection="0">
      <alignment horizontal="left" vertical="center"/>
    </xf>
    <xf numFmtId="0" fontId="127" fillId="0" borderId="0" applyNumberFormat="0" applyFill="0" applyBorder="0" applyAlignment="0" applyProtection="0">
      <alignment vertical="top"/>
      <protection locked="0"/>
    </xf>
    <xf numFmtId="198" fontId="22" fillId="0" borderId="0" applyFont="0" applyFill="0" applyBorder="0" applyAlignment="0" applyProtection="0"/>
    <xf numFmtId="198" fontId="22" fillId="0" borderId="0" applyFont="0" applyFill="0" applyBorder="0" applyAlignment="0" applyProtection="0"/>
    <xf numFmtId="0" fontId="128" fillId="0" borderId="49" applyNumberFormat="0" applyFill="0" applyAlignment="0" applyProtection="0"/>
    <xf numFmtId="166" fontId="53" fillId="0" borderId="0" applyFont="0" applyFill="0" applyBorder="0" applyAlignment="0" applyProtection="0">
      <alignment horizontal="right"/>
    </xf>
    <xf numFmtId="275" fontId="29" fillId="0" borderId="0">
      <alignment horizontal="right"/>
    </xf>
    <xf numFmtId="276" fontId="15" fillId="0" borderId="0">
      <alignment horizontal="right"/>
    </xf>
    <xf numFmtId="0" fontId="57" fillId="0" borderId="0"/>
    <xf numFmtId="6" fontId="53" fillId="0" borderId="0" applyAlignment="0">
      <alignment horizontal="left"/>
    </xf>
    <xf numFmtId="6" fontId="53" fillId="0" borderId="0" applyAlignment="0">
      <alignment horizontal="left"/>
    </xf>
    <xf numFmtId="187" fontId="24" fillId="0" borderId="0" applyFill="0" applyBorder="0" applyAlignment="0" applyProtection="0">
      <alignment horizontal="right"/>
    </xf>
    <xf numFmtId="277" fontId="129" fillId="0" borderId="0">
      <alignment horizontal="right"/>
    </xf>
    <xf numFmtId="0" fontId="95" fillId="0" borderId="0"/>
    <xf numFmtId="0" fontId="130" fillId="0" borderId="0"/>
    <xf numFmtId="0" fontId="131" fillId="0" borderId="0"/>
    <xf numFmtId="0" fontId="22" fillId="0" borderId="0"/>
    <xf numFmtId="0" fontId="22" fillId="0" borderId="0"/>
    <xf numFmtId="41" fontId="22" fillId="0" borderId="0" applyFont="0" applyFill="0" applyBorder="0" applyAlignment="0" applyProtection="0"/>
    <xf numFmtId="43" fontId="22" fillId="0" borderId="0" applyFont="0" applyFill="0" applyBorder="0" applyAlignment="0" applyProtection="0"/>
    <xf numFmtId="278" fontId="15" fillId="0" borderId="0">
      <alignment horizontal="right"/>
    </xf>
    <xf numFmtId="14" fontId="27" fillId="0" borderId="0" applyFont="0" applyFill="0" applyBorder="0" applyAlignment="0" applyProtection="0"/>
    <xf numFmtId="1" fontId="132" fillId="0" borderId="0">
      <alignment horizontal="left"/>
      <protection locked="0"/>
    </xf>
    <xf numFmtId="279" fontId="15" fillId="0" borderId="0" applyFont="0" applyFill="0" applyBorder="0" applyAlignment="0" applyProtection="0"/>
    <xf numFmtId="280" fontId="15" fillId="0" borderId="0" applyFont="0" applyFill="0" applyBorder="0" applyAlignment="0" applyProtection="0"/>
    <xf numFmtId="281" fontId="24" fillId="39" borderId="0">
      <alignment horizontal="center"/>
    </xf>
    <xf numFmtId="0" fontId="22" fillId="0" borderId="16" applyFont="0" applyFill="0" applyBorder="0" applyProtection="0"/>
    <xf numFmtId="0" fontId="22" fillId="0" borderId="16" applyFont="0" applyFill="0" applyBorder="0" applyProtection="0"/>
    <xf numFmtId="282" fontId="22" fillId="0" borderId="16" applyFont="0" applyFill="0" applyBorder="0" applyAlignment="0" applyProtection="0"/>
    <xf numFmtId="282" fontId="22" fillId="0" borderId="16" applyFont="0" applyFill="0" applyBorder="0" applyAlignment="0" applyProtection="0"/>
    <xf numFmtId="283" fontId="22" fillId="0" borderId="0"/>
    <xf numFmtId="0" fontId="22" fillId="0" borderId="0" applyFont="0" applyFill="0" applyBorder="0" applyAlignment="0" applyProtection="0"/>
    <xf numFmtId="282" fontId="22" fillId="0" borderId="0" applyFont="0" applyFill="0" applyBorder="0" applyAlignment="0" applyProtection="0"/>
    <xf numFmtId="0" fontId="133" fillId="0" borderId="0" applyFont="0" applyFill="0" applyBorder="0" applyAlignment="0" applyProtection="0"/>
    <xf numFmtId="284" fontId="15" fillId="0" borderId="0" applyFill="0" applyBorder="0" applyProtection="0">
      <alignment horizontal="right"/>
    </xf>
    <xf numFmtId="284" fontId="15" fillId="0" borderId="0" applyFill="0" applyBorder="0" applyProtection="0">
      <alignment horizontal="right"/>
    </xf>
    <xf numFmtId="40" fontId="53" fillId="0" borderId="0" applyFill="0" applyBorder="0" applyAlignment="0" applyProtection="0">
      <alignment horizontal="left"/>
    </xf>
    <xf numFmtId="40" fontId="53" fillId="0" borderId="0" applyFill="0" applyBorder="0" applyAlignment="0" applyProtection="0">
      <alignment horizontal="left"/>
    </xf>
    <xf numFmtId="285" fontId="22" fillId="0" borderId="0" applyFill="0" applyBorder="0" applyProtection="0">
      <alignment horizontal="right"/>
    </xf>
    <xf numFmtId="272" fontId="57" fillId="0" borderId="0" applyFill="0" applyBorder="0" applyProtection="0">
      <alignment vertical="center"/>
    </xf>
    <xf numFmtId="0" fontId="15" fillId="0" borderId="0" applyFont="0" applyFill="0" applyBorder="0" applyAlignment="0" applyProtection="0">
      <alignment horizontal="right"/>
    </xf>
    <xf numFmtId="0" fontId="134" fillId="5" borderId="0" applyNumberFormat="0" applyBorder="0" applyAlignment="0" applyProtection="0"/>
    <xf numFmtId="286" fontId="22" fillId="0" borderId="0"/>
    <xf numFmtId="37" fontId="135" fillId="0" borderId="0"/>
    <xf numFmtId="207" fontId="15" fillId="0" borderId="0" applyFont="0"/>
    <xf numFmtId="287" fontId="22" fillId="0" borderId="0"/>
    <xf numFmtId="287" fontId="22" fillId="0" borderId="0"/>
    <xf numFmtId="0" fontId="58" fillId="3" borderId="0" applyNumberFormat="0" applyFont="0" applyAlignment="0">
      <alignment horizontal="centerContinuous"/>
    </xf>
    <xf numFmtId="0" fontId="58" fillId="3" borderId="0" applyNumberFormat="0" applyFont="0" applyAlignment="0">
      <alignment horizontal="centerContinuous"/>
    </xf>
    <xf numFmtId="288" fontId="13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applyNumberFormat="0" applyFill="0" applyBorder="0" applyAlignment="0" applyProtection="0"/>
    <xf numFmtId="0" fontId="28" fillId="0" borderId="0" applyNumberFormat="0" applyFill="0" applyBorder="0" applyAlignment="0" applyProtection="0"/>
    <xf numFmtId="0" fontId="15" fillId="0" borderId="0"/>
    <xf numFmtId="0" fontId="1" fillId="0" borderId="0"/>
    <xf numFmtId="0" fontId="1" fillId="0" borderId="0"/>
    <xf numFmtId="0" fontId="1" fillId="0" borderId="0"/>
    <xf numFmtId="0" fontId="1" fillId="0" borderId="0"/>
    <xf numFmtId="0" fontId="82"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2" fillId="0" borderId="0"/>
    <xf numFmtId="0" fontId="4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applyNumberFormat="0" applyFill="0" applyBorder="0" applyAlignment="0" applyProtection="0"/>
    <xf numFmtId="0" fontId="72" fillId="0" borderId="0"/>
    <xf numFmtId="0" fontId="138" fillId="0" borderId="0"/>
    <xf numFmtId="289" fontId="57" fillId="0" borderId="0" applyFill="0" applyBorder="0" applyProtection="0">
      <alignment vertical="center"/>
    </xf>
    <xf numFmtId="0" fontId="133" fillId="0" borderId="0"/>
    <xf numFmtId="0" fontId="15" fillId="42" borderId="36" applyNumberFormat="0" applyFont="0" applyAlignment="0" applyProtection="0"/>
    <xf numFmtId="0" fontId="15" fillId="42" borderId="36" applyNumberFormat="0" applyFont="0" applyAlignment="0" applyProtection="0"/>
    <xf numFmtId="0" fontId="15" fillId="42" borderId="36" applyNumberFormat="0" applyFont="0" applyAlignment="0" applyProtection="0"/>
    <xf numFmtId="0" fontId="15" fillId="42" borderId="36" applyNumberFormat="0" applyFont="0" applyAlignment="0" applyProtection="0"/>
    <xf numFmtId="183" fontId="133" fillId="0" borderId="0"/>
    <xf numFmtId="290" fontId="139" fillId="0" borderId="0">
      <alignment horizontal="right"/>
    </xf>
    <xf numFmtId="291" fontId="139" fillId="0" borderId="0">
      <alignment horizontal="right"/>
    </xf>
    <xf numFmtId="292" fontId="139" fillId="0" borderId="0">
      <alignment horizontal="right"/>
    </xf>
    <xf numFmtId="293" fontId="139" fillId="0" borderId="0">
      <alignment horizontal="right"/>
    </xf>
    <xf numFmtId="293" fontId="140" fillId="0" borderId="0">
      <alignment horizontal="right"/>
    </xf>
    <xf numFmtId="294" fontId="139" fillId="0" borderId="0">
      <alignment horizontal="right"/>
    </xf>
    <xf numFmtId="248" fontId="141" fillId="0" borderId="0">
      <alignment horizontal="right"/>
    </xf>
    <xf numFmtId="295" fontId="139" fillId="0" borderId="0">
      <alignment horizontal="right"/>
    </xf>
    <xf numFmtId="4" fontId="16" fillId="0" borderId="0" applyFont="0" applyFill="0" applyBorder="0" applyAlignment="0" applyProtection="0"/>
    <xf numFmtId="41" fontId="22" fillId="0" borderId="0" applyFont="0" applyFill="0" applyBorder="0" applyAlignment="0" applyProtection="0"/>
    <xf numFmtId="296" fontId="15" fillId="0" borderId="0" applyBorder="0" applyProtection="0"/>
    <xf numFmtId="296" fontId="15" fillId="0" borderId="0" applyBorder="0" applyProtection="0"/>
    <xf numFmtId="0" fontId="142" fillId="0" borderId="0">
      <alignment horizontal="left" vertical="top"/>
      <protection locked="0"/>
    </xf>
    <xf numFmtId="0" fontId="143" fillId="0" borderId="0">
      <alignment horizontal="left"/>
    </xf>
    <xf numFmtId="0" fontId="144" fillId="32" borderId="50" applyNumberFormat="0" applyAlignment="0" applyProtection="0"/>
    <xf numFmtId="0" fontId="144" fillId="32" borderId="50" applyNumberFormat="0" applyAlignment="0" applyProtection="0"/>
    <xf numFmtId="0" fontId="144" fillId="32" borderId="50" applyNumberFormat="0" applyAlignment="0" applyProtection="0"/>
    <xf numFmtId="297" fontId="53" fillId="0" borderId="0" applyFont="0" applyFill="0" applyBorder="0" applyAlignment="0" applyProtection="0">
      <alignment horizontal="right"/>
    </xf>
    <xf numFmtId="0" fontId="145" fillId="0" borderId="0" applyProtection="0">
      <alignment horizontal="left"/>
    </xf>
    <xf numFmtId="0" fontId="15" fillId="0" borderId="0" applyFill="0" applyBorder="0" applyProtection="0">
      <alignment horizontal="left"/>
    </xf>
    <xf numFmtId="0" fontId="15" fillId="0" borderId="0" applyFill="0" applyBorder="0" applyProtection="0">
      <alignment horizontal="left"/>
    </xf>
    <xf numFmtId="0" fontId="146" fillId="0" borderId="0" applyFill="0" applyBorder="0" applyProtection="0">
      <alignment horizontal="left"/>
    </xf>
    <xf numFmtId="1" fontId="147" fillId="0" borderId="0" applyProtection="0">
      <alignment horizontal="right" vertical="center"/>
    </xf>
    <xf numFmtId="0" fontId="131" fillId="0" borderId="0"/>
    <xf numFmtId="165" fontId="15" fillId="0" borderId="0" applyFill="0"/>
    <xf numFmtId="165" fontId="15" fillId="0" borderId="0" applyFill="0"/>
    <xf numFmtId="0" fontId="148" fillId="0" borderId="0" applyNumberFormat="0">
      <alignment horizontal="center" vertical="center"/>
    </xf>
    <xf numFmtId="298" fontId="15" fillId="0" borderId="0"/>
    <xf numFmtId="9" fontId="53" fillId="0" borderId="0" applyFont="0" applyFill="0" applyBorder="0" applyAlignment="0" applyProtection="0">
      <alignment horizontal="right"/>
    </xf>
    <xf numFmtId="299" fontId="15" fillId="0" borderId="0"/>
    <xf numFmtId="231" fontId="38" fillId="0" borderId="0" applyFont="0" applyFill="0" applyBorder="0" applyAlignment="0" applyProtection="0"/>
    <xf numFmtId="166" fontId="149" fillId="0" borderId="0" applyFont="0" applyFill="0" applyBorder="0" applyAlignment="0" applyProtection="0"/>
    <xf numFmtId="166" fontId="149" fillId="0" borderId="0" applyFont="0" applyFill="0" applyBorder="0" applyAlignment="0" applyProtection="0"/>
    <xf numFmtId="10" fontId="15" fillId="0" borderId="0" applyFont="0" applyFill="0" applyBorder="0" applyAlignment="0" applyProtection="0"/>
    <xf numFmtId="10" fontId="15" fillId="0" borderId="0" applyFont="0" applyFill="0" applyBorder="0" applyAlignment="0" applyProtection="0"/>
    <xf numFmtId="300" fontId="139" fillId="0" borderId="0">
      <alignment horizontal="right"/>
    </xf>
    <xf numFmtId="9" fontId="1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2" fillId="0" borderId="0" applyFont="0" applyFill="0" applyBorder="0" applyAlignment="0" applyProtection="0"/>
    <xf numFmtId="9" fontId="1" fillId="0" borderId="0" applyFont="0" applyFill="0" applyBorder="0" applyAlignment="0" applyProtection="0"/>
    <xf numFmtId="9" fontId="5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72" fillId="0" borderId="0" applyFont="0" applyFill="0" applyBorder="0" applyAlignment="0" applyProtection="0"/>
    <xf numFmtId="301" fontId="57" fillId="0" borderId="0" applyFont="0" applyFill="0" applyBorder="0" applyProtection="0">
      <alignment horizontal="right"/>
    </xf>
    <xf numFmtId="302" fontId="53" fillId="0" borderId="0" applyFont="0" applyFill="0" applyBorder="0" applyProtection="0">
      <alignment horizontal="right"/>
    </xf>
    <xf numFmtId="302" fontId="53" fillId="0" borderId="0" applyFont="0" applyFill="0" applyBorder="0" applyProtection="0">
      <alignment horizontal="right"/>
    </xf>
    <xf numFmtId="303" fontId="83" fillId="0" borderId="0" applyFont="0" applyFill="0" applyBorder="0" applyAlignment="0" applyProtection="0"/>
    <xf numFmtId="273" fontId="57" fillId="0" borderId="0" applyFill="0" applyBorder="0" applyProtection="0">
      <alignment vertical="center"/>
    </xf>
    <xf numFmtId="9" fontId="15" fillId="0" borderId="0"/>
    <xf numFmtId="9" fontId="15" fillId="0" borderId="0"/>
    <xf numFmtId="304" fontId="39" fillId="0" borderId="0" applyFill="0" applyBorder="0">
      <alignment horizontal="right"/>
      <protection locked="0"/>
    </xf>
    <xf numFmtId="305" fontId="118" fillId="0" borderId="0">
      <alignment horizontal="right"/>
    </xf>
    <xf numFmtId="187" fontId="24" fillId="0" borderId="0" applyFont="0" applyFill="0" applyBorder="0" applyAlignment="0" applyProtection="0"/>
    <xf numFmtId="172" fontId="84" fillId="0" borderId="0" applyFill="0" applyBorder="0" applyProtection="0"/>
    <xf numFmtId="306" fontId="53" fillId="0" borderId="0" applyFill="0" applyBorder="0" applyAlignment="0" applyProtection="0">
      <alignment horizontal="left"/>
    </xf>
    <xf numFmtId="306" fontId="53" fillId="0" borderId="0" applyFill="0" applyBorder="0" applyAlignment="0" applyProtection="0">
      <alignment horizontal="left"/>
    </xf>
    <xf numFmtId="307" fontId="22" fillId="0" borderId="0"/>
    <xf numFmtId="38" fontId="53" fillId="0" borderId="0" applyFont="0" applyFill="0" applyBorder="0" applyAlignment="0" applyProtection="0"/>
    <xf numFmtId="38" fontId="53" fillId="0" borderId="0" applyFont="0" applyFill="0" applyBorder="0" applyAlignment="0" applyProtection="0"/>
    <xf numFmtId="308" fontId="15" fillId="0" borderId="0">
      <alignment horizontal="right"/>
    </xf>
    <xf numFmtId="0" fontId="25" fillId="0" borderId="0"/>
    <xf numFmtId="0" fontId="25" fillId="0" borderId="51">
      <alignment horizontal="right"/>
    </xf>
    <xf numFmtId="0" fontId="25" fillId="0" borderId="0"/>
    <xf numFmtId="1" fontId="150" fillId="4" borderId="0">
      <alignment horizontal="center"/>
    </xf>
    <xf numFmtId="0" fontId="126" fillId="0" borderId="0" applyNumberFormat="0" applyFill="0" applyBorder="0" applyProtection="0">
      <alignment horizontal="right" vertical="center"/>
    </xf>
    <xf numFmtId="0" fontId="151" fillId="35" borderId="24">
      <alignment horizontal="center" vertical="center" wrapText="1"/>
      <protection hidden="1"/>
    </xf>
    <xf numFmtId="0" fontId="151" fillId="35" borderId="24">
      <alignment horizontal="center" vertical="center" wrapText="1"/>
      <protection hidden="1"/>
    </xf>
    <xf numFmtId="0" fontId="152" fillId="0" borderId="0">
      <alignment horizontal="center"/>
    </xf>
    <xf numFmtId="0" fontId="153" fillId="0" borderId="22" applyNumberFormat="0" applyFill="0" applyProtection="0">
      <alignment horizontal="left" vertical="center"/>
    </xf>
    <xf numFmtId="0" fontId="154" fillId="0" borderId="0" applyBorder="0" applyProtection="0">
      <alignment vertical="center"/>
    </xf>
    <xf numFmtId="0" fontId="15" fillId="0" borderId="16" applyBorder="0" applyProtection="0">
      <alignment horizontal="right" vertical="center"/>
    </xf>
    <xf numFmtId="0" fontId="15" fillId="0" borderId="16" applyBorder="0" applyProtection="0">
      <alignment horizontal="right" vertical="center"/>
    </xf>
    <xf numFmtId="0" fontId="155" fillId="43" borderId="0" applyBorder="0" applyProtection="0">
      <alignment horizontal="centerContinuous" vertical="center"/>
    </xf>
    <xf numFmtId="0" fontId="155" fillId="44" borderId="16" applyBorder="0" applyProtection="0">
      <alignment horizontal="centerContinuous" vertical="center"/>
    </xf>
    <xf numFmtId="0" fontId="155" fillId="44" borderId="16" applyBorder="0" applyProtection="0">
      <alignment horizontal="centerContinuous" vertical="center"/>
    </xf>
    <xf numFmtId="0" fontId="156" fillId="0" borderId="0" applyFill="0" applyBorder="0" applyProtection="0">
      <alignment horizontal="left"/>
    </xf>
    <xf numFmtId="0" fontId="99" fillId="0" borderId="13" applyFill="0" applyBorder="0" applyProtection="0">
      <alignment horizontal="left" vertical="top"/>
    </xf>
    <xf numFmtId="0" fontId="157" fillId="0" borderId="0"/>
    <xf numFmtId="0" fontId="157" fillId="0" borderId="0">
      <alignment horizontal="right"/>
    </xf>
    <xf numFmtId="0" fontId="158" fillId="38" borderId="0" applyNumberFormat="0" applyBorder="0" applyProtection="0">
      <alignment horizontal="left" vertical="center"/>
    </xf>
    <xf numFmtId="0" fontId="159" fillId="1" borderId="0" applyNumberFormat="0" applyBorder="0" applyProtection="0">
      <alignment horizontal="left" vertical="center"/>
    </xf>
    <xf numFmtId="0" fontId="39" fillId="0" borderId="0" applyBorder="0"/>
    <xf numFmtId="171" fontId="160" fillId="0" borderId="11" applyNumberFormat="0" applyFont="0" applyFill="0" applyAlignment="0" applyProtection="0"/>
    <xf numFmtId="171" fontId="160" fillId="0" borderId="11" applyNumberFormat="0" applyFont="0" applyFill="0" applyAlignment="0" applyProtection="0"/>
    <xf numFmtId="171" fontId="160" fillId="0" borderId="11" applyNumberFormat="0" applyFont="0" applyFill="0" applyAlignment="0" applyProtection="0"/>
    <xf numFmtId="6" fontId="161" fillId="0" borderId="52" applyFill="0" applyAlignment="0" applyProtection="0"/>
    <xf numFmtId="37" fontId="162" fillId="45" borderId="0">
      <alignment horizontal="right"/>
    </xf>
    <xf numFmtId="0" fontId="22" fillId="0" borderId="0" applyFont="0" applyFill="0" applyBorder="0" applyAlignment="0" applyProtection="0">
      <alignment horizontal="right"/>
    </xf>
    <xf numFmtId="0" fontId="165" fillId="0" borderId="0"/>
    <xf numFmtId="0" fontId="167" fillId="0" borderId="0" applyNumberFormat="0" applyFill="0" applyBorder="0" applyAlignment="0" applyProtection="0"/>
    <xf numFmtId="0" fontId="168" fillId="0" borderId="0" applyNumberFormat="0" applyFill="0" applyBorder="0" applyAlignment="0" applyProtection="0"/>
    <xf numFmtId="0" fontId="169"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70" fillId="0" borderId="0"/>
    <xf numFmtId="0" fontId="171" fillId="0" borderId="0" applyNumberFormat="0" applyFill="0" applyBorder="0" applyAlignment="0" applyProtection="0"/>
    <xf numFmtId="0" fontId="172" fillId="0" borderId="0" applyNumberFormat="0" applyFill="0" applyBorder="0" applyAlignment="0" applyProtection="0"/>
    <xf numFmtId="0" fontId="173" fillId="0" borderId="0" applyNumberFormat="0" applyFill="0" applyBorder="0" applyAlignment="0" applyProtection="0"/>
    <xf numFmtId="0" fontId="35" fillId="0" borderId="65" applyNumberFormat="0" applyFill="0" applyProtection="0">
      <alignment horizontal="center"/>
    </xf>
    <xf numFmtId="183" fontId="20" fillId="0" borderId="56" applyBorder="0"/>
    <xf numFmtId="183" fontId="20" fillId="0" borderId="56" applyBorder="0"/>
    <xf numFmtId="164" fontId="48" fillId="25" borderId="56" applyBorder="0">
      <alignment horizontal="right"/>
    </xf>
    <xf numFmtId="164" fontId="48" fillId="25" borderId="56" applyBorder="0">
      <alignment horizontal="right"/>
    </xf>
    <xf numFmtId="164" fontId="48" fillId="0" borderId="56" applyBorder="0">
      <alignment horizontal="right"/>
    </xf>
    <xf numFmtId="164" fontId="48" fillId="0" borderId="56" applyBorder="0">
      <alignment horizontal="right"/>
    </xf>
    <xf numFmtId="219" fontId="22" fillId="0" borderId="60"/>
    <xf numFmtId="219" fontId="22" fillId="0" borderId="60"/>
    <xf numFmtId="219" fontId="22" fillId="0" borderId="59" applyBorder="0"/>
    <xf numFmtId="219" fontId="22" fillId="0" borderId="59" applyBorder="0"/>
    <xf numFmtId="0" fontId="51" fillId="0" borderId="66" applyNumberFormat="0" applyFill="0" applyBorder="0" applyAlignment="0" applyProtection="0"/>
    <xf numFmtId="0" fontId="51" fillId="0" borderId="66" applyNumberFormat="0" applyFill="0" applyBorder="0" applyAlignment="0" applyProtection="0"/>
    <xf numFmtId="0" fontId="24" fillId="0" borderId="66" applyNumberFormat="0" applyFill="0" applyAlignment="0" applyProtection="0"/>
    <xf numFmtId="0" fontId="24" fillId="0" borderId="66" applyNumberFormat="0" applyFill="0" applyAlignment="0" applyProtection="0"/>
    <xf numFmtId="1" fontId="54" fillId="30" borderId="54" applyNumberFormat="0" applyBorder="0" applyAlignment="0">
      <alignment horizontal="center" vertical="top" wrapText="1"/>
      <protection hidden="1"/>
    </xf>
    <xf numFmtId="0" fontId="58" fillId="0" borderId="60" applyNumberFormat="0" applyFill="0" applyAlignment="0" applyProtection="0"/>
    <xf numFmtId="0" fontId="58" fillId="0" borderId="60" applyNumberFormat="0" applyFill="0" applyAlignment="0" applyProtection="0"/>
    <xf numFmtId="5" fontId="59" fillId="0" borderId="56" applyAlignment="0" applyProtection="0"/>
    <xf numFmtId="5" fontId="59" fillId="0" borderId="56" applyAlignment="0" applyProtection="0"/>
    <xf numFmtId="5" fontId="59" fillId="0" borderId="56" applyAlignment="0" applyProtection="0"/>
    <xf numFmtId="0" fontId="53" fillId="0" borderId="58" applyNumberFormat="0" applyFont="0" applyFill="0" applyAlignment="0" applyProtection="0"/>
    <xf numFmtId="0" fontId="27" fillId="0" borderId="60" applyNumberFormat="0" applyFont="0" applyFill="0" applyAlignment="0" applyProtection="0"/>
    <xf numFmtId="0" fontId="27" fillId="0" borderId="60" applyNumberFormat="0" applyFont="0" applyFill="0" applyAlignment="0" applyProtection="0"/>
    <xf numFmtId="0" fontId="27" fillId="0" borderId="54" applyNumberFormat="0" applyFont="0" applyFill="0" applyAlignment="0" applyProtection="0"/>
    <xf numFmtId="0" fontId="27" fillId="0" borderId="56" applyNumberFormat="0" applyFont="0" applyFill="0" applyAlignment="0" applyProtection="0"/>
    <xf numFmtId="0" fontId="27" fillId="0" borderId="56" applyNumberFormat="0" applyFont="0" applyFill="0" applyAlignment="0" applyProtection="0"/>
    <xf numFmtId="0" fontId="27" fillId="0" borderId="56" applyNumberFormat="0" applyFont="0" applyFill="0" applyAlignment="0" applyProtection="0"/>
    <xf numFmtId="0" fontId="15" fillId="0" borderId="67" applyFill="0" applyProtection="0">
      <alignment horizontal="right"/>
    </xf>
    <xf numFmtId="0" fontId="15" fillId="0" borderId="67" applyFill="0" applyProtection="0">
      <alignment horizontal="right"/>
    </xf>
    <xf numFmtId="0" fontId="15" fillId="0" borderId="67" applyFill="0" applyProtection="0">
      <alignment horizontal="right"/>
    </xf>
    <xf numFmtId="0" fontId="15" fillId="0" borderId="67" applyFill="0" applyProtection="0">
      <alignment horizontal="right"/>
    </xf>
    <xf numFmtId="0" fontId="15" fillId="0" borderId="67" applyFill="0" applyProtection="0">
      <alignment horizontal="right"/>
    </xf>
    <xf numFmtId="0" fontId="15" fillId="0" borderId="67" applyFill="0" applyProtection="0">
      <alignment horizontal="right"/>
    </xf>
    <xf numFmtId="0" fontId="60" fillId="0" borderId="60" applyNumberFormat="0" applyFont="0" applyFill="0" applyAlignment="0" applyProtection="0"/>
    <xf numFmtId="0" fontId="60" fillId="0" borderId="60" applyNumberFormat="0" applyFont="0" applyFill="0" applyAlignment="0" applyProtection="0"/>
    <xf numFmtId="49" fontId="61" fillId="24" borderId="68" applyNumberFormat="0">
      <alignment horizontal="left" vertical="top" wrapText="1"/>
      <protection locked="0"/>
    </xf>
    <xf numFmtId="49" fontId="61" fillId="24" borderId="68" applyNumberFormat="0">
      <alignment horizontal="left" vertical="top" wrapText="1"/>
      <protection locked="0"/>
    </xf>
    <xf numFmtId="0" fontId="62" fillId="32" borderId="69" applyNumberFormat="0" applyAlignment="0" applyProtection="0"/>
    <xf numFmtId="0" fontId="62" fillId="32" borderId="69" applyNumberFormat="0" applyAlignment="0" applyProtection="0"/>
    <xf numFmtId="226" fontId="22" fillId="0" borderId="56" applyNumberFormat="0" applyFont="0" applyFill="0" applyBorder="0" applyAlignment="0" applyProtection="0">
      <alignment horizontal="right"/>
    </xf>
    <xf numFmtId="226" fontId="22" fillId="0" borderId="56" applyNumberFormat="0" applyFont="0" applyFill="0" applyBorder="0" applyAlignment="0" applyProtection="0">
      <alignment horizontal="right"/>
    </xf>
    <xf numFmtId="226" fontId="22" fillId="0" borderId="56" applyNumberFormat="0" applyFont="0" applyFill="0" applyBorder="0" applyAlignment="0" applyProtection="0">
      <alignment horizontal="right"/>
    </xf>
    <xf numFmtId="226" fontId="22" fillId="0" borderId="56" applyNumberFormat="0" applyFont="0" applyFill="0" applyBorder="0" applyAlignment="0" applyProtection="0">
      <alignment horizontal="right"/>
    </xf>
    <xf numFmtId="226" fontId="22" fillId="0" borderId="56" applyNumberFormat="0" applyFont="0" applyFill="0" applyBorder="0" applyAlignment="0" applyProtection="0">
      <alignment horizontal="right"/>
    </xf>
    <xf numFmtId="226" fontId="22" fillId="0" borderId="56" applyNumberFormat="0" applyFont="0" applyFill="0" applyBorder="0" applyAlignment="0" applyProtection="0">
      <alignment horizontal="right"/>
    </xf>
    <xf numFmtId="0" fontId="66" fillId="0" borderId="60" applyNumberFormat="0" applyFill="0" applyBorder="0" applyAlignment="0" applyProtection="0">
      <alignment horizontal="center"/>
    </xf>
    <xf numFmtId="0" fontId="66" fillId="0" borderId="60" applyNumberFormat="0" applyFill="0" applyBorder="0" applyAlignment="0" applyProtection="0">
      <alignment horizontal="center"/>
    </xf>
    <xf numFmtId="0" fontId="69" fillId="0" borderId="60" applyNumberFormat="0" applyFill="0" applyBorder="0" applyProtection="0">
      <alignment horizontal="right" vertical="center"/>
    </xf>
    <xf numFmtId="0" fontId="69" fillId="0" borderId="60" applyNumberFormat="0" applyFill="0" applyBorder="0" applyProtection="0">
      <alignment horizontal="right" vertical="center"/>
    </xf>
    <xf numFmtId="165" fontId="70" fillId="0" borderId="58" applyAlignment="0">
      <alignment horizontal="right"/>
    </xf>
    <xf numFmtId="8" fontId="81" fillId="0" borderId="70">
      <protection locked="0"/>
    </xf>
    <xf numFmtId="8" fontId="81" fillId="0" borderId="70">
      <protection locked="0"/>
    </xf>
    <xf numFmtId="1" fontId="94" fillId="36" borderId="55" applyNumberFormat="0" applyBorder="0" applyAlignment="0">
      <alignment horizontal="centerContinuous" vertical="center"/>
      <protection locked="0"/>
    </xf>
    <xf numFmtId="1" fontId="94" fillId="36" borderId="55" applyNumberFormat="0" applyBorder="0" applyAlignment="0">
      <alignment horizontal="centerContinuous" vertical="center"/>
      <protection locked="0"/>
    </xf>
    <xf numFmtId="1" fontId="94" fillId="36" borderId="55" applyNumberFormat="0" applyBorder="0" applyAlignment="0">
      <alignment horizontal="centerContinuous" vertical="center"/>
      <protection locked="0"/>
    </xf>
    <xf numFmtId="0" fontId="111" fillId="0" borderId="54">
      <alignment horizontal="left" vertical="top"/>
    </xf>
    <xf numFmtId="0" fontId="114" fillId="0" borderId="54">
      <alignment horizontal="left" vertical="top"/>
    </xf>
    <xf numFmtId="0" fontId="115" fillId="0" borderId="71" applyNumberFormat="0" applyFill="0" applyAlignment="0" applyProtection="0"/>
    <xf numFmtId="0" fontId="122" fillId="11" borderId="69" applyNumberFormat="0" applyAlignment="0" applyProtection="0"/>
    <xf numFmtId="0" fontId="122" fillId="11" borderId="69" applyNumberFormat="0" applyAlignment="0" applyProtection="0"/>
    <xf numFmtId="0" fontId="59" fillId="41" borderId="72">
      <alignment horizontal="left" vertical="center" wrapText="1"/>
    </xf>
    <xf numFmtId="0" fontId="59" fillId="41" borderId="72">
      <alignment horizontal="left" vertical="center" wrapText="1"/>
    </xf>
    <xf numFmtId="0" fontId="22" fillId="0" borderId="60" applyFont="0" applyFill="0" applyBorder="0" applyProtection="0"/>
    <xf numFmtId="0" fontId="22" fillId="0" borderId="60" applyFont="0" applyFill="0" applyBorder="0" applyProtection="0"/>
    <xf numFmtId="282" fontId="22" fillId="0" borderId="60" applyFont="0" applyFill="0" applyBorder="0" applyAlignment="0" applyProtection="0"/>
    <xf numFmtId="282" fontId="22" fillId="0" borderId="60" applyFont="0" applyFill="0" applyBorder="0" applyAlignment="0" applyProtection="0"/>
    <xf numFmtId="0" fontId="15" fillId="42" borderId="68" applyNumberFormat="0" applyFont="0" applyAlignment="0" applyProtection="0"/>
    <xf numFmtId="0" fontId="15" fillId="42" borderId="68" applyNumberFormat="0" applyFont="0" applyAlignment="0" applyProtection="0"/>
    <xf numFmtId="0" fontId="15" fillId="42" borderId="68" applyNumberFormat="0" applyFont="0" applyAlignment="0" applyProtection="0"/>
    <xf numFmtId="0" fontId="15" fillId="42" borderId="68" applyNumberFormat="0" applyFont="0" applyAlignment="0" applyProtection="0"/>
    <xf numFmtId="0" fontId="144" fillId="32" borderId="73" applyNumberFormat="0" applyAlignment="0" applyProtection="0"/>
    <xf numFmtId="0" fontId="144" fillId="32" borderId="73" applyNumberFormat="0" applyAlignment="0" applyProtection="0"/>
    <xf numFmtId="0" fontId="144" fillId="32" borderId="73" applyNumberFormat="0" applyAlignment="0" applyProtection="0"/>
    <xf numFmtId="0" fontId="15" fillId="0" borderId="60" applyBorder="0" applyProtection="0">
      <alignment horizontal="right" vertical="center"/>
    </xf>
    <xf numFmtId="0" fontId="15" fillId="0" borderId="60" applyBorder="0" applyProtection="0">
      <alignment horizontal="right" vertical="center"/>
    </xf>
    <xf numFmtId="0" fontId="155" fillId="44" borderId="60" applyBorder="0" applyProtection="0">
      <alignment horizontal="centerContinuous" vertical="center"/>
    </xf>
    <xf numFmtId="0" fontId="155" fillId="44" borderId="60" applyBorder="0" applyProtection="0">
      <alignment horizontal="centerContinuous" vertical="center"/>
    </xf>
    <xf numFmtId="0" fontId="99" fillId="0" borderId="54" applyFill="0" applyBorder="0" applyProtection="0">
      <alignment horizontal="left" vertical="top"/>
    </xf>
    <xf numFmtId="171" fontId="160" fillId="0" borderId="56" applyNumberFormat="0" applyFont="0" applyFill="0" applyAlignment="0" applyProtection="0"/>
    <xf numFmtId="171" fontId="160" fillId="0" borderId="56" applyNumberFormat="0" applyFont="0" applyFill="0" applyAlignment="0" applyProtection="0"/>
    <xf numFmtId="171" fontId="160" fillId="0" borderId="56" applyNumberFormat="0" applyFon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82" fillId="0" borderId="0" applyNumberFormat="0" applyFill="0" applyBorder="0" applyAlignment="0" applyProtection="0"/>
    <xf numFmtId="0" fontId="184" fillId="0" borderId="0" applyNumberFormat="0" applyFill="0" applyBorder="0" applyAlignment="0" applyProtection="0"/>
    <xf numFmtId="0" fontId="185" fillId="0" borderId="0" applyNumberFormat="0" applyFill="0" applyBorder="0" applyAlignment="0" applyProtection="0"/>
    <xf numFmtId="44" fontId="1" fillId="0" borderId="0" applyFont="0" applyFill="0" applyBorder="0" applyAlignment="0" applyProtection="0"/>
    <xf numFmtId="0" fontId="170" fillId="0" borderId="0"/>
    <xf numFmtId="0" fontId="15" fillId="0" borderId="0" applyNumberFormat="0" applyFill="0" applyBorder="0" applyAlignment="0" applyProtection="0"/>
    <xf numFmtId="0" fontId="194" fillId="0" borderId="0" applyNumberFormat="0" applyFill="0" applyBorder="0" applyAlignment="0" applyProtection="0"/>
    <xf numFmtId="0" fontId="195" fillId="0" borderId="0" applyNumberFormat="0" applyFill="0" applyBorder="0" applyAlignment="0" applyProtection="0"/>
    <xf numFmtId="0" fontId="196" fillId="0" borderId="0" applyNumberFormat="0" applyFill="0" applyBorder="0" applyAlignment="0" applyProtection="0"/>
    <xf numFmtId="0" fontId="197" fillId="0" borderId="0" applyNumberFormat="0" applyFill="0" applyBorder="0" applyAlignment="0" applyProtection="0"/>
    <xf numFmtId="0" fontId="198" fillId="0" borderId="0" applyNumberFormat="0" applyFill="0" applyBorder="0" applyAlignment="0" applyProtection="0"/>
    <xf numFmtId="0" fontId="199" fillId="0" borderId="0" applyNumberFormat="0" applyFill="0" applyBorder="0" applyAlignment="0" applyProtection="0"/>
    <xf numFmtId="0" fontId="15" fillId="0" borderId="0" applyNumberFormat="0" applyFill="0" applyBorder="0" applyAlignment="0" applyProtection="0"/>
    <xf numFmtId="0" fontId="15" fillId="0" borderId="0"/>
    <xf numFmtId="0" fontId="15" fillId="0" borderId="0" applyNumberFormat="0" applyFill="0" applyBorder="0" applyAlignment="0" applyProtection="0"/>
  </cellStyleXfs>
  <cellXfs count="642">
    <xf numFmtId="0" fontId="0" fillId="0" borderId="0" xfId="0"/>
    <xf numFmtId="0" fontId="3" fillId="0" borderId="0" xfId="0" applyFont="1"/>
    <xf numFmtId="0" fontId="3" fillId="0" borderId="1" xfId="0" applyFont="1" applyBorder="1"/>
    <xf numFmtId="0" fontId="3" fillId="0" borderId="2" xfId="0" applyFont="1" applyBorder="1"/>
    <xf numFmtId="0" fontId="3" fillId="0" borderId="3" xfId="0" applyFont="1" applyBorder="1" applyAlignment="1">
      <alignment horizontal="right"/>
    </xf>
    <xf numFmtId="164" fontId="0" fillId="0" borderId="0" xfId="0" applyNumberFormat="1"/>
    <xf numFmtId="0" fontId="2" fillId="0" borderId="0" xfId="0" applyFont="1"/>
    <xf numFmtId="0" fontId="0" fillId="0" borderId="5" xfId="0" applyBorder="1"/>
    <xf numFmtId="0" fontId="0" fillId="0" borderId="0" xfId="0" applyAlignment="1">
      <alignment horizontal="right"/>
    </xf>
    <xf numFmtId="164" fontId="4" fillId="0" borderId="0" xfId="0" applyNumberFormat="1" applyFont="1"/>
    <xf numFmtId="164" fontId="0" fillId="0" borderId="6" xfId="0" applyNumberFormat="1" applyBorder="1"/>
    <xf numFmtId="165" fontId="0" fillId="0" borderId="0" xfId="0" applyNumberFormat="1"/>
    <xf numFmtId="165" fontId="0" fillId="0" borderId="6" xfId="0" applyNumberFormat="1" applyBorder="1"/>
    <xf numFmtId="0" fontId="3" fillId="0" borderId="4" xfId="0" applyFont="1" applyBorder="1"/>
    <xf numFmtId="0" fontId="0" fillId="0" borderId="6" xfId="0" applyBorder="1"/>
    <xf numFmtId="166" fontId="5" fillId="0" borderId="0" xfId="1" applyNumberFormat="1" applyFont="1" applyBorder="1"/>
    <xf numFmtId="166" fontId="5" fillId="0" borderId="6" xfId="1" applyNumberFormat="1" applyFont="1" applyBorder="1"/>
    <xf numFmtId="0" fontId="0" fillId="0" borderId="7" xfId="0" applyBorder="1"/>
    <xf numFmtId="166" fontId="5" fillId="0" borderId="9" xfId="1" applyNumberFormat="1" applyFont="1" applyBorder="1"/>
    <xf numFmtId="164" fontId="5" fillId="0" borderId="0" xfId="0" applyNumberFormat="1" applyFont="1"/>
    <xf numFmtId="0" fontId="0" fillId="0" borderId="19" xfId="0" applyBorder="1"/>
    <xf numFmtId="0" fontId="3" fillId="0" borderId="5" xfId="0" applyFont="1" applyBorder="1"/>
    <xf numFmtId="164" fontId="3" fillId="0" borderId="0" xfId="0" applyNumberFormat="1" applyFont="1"/>
    <xf numFmtId="3" fontId="4" fillId="0" borderId="0" xfId="0" applyNumberFormat="1" applyFont="1"/>
    <xf numFmtId="0" fontId="3" fillId="0" borderId="3" xfId="0" applyFont="1" applyBorder="1"/>
    <xf numFmtId="0" fontId="0" fillId="0" borderId="8" xfId="0" applyBorder="1"/>
    <xf numFmtId="0" fontId="3" fillId="0" borderId="1" xfId="0" applyFont="1" applyBorder="1" applyAlignment="1">
      <alignment horizontal="right"/>
    </xf>
    <xf numFmtId="0" fontId="9" fillId="0" borderId="0" xfId="0" applyFont="1"/>
    <xf numFmtId="0" fontId="0" fillId="0" borderId="0" xfId="0" quotePrefix="1"/>
    <xf numFmtId="170" fontId="0" fillId="0" borderId="0" xfId="0" applyNumberFormat="1"/>
    <xf numFmtId="166" fontId="0" fillId="0" borderId="0" xfId="1" applyNumberFormat="1" applyFont="1" applyBorder="1"/>
    <xf numFmtId="167" fontId="0" fillId="0" borderId="0" xfId="0" applyNumberFormat="1"/>
    <xf numFmtId="0" fontId="3" fillId="2" borderId="21" xfId="0" applyFont="1" applyFill="1" applyBorder="1"/>
    <xf numFmtId="0" fontId="8" fillId="0" borderId="22" xfId="0" applyFont="1" applyBorder="1" applyAlignment="1">
      <alignment horizontal="right"/>
    </xf>
    <xf numFmtId="0" fontId="8" fillId="0" borderId="23" xfId="0" applyFont="1" applyBorder="1" applyAlignment="1">
      <alignment horizontal="right"/>
    </xf>
    <xf numFmtId="0" fontId="9" fillId="0" borderId="10" xfId="0" applyFont="1" applyBorder="1"/>
    <xf numFmtId="164" fontId="3" fillId="0" borderId="25" xfId="0" applyNumberFormat="1" applyFont="1" applyBorder="1"/>
    <xf numFmtId="0" fontId="9" fillId="0" borderId="15" xfId="0" applyFont="1" applyBorder="1"/>
    <xf numFmtId="164" fontId="0" fillId="0" borderId="20" xfId="0" applyNumberFormat="1" applyBorder="1"/>
    <xf numFmtId="0" fontId="0" fillId="0" borderId="15" xfId="0" applyBorder="1"/>
    <xf numFmtId="164" fontId="0" fillId="0" borderId="19" xfId="0" applyNumberFormat="1" applyBorder="1"/>
    <xf numFmtId="3" fontId="0" fillId="0" borderId="0" xfId="0" applyNumberFormat="1"/>
    <xf numFmtId="166" fontId="4" fillId="0" borderId="0" xfId="0" applyNumberFormat="1" applyFont="1"/>
    <xf numFmtId="0" fontId="0" fillId="0" borderId="13" xfId="0" applyBorder="1"/>
    <xf numFmtId="164" fontId="3" fillId="0" borderId="2" xfId="0" applyNumberFormat="1" applyFont="1" applyBorder="1"/>
    <xf numFmtId="166" fontId="11" fillId="0" borderId="0" xfId="1" applyNumberFormat="1" applyFont="1" applyBorder="1"/>
    <xf numFmtId="0" fontId="0" fillId="0" borderId="1" xfId="0" applyBorder="1"/>
    <xf numFmtId="0" fontId="0" fillId="0" borderId="28" xfId="0" applyBorder="1"/>
    <xf numFmtId="164" fontId="0" fillId="0" borderId="29" xfId="0" applyNumberFormat="1" applyBorder="1"/>
    <xf numFmtId="164" fontId="4" fillId="0" borderId="29" xfId="0" applyNumberFormat="1" applyFont="1" applyBorder="1"/>
    <xf numFmtId="164" fontId="3" fillId="0" borderId="4" xfId="0" applyNumberFormat="1" applyFont="1" applyBorder="1"/>
    <xf numFmtId="164" fontId="3" fillId="0" borderId="29" xfId="0" applyNumberFormat="1" applyFont="1" applyBorder="1"/>
    <xf numFmtId="0" fontId="0" fillId="0" borderId="29" xfId="0" applyBorder="1"/>
    <xf numFmtId="166" fontId="11" fillId="0" borderId="29" xfId="1" applyNumberFormat="1" applyFont="1" applyBorder="1"/>
    <xf numFmtId="0" fontId="3" fillId="0" borderId="4" xfId="0" applyFont="1" applyBorder="1" applyAlignment="1">
      <alignment horizontal="right"/>
    </xf>
    <xf numFmtId="0" fontId="0" fillId="0" borderId="28" xfId="0" applyBorder="1" applyAlignment="1">
      <alignment horizontal="right"/>
    </xf>
    <xf numFmtId="164" fontId="5" fillId="0" borderId="29" xfId="0" applyNumberFormat="1" applyFont="1" applyBorder="1"/>
    <xf numFmtId="0" fontId="14" fillId="0" borderId="0" xfId="0" applyFont="1"/>
    <xf numFmtId="164" fontId="14" fillId="0" borderId="0" xfId="0" applyNumberFormat="1" applyFont="1"/>
    <xf numFmtId="166" fontId="4" fillId="0" borderId="29" xfId="1" applyNumberFormat="1" applyFont="1" applyBorder="1"/>
    <xf numFmtId="164" fontId="0" fillId="0" borderId="5" xfId="0" applyNumberFormat="1" applyBorder="1"/>
    <xf numFmtId="164" fontId="4" fillId="0" borderId="5" xfId="0" applyNumberFormat="1" applyFont="1" applyBorder="1"/>
    <xf numFmtId="0" fontId="0" fillId="0" borderId="19" xfId="0" applyBorder="1" applyAlignment="1">
      <alignment horizontal="right"/>
    </xf>
    <xf numFmtId="164" fontId="163" fillId="0" borderId="2" xfId="0" applyNumberFormat="1" applyFont="1" applyBorder="1"/>
    <xf numFmtId="164" fontId="2" fillId="0" borderId="0" xfId="0" applyNumberFormat="1" applyFont="1"/>
    <xf numFmtId="164" fontId="2" fillId="0" borderId="29" xfId="0" applyNumberFormat="1" applyFont="1" applyBorder="1"/>
    <xf numFmtId="3" fontId="4" fillId="0" borderId="29" xfId="0" applyNumberFormat="1" applyFont="1" applyBorder="1"/>
    <xf numFmtId="0" fontId="0" fillId="0" borderId="0" xfId="0" quotePrefix="1" applyAlignment="1">
      <alignment horizontal="right"/>
    </xf>
    <xf numFmtId="0" fontId="0" fillId="0" borderId="29" xfId="0" applyBorder="1" applyAlignment="1">
      <alignment horizontal="right"/>
    </xf>
    <xf numFmtId="166" fontId="5" fillId="0" borderId="29" xfId="1" applyNumberFormat="1" applyFont="1" applyBorder="1"/>
    <xf numFmtId="166" fontId="5" fillId="0" borderId="53" xfId="1" applyNumberFormat="1" applyFont="1" applyBorder="1"/>
    <xf numFmtId="166" fontId="5" fillId="0" borderId="5" xfId="1" applyNumberFormat="1" applyFont="1" applyBorder="1"/>
    <xf numFmtId="0" fontId="0" fillId="0" borderId="5" xfId="0" applyBorder="1" applyAlignment="1">
      <alignment horizontal="right"/>
    </xf>
    <xf numFmtId="164" fontId="5" fillId="0" borderId="5" xfId="0" applyNumberFormat="1" applyFont="1" applyBorder="1"/>
    <xf numFmtId="164" fontId="3" fillId="0" borderId="5" xfId="0" applyNumberFormat="1" applyFont="1" applyBorder="1"/>
    <xf numFmtId="3" fontId="4" fillId="0" borderId="5" xfId="0" applyNumberFormat="1" applyFont="1" applyBorder="1"/>
    <xf numFmtId="164" fontId="3" fillId="0" borderId="1" xfId="0" applyNumberFormat="1" applyFont="1" applyBorder="1"/>
    <xf numFmtId="164" fontId="3" fillId="0" borderId="28" xfId="0" applyNumberFormat="1" applyFont="1" applyBorder="1"/>
    <xf numFmtId="164" fontId="3" fillId="0" borderId="19" xfId="0" applyNumberFormat="1" applyFont="1" applyBorder="1"/>
    <xf numFmtId="164" fontId="3" fillId="0" borderId="18" xfId="0" applyNumberFormat="1" applyFont="1" applyBorder="1"/>
    <xf numFmtId="164" fontId="14" fillId="0" borderId="29" xfId="0" applyNumberFormat="1" applyFont="1" applyBorder="1"/>
    <xf numFmtId="166" fontId="11" fillId="0" borderId="5" xfId="1" applyNumberFormat="1" applyFont="1" applyBorder="1"/>
    <xf numFmtId="166" fontId="10" fillId="0" borderId="29" xfId="1" applyNumberFormat="1" applyFont="1" applyBorder="1"/>
    <xf numFmtId="164" fontId="5" fillId="0" borderId="6" xfId="0" applyNumberFormat="1" applyFont="1" applyBorder="1"/>
    <xf numFmtId="0" fontId="3" fillId="0" borderId="0" xfId="0" applyFont="1" applyAlignment="1">
      <alignment horizontal="right"/>
    </xf>
    <xf numFmtId="164" fontId="0" fillId="0" borderId="18" xfId="0" applyNumberFormat="1" applyBorder="1"/>
    <xf numFmtId="2" fontId="0" fillId="0" borderId="0" xfId="0" applyNumberFormat="1"/>
    <xf numFmtId="0" fontId="4" fillId="0" borderId="0" xfId="0" applyFont="1"/>
    <xf numFmtId="0" fontId="5" fillId="0" borderId="0" xfId="0" applyFont="1"/>
    <xf numFmtId="169" fontId="0" fillId="0" borderId="0" xfId="0" applyNumberFormat="1"/>
    <xf numFmtId="0" fontId="3" fillId="0" borderId="0" xfId="0" quotePrefix="1" applyFont="1" applyAlignment="1">
      <alignment horizontal="right"/>
    </xf>
    <xf numFmtId="170" fontId="0" fillId="0" borderId="0" xfId="0" applyNumberFormat="1" applyAlignment="1">
      <alignment horizontal="right" vertical="center" wrapText="1"/>
    </xf>
    <xf numFmtId="9" fontId="4" fillId="0" borderId="0" xfId="0" applyNumberFormat="1" applyFont="1"/>
    <xf numFmtId="164" fontId="3" fillId="46" borderId="4" xfId="0" applyNumberFormat="1" applyFont="1" applyFill="1" applyBorder="1"/>
    <xf numFmtId="0" fontId="3" fillId="46" borderId="0" xfId="0" applyFont="1" applyFill="1"/>
    <xf numFmtId="0" fontId="9" fillId="0" borderId="29" xfId="0" applyFont="1" applyBorder="1"/>
    <xf numFmtId="165" fontId="4" fillId="0" borderId="0" xfId="0" applyNumberFormat="1" applyFont="1"/>
    <xf numFmtId="0" fontId="3" fillId="0" borderId="55" xfId="0" applyFont="1" applyBorder="1"/>
    <xf numFmtId="0" fontId="3" fillId="0" borderId="56" xfId="0" applyFont="1" applyBorder="1"/>
    <xf numFmtId="164" fontId="4" fillId="0" borderId="6" xfId="0" applyNumberFormat="1" applyFont="1" applyBorder="1"/>
    <xf numFmtId="0" fontId="8" fillId="0" borderId="0" xfId="0" applyFont="1" applyAlignment="1">
      <alignment horizontal="right"/>
    </xf>
    <xf numFmtId="9" fontId="5" fillId="0" borderId="0" xfId="1" applyFont="1"/>
    <xf numFmtId="164" fontId="5" fillId="0" borderId="20" xfId="0" applyNumberFormat="1" applyFont="1" applyBorder="1"/>
    <xf numFmtId="0" fontId="0" fillId="0" borderId="58" xfId="0" applyBorder="1"/>
    <xf numFmtId="167" fontId="8" fillId="46" borderId="4" xfId="0" applyNumberFormat="1" applyFont="1" applyFill="1" applyBorder="1"/>
    <xf numFmtId="0" fontId="3" fillId="0" borderId="29" xfId="0" applyFont="1" applyBorder="1"/>
    <xf numFmtId="0" fontId="3" fillId="0" borderId="28" xfId="0" applyFont="1" applyBorder="1"/>
    <xf numFmtId="0" fontId="3" fillId="46" borderId="4" xfId="0" applyFont="1" applyFill="1" applyBorder="1"/>
    <xf numFmtId="0" fontId="0" fillId="0" borderId="54" xfId="0" applyBorder="1"/>
    <xf numFmtId="0" fontId="0" fillId="0" borderId="14" xfId="0" applyBorder="1"/>
    <xf numFmtId="0" fontId="0" fillId="0" borderId="60" xfId="0" applyBorder="1"/>
    <xf numFmtId="167" fontId="8" fillId="0" borderId="4" xfId="0" applyNumberFormat="1" applyFont="1" applyBorder="1"/>
    <xf numFmtId="167" fontId="0" fillId="0" borderId="4" xfId="0" applyNumberFormat="1" applyBorder="1"/>
    <xf numFmtId="164" fontId="3" fillId="46" borderId="3" xfId="0" applyNumberFormat="1" applyFont="1" applyFill="1" applyBorder="1"/>
    <xf numFmtId="0" fontId="0" fillId="0" borderId="6" xfId="0" applyBorder="1" applyAlignment="1">
      <alignment horizontal="right"/>
    </xf>
    <xf numFmtId="167" fontId="8" fillId="0" borderId="3" xfId="0" applyNumberFormat="1" applyFont="1" applyBorder="1"/>
    <xf numFmtId="164" fontId="3" fillId="0" borderId="6" xfId="0" applyNumberFormat="1" applyFont="1" applyBorder="1"/>
    <xf numFmtId="164" fontId="2" fillId="0" borderId="5" xfId="0" applyNumberFormat="1" applyFont="1" applyBorder="1"/>
    <xf numFmtId="164" fontId="14" fillId="0" borderId="5" xfId="0" applyNumberFormat="1" applyFont="1" applyBorder="1"/>
    <xf numFmtId="0" fontId="0" fillId="0" borderId="18" xfId="0" applyBorder="1"/>
    <xf numFmtId="170" fontId="4" fillId="0" borderId="19" xfId="0" applyNumberFormat="1" applyFont="1" applyBorder="1"/>
    <xf numFmtId="0" fontId="166" fillId="0" borderId="0" xfId="0" applyFont="1"/>
    <xf numFmtId="0" fontId="166" fillId="0" borderId="5" xfId="0" applyFont="1" applyBorder="1"/>
    <xf numFmtId="0" fontId="3" fillId="0" borderId="53" xfId="0" applyFont="1" applyBorder="1" applyAlignment="1">
      <alignment horizontal="right"/>
    </xf>
    <xf numFmtId="9" fontId="5" fillId="0" borderId="0" xfId="0" applyNumberFormat="1" applyFont="1"/>
    <xf numFmtId="166" fontId="8" fillId="0" borderId="29" xfId="1" applyNumberFormat="1" applyFont="1" applyFill="1" applyBorder="1"/>
    <xf numFmtId="166" fontId="8" fillId="0" borderId="6" xfId="1" applyNumberFormat="1" applyFont="1" applyFill="1" applyBorder="1"/>
    <xf numFmtId="164" fontId="0" fillId="0" borderId="25" xfId="0" applyNumberFormat="1" applyBorder="1"/>
    <xf numFmtId="3" fontId="5" fillId="0" borderId="5" xfId="0" applyNumberFormat="1" applyFont="1" applyBorder="1"/>
    <xf numFmtId="166" fontId="11" fillId="0" borderId="6" xfId="1" applyNumberFormat="1" applyFont="1" applyBorder="1"/>
    <xf numFmtId="0" fontId="0" fillId="0" borderId="18" xfId="0" applyBorder="1" applyAlignment="1">
      <alignment horizontal="right"/>
    </xf>
    <xf numFmtId="0" fontId="0" fillId="0" borderId="20" xfId="0" applyBorder="1" applyAlignment="1">
      <alignment horizontal="right"/>
    </xf>
    <xf numFmtId="0" fontId="3" fillId="0" borderId="2" xfId="0" applyFont="1" applyBorder="1" applyAlignment="1">
      <alignment horizontal="right"/>
    </xf>
    <xf numFmtId="164" fontId="3" fillId="0" borderId="3" xfId="0" applyNumberFormat="1" applyFont="1" applyBorder="1"/>
    <xf numFmtId="0" fontId="8" fillId="0" borderId="24" xfId="0" applyFont="1" applyBorder="1" applyAlignment="1">
      <alignment horizontal="right"/>
    </xf>
    <xf numFmtId="9" fontId="4" fillId="0" borderId="6" xfId="0" applyNumberFormat="1" applyFont="1" applyBorder="1"/>
    <xf numFmtId="170" fontId="3" fillId="0" borderId="0" xfId="0" applyNumberFormat="1" applyFont="1"/>
    <xf numFmtId="9" fontId="0" fillId="0" borderId="0" xfId="1" applyFont="1" applyFill="1"/>
    <xf numFmtId="166" fontId="0" fillId="0" borderId="0" xfId="1" applyNumberFormat="1" applyFont="1" applyFill="1" applyBorder="1"/>
    <xf numFmtId="9" fontId="0" fillId="0" borderId="0" xfId="0" applyNumberFormat="1"/>
    <xf numFmtId="3" fontId="5" fillId="0" borderId="0" xfId="0" applyNumberFormat="1" applyFont="1"/>
    <xf numFmtId="3" fontId="3" fillId="0" borderId="0" xfId="0" applyNumberFormat="1" applyFont="1"/>
    <xf numFmtId="166" fontId="3" fillId="0" borderId="0" xfId="1" applyNumberFormat="1" applyFont="1" applyFill="1" applyBorder="1"/>
    <xf numFmtId="9" fontId="0" fillId="0" borderId="0" xfId="0" quotePrefix="1" applyNumberFormat="1" applyAlignment="1">
      <alignment horizontal="center"/>
    </xf>
    <xf numFmtId="9" fontId="3" fillId="0" borderId="0" xfId="1" applyFont="1" applyFill="1" applyBorder="1"/>
    <xf numFmtId="0" fontId="0" fillId="0" borderId="0" xfId="0" quotePrefix="1" applyAlignment="1">
      <alignment horizontal="center"/>
    </xf>
    <xf numFmtId="9" fontId="3" fillId="0" borderId="0" xfId="1" applyFont="1" applyFill="1"/>
    <xf numFmtId="164" fontId="3" fillId="0" borderId="63" xfId="0" applyNumberFormat="1" applyFont="1" applyBorder="1"/>
    <xf numFmtId="164" fontId="3" fillId="0" borderId="24" xfId="0" applyNumberFormat="1" applyFont="1" applyBorder="1"/>
    <xf numFmtId="0" fontId="8" fillId="0" borderId="21" xfId="0" applyFont="1" applyBorder="1" applyAlignment="1">
      <alignment horizontal="right"/>
    </xf>
    <xf numFmtId="3" fontId="0" fillId="0" borderId="60" xfId="0" applyNumberFormat="1" applyBorder="1"/>
    <xf numFmtId="164" fontId="3" fillId="0" borderId="64" xfId="0" quotePrefix="1" applyNumberFormat="1" applyFont="1" applyBorder="1" applyAlignment="1">
      <alignment horizontal="center"/>
    </xf>
    <xf numFmtId="164" fontId="3" fillId="0" borderId="63" xfId="0" quotePrefix="1" applyNumberFormat="1" applyFont="1" applyBorder="1" applyAlignment="1">
      <alignment horizontal="center"/>
    </xf>
    <xf numFmtId="166" fontId="5" fillId="0" borderId="58" xfId="1" applyNumberFormat="1" applyFont="1" applyBorder="1"/>
    <xf numFmtId="165" fontId="3" fillId="0" borderId="0" xfId="0" applyNumberFormat="1" applyFont="1"/>
    <xf numFmtId="0" fontId="9" fillId="0" borderId="29" xfId="0" applyFont="1" applyBorder="1" applyAlignment="1">
      <alignment horizontal="left" indent="1"/>
    </xf>
    <xf numFmtId="0" fontId="166" fillId="0" borderId="29" xfId="0" applyFont="1" applyBorder="1"/>
    <xf numFmtId="3" fontId="4" fillId="0" borderId="6" xfId="0" applyNumberFormat="1" applyFont="1" applyBorder="1"/>
    <xf numFmtId="0" fontId="3" fillId="0" borderId="18" xfId="0" applyFont="1" applyBorder="1" applyAlignment="1">
      <alignment horizontal="right"/>
    </xf>
    <xf numFmtId="0" fontId="3" fillId="0" borderId="19" xfId="0" applyFont="1" applyBorder="1" applyAlignment="1">
      <alignment horizontal="right"/>
    </xf>
    <xf numFmtId="0" fontId="0" fillId="0" borderId="56" xfId="0" applyBorder="1"/>
    <xf numFmtId="0" fontId="0" fillId="0" borderId="57" xfId="0" applyBorder="1"/>
    <xf numFmtId="0" fontId="0" fillId="0" borderId="59" xfId="0" applyBorder="1"/>
    <xf numFmtId="0" fontId="0" fillId="0" borderId="14" xfId="0" quotePrefix="1" applyBorder="1" applyAlignment="1">
      <alignment horizontal="center"/>
    </xf>
    <xf numFmtId="164" fontId="0" fillId="0" borderId="64" xfId="0" applyNumberFormat="1" applyBorder="1"/>
    <xf numFmtId="164" fontId="0" fillId="0" borderId="55" xfId="0" applyNumberFormat="1" applyBorder="1"/>
    <xf numFmtId="0" fontId="5" fillId="0" borderId="54" xfId="0" applyFont="1" applyBorder="1"/>
    <xf numFmtId="0" fontId="0" fillId="0" borderId="63" xfId="0" quotePrefix="1" applyBorder="1" applyAlignment="1">
      <alignment horizontal="center"/>
    </xf>
    <xf numFmtId="0" fontId="0" fillId="0" borderId="61" xfId="0" applyBorder="1"/>
    <xf numFmtId="164" fontId="0" fillId="0" borderId="63" xfId="0" applyNumberFormat="1" applyBorder="1"/>
    <xf numFmtId="169" fontId="164" fillId="0" borderId="4" xfId="0" applyNumberFormat="1" applyFont="1" applyBorder="1"/>
    <xf numFmtId="0" fontId="0" fillId="0" borderId="13" xfId="0" quotePrefix="1" applyBorder="1" applyAlignment="1">
      <alignment horizontal="center"/>
    </xf>
    <xf numFmtId="0" fontId="0" fillId="0" borderId="53" xfId="0" applyBorder="1" applyAlignment="1">
      <alignment horizontal="right"/>
    </xf>
    <xf numFmtId="166" fontId="4" fillId="0" borderId="6" xfId="0" applyNumberFormat="1" applyFont="1" applyBorder="1"/>
    <xf numFmtId="166" fontId="4" fillId="0" borderId="5" xfId="0" applyNumberFormat="1" applyFont="1" applyBorder="1"/>
    <xf numFmtId="166" fontId="8" fillId="0" borderId="5" xfId="1" applyNumberFormat="1" applyFont="1" applyFill="1" applyBorder="1"/>
    <xf numFmtId="166" fontId="5" fillId="0" borderId="7" xfId="1" applyNumberFormat="1" applyFont="1" applyBorder="1"/>
    <xf numFmtId="166" fontId="8" fillId="0" borderId="0" xfId="1" applyNumberFormat="1" applyFont="1" applyFill="1" applyBorder="1"/>
    <xf numFmtId="169" fontId="3" fillId="0" borderId="0" xfId="0" applyNumberFormat="1" applyFont="1" applyAlignment="1">
      <alignment horizontal="right"/>
    </xf>
    <xf numFmtId="164" fontId="3" fillId="46" borderId="1" xfId="0" applyNumberFormat="1" applyFont="1" applyFill="1" applyBorder="1"/>
    <xf numFmtId="166" fontId="175" fillId="0" borderId="0" xfId="1" applyNumberFormat="1" applyFont="1" applyBorder="1"/>
    <xf numFmtId="164" fontId="5" fillId="0" borderId="5" xfId="1" applyNumberFormat="1" applyFont="1" applyFill="1" applyBorder="1"/>
    <xf numFmtId="9" fontId="4" fillId="0" borderId="9" xfId="0" applyNumberFormat="1" applyFont="1" applyBorder="1"/>
    <xf numFmtId="0" fontId="3" fillId="0" borderId="25" xfId="0" applyFont="1" applyBorder="1"/>
    <xf numFmtId="0" fontId="0" fillId="0" borderId="57" xfId="0" quotePrefix="1" applyBorder="1" applyAlignment="1">
      <alignment horizontal="center"/>
    </xf>
    <xf numFmtId="0" fontId="9" fillId="0" borderId="27" xfId="0" applyFont="1" applyBorder="1"/>
    <xf numFmtId="164" fontId="0" fillId="0" borderId="27" xfId="0" applyNumberFormat="1" applyBorder="1"/>
    <xf numFmtId="164" fontId="0" fillId="0" borderId="54" xfId="0" applyNumberFormat="1" applyBorder="1"/>
    <xf numFmtId="0" fontId="0" fillId="0" borderId="54" xfId="0" quotePrefix="1" applyBorder="1" applyAlignment="1">
      <alignment horizontal="center"/>
    </xf>
    <xf numFmtId="0" fontId="9" fillId="0" borderId="26" xfId="0" applyFont="1" applyBorder="1"/>
    <xf numFmtId="164" fontId="5" fillId="0" borderId="26" xfId="0" applyNumberFormat="1" applyFont="1" applyBorder="1"/>
    <xf numFmtId="0" fontId="0" fillId="0" borderId="26" xfId="0" applyBorder="1"/>
    <xf numFmtId="164" fontId="0" fillId="0" borderId="26" xfId="0" applyNumberFormat="1" applyBorder="1"/>
    <xf numFmtId="164" fontId="4" fillId="0" borderId="26" xfId="0" applyNumberFormat="1" applyFont="1" applyBorder="1"/>
    <xf numFmtId="0" fontId="0" fillId="0" borderId="61" xfId="0" quotePrefix="1" applyBorder="1" applyAlignment="1">
      <alignment horizontal="center"/>
    </xf>
    <xf numFmtId="0" fontId="12" fillId="0" borderId="25" xfId="0" applyFont="1" applyBorder="1"/>
    <xf numFmtId="164" fontId="3" fillId="0" borderId="55" xfId="0" applyNumberFormat="1" applyFont="1" applyBorder="1"/>
    <xf numFmtId="166" fontId="9" fillId="0" borderId="24" xfId="1" applyNumberFormat="1" applyFont="1" applyFill="1" applyBorder="1"/>
    <xf numFmtId="166" fontId="9" fillId="0" borderId="21" xfId="1" applyNumberFormat="1" applyFont="1" applyFill="1" applyBorder="1"/>
    <xf numFmtId="0" fontId="0" fillId="0" borderId="24" xfId="0" applyBorder="1"/>
    <xf numFmtId="3" fontId="0" fillId="0" borderId="22" xfId="0" applyNumberFormat="1" applyBorder="1"/>
    <xf numFmtId="0" fontId="12" fillId="0" borderId="15" xfId="0" applyFont="1" applyBorder="1"/>
    <xf numFmtId="164" fontId="3" fillId="0" borderId="26" xfId="0" applyNumberFormat="1" applyFont="1" applyBorder="1"/>
    <xf numFmtId="164" fontId="3" fillId="0" borderId="15" xfId="0" applyNumberFormat="1" applyFont="1" applyBorder="1"/>
    <xf numFmtId="0" fontId="0" fillId="0" borderId="10" xfId="0" applyBorder="1"/>
    <xf numFmtId="166" fontId="4" fillId="0" borderId="64" xfId="0" applyNumberFormat="1" applyFont="1" applyBorder="1"/>
    <xf numFmtId="166" fontId="5" fillId="0" borderId="63" xfId="0" applyNumberFormat="1" applyFont="1" applyBorder="1"/>
    <xf numFmtId="166" fontId="4" fillId="0" borderId="63" xfId="0" applyNumberFormat="1" applyFont="1" applyBorder="1"/>
    <xf numFmtId="166" fontId="13" fillId="0" borderId="63" xfId="0" applyNumberFormat="1" applyFont="1" applyBorder="1"/>
    <xf numFmtId="166" fontId="0" fillId="0" borderId="63" xfId="0" applyNumberFormat="1" applyBorder="1"/>
    <xf numFmtId="166" fontId="0" fillId="0" borderId="62" xfId="0" applyNumberFormat="1" applyBorder="1"/>
    <xf numFmtId="0" fontId="0" fillId="0" borderId="11" xfId="0" applyBorder="1"/>
    <xf numFmtId="165" fontId="5" fillId="0" borderId="12" xfId="0" applyNumberFormat="1" applyFont="1" applyBorder="1"/>
    <xf numFmtId="9" fontId="4" fillId="0" borderId="14" xfId="0" applyNumberFormat="1" applyFont="1" applyBorder="1"/>
    <xf numFmtId="9" fontId="5" fillId="0" borderId="14" xfId="0" applyNumberFormat="1" applyFont="1" applyBorder="1"/>
    <xf numFmtId="9" fontId="5" fillId="0" borderId="61" xfId="0" applyNumberFormat="1" applyFont="1" applyBorder="1"/>
    <xf numFmtId="0" fontId="3" fillId="0" borderId="7" xfId="0" applyFont="1" applyBorder="1"/>
    <xf numFmtId="170" fontId="3" fillId="0" borderId="4" xfId="0" applyNumberFormat="1" applyFont="1" applyBorder="1"/>
    <xf numFmtId="0" fontId="0" fillId="0" borderId="16" xfId="0" applyBorder="1"/>
    <xf numFmtId="9" fontId="5" fillId="0" borderId="17" xfId="0" applyNumberFormat="1" applyFont="1" applyBorder="1"/>
    <xf numFmtId="165" fontId="0" fillId="0" borderId="27" xfId="0" applyNumberFormat="1" applyBorder="1"/>
    <xf numFmtId="0" fontId="9" fillId="0" borderId="25" xfId="0" applyFont="1" applyBorder="1"/>
    <xf numFmtId="165" fontId="0" fillId="0" borderId="11" xfId="0" applyNumberFormat="1" applyBorder="1"/>
    <xf numFmtId="165" fontId="0" fillId="0" borderId="25" xfId="0" applyNumberFormat="1" applyBorder="1"/>
    <xf numFmtId="165" fontId="0" fillId="0" borderId="55" xfId="0" applyNumberFormat="1" applyBorder="1"/>
    <xf numFmtId="166" fontId="9" fillId="0" borderId="64" xfId="1" applyNumberFormat="1" applyFont="1" applyFill="1" applyBorder="1"/>
    <xf numFmtId="166" fontId="9" fillId="0" borderId="55" xfId="1" applyNumberFormat="1" applyFont="1" applyFill="1" applyBorder="1"/>
    <xf numFmtId="165" fontId="3" fillId="0" borderId="62" xfId="0" applyNumberFormat="1" applyFont="1" applyBorder="1"/>
    <xf numFmtId="165" fontId="3" fillId="0" borderId="26" xfId="0" applyNumberFormat="1" applyFont="1" applyBorder="1"/>
    <xf numFmtId="165" fontId="3" fillId="0" borderId="59" xfId="0" applyNumberFormat="1" applyFont="1" applyBorder="1"/>
    <xf numFmtId="166" fontId="10" fillId="0" borderId="0" xfId="1" applyNumberFormat="1" applyFont="1" applyFill="1" applyBorder="1"/>
    <xf numFmtId="9" fontId="2" fillId="0" borderId="0" xfId="0" applyNumberFormat="1" applyFont="1"/>
    <xf numFmtId="165" fontId="3" fillId="0" borderId="61" xfId="0" applyNumberFormat="1" applyFont="1" applyBorder="1"/>
    <xf numFmtId="0" fontId="8" fillId="0" borderId="4" xfId="0" applyFont="1" applyBorder="1" applyAlignment="1">
      <alignment horizontal="right"/>
    </xf>
    <xf numFmtId="0" fontId="3" fillId="0" borderId="28" xfId="0" applyFont="1" applyBorder="1" applyAlignment="1">
      <alignment horizontal="right"/>
    </xf>
    <xf numFmtId="0" fontId="5" fillId="0" borderId="0" xfId="936" applyFont="1"/>
    <xf numFmtId="0" fontId="5" fillId="0" borderId="0" xfId="936" applyFont="1" applyAlignment="1">
      <alignment vertical="center"/>
    </xf>
    <xf numFmtId="0" fontId="177" fillId="0" borderId="0" xfId="936" applyFont="1" applyAlignment="1">
      <alignment horizontal="center" vertical="center"/>
    </xf>
    <xf numFmtId="0" fontId="178" fillId="0" borderId="0" xfId="936" applyFont="1" applyAlignment="1">
      <alignment horizontal="center" vertical="center" wrapText="1"/>
    </xf>
    <xf numFmtId="0" fontId="178" fillId="0" borderId="0" xfId="639" applyFont="1" applyAlignment="1">
      <alignment horizontal="center" vertical="center" wrapText="1"/>
    </xf>
    <xf numFmtId="0" fontId="178" fillId="0" borderId="0" xfId="936" applyFont="1" applyAlignment="1">
      <alignment horizontal="center" vertical="center"/>
    </xf>
    <xf numFmtId="9" fontId="179" fillId="0" borderId="0" xfId="639" quotePrefix="1" applyNumberFormat="1" applyFont="1" applyAlignment="1">
      <alignment horizontal="center" vertical="center"/>
    </xf>
    <xf numFmtId="14" fontId="178" fillId="0" borderId="0" xfId="936" applyNumberFormat="1" applyFont="1" applyAlignment="1">
      <alignment horizontal="center" vertical="center"/>
    </xf>
    <xf numFmtId="0" fontId="180" fillId="0" borderId="0" xfId="640" applyFont="1"/>
    <xf numFmtId="0" fontId="180" fillId="0" borderId="0" xfId="640" applyFont="1" applyAlignment="1">
      <alignment wrapText="1"/>
    </xf>
    <xf numFmtId="0" fontId="181" fillId="48" borderId="0" xfId="936" applyFont="1" applyFill="1" applyAlignment="1" applyProtection="1">
      <alignment horizontal="center" vertical="center" wrapText="1"/>
      <protection locked="0"/>
    </xf>
    <xf numFmtId="0" fontId="1" fillId="0" borderId="0" xfId="936"/>
    <xf numFmtId="0" fontId="5" fillId="0" borderId="0" xfId="936" applyFont="1" applyAlignment="1">
      <alignment horizontal="left" vertical="center"/>
    </xf>
    <xf numFmtId="0" fontId="170" fillId="0" borderId="0" xfId="1122"/>
    <xf numFmtId="0" fontId="170" fillId="0" borderId="0" xfId="1122" applyAlignment="1">
      <alignment wrapText="1"/>
    </xf>
    <xf numFmtId="0" fontId="176" fillId="48" borderId="0" xfId="950" applyFont="1" applyFill="1" applyAlignment="1" applyProtection="1">
      <alignment horizontal="center" vertical="center" wrapText="1"/>
      <protection locked="0"/>
    </xf>
    <xf numFmtId="3" fontId="0" fillId="0" borderId="6" xfId="0" applyNumberFormat="1" applyBorder="1"/>
    <xf numFmtId="164" fontId="13" fillId="0" borderId="29" xfId="0" applyNumberFormat="1" applyFont="1" applyBorder="1"/>
    <xf numFmtId="3" fontId="0" fillId="0" borderId="19" xfId="0" applyNumberFormat="1" applyBorder="1"/>
    <xf numFmtId="3" fontId="0" fillId="0" borderId="18" xfId="0" applyNumberFormat="1" applyBorder="1"/>
    <xf numFmtId="0" fontId="0" fillId="0" borderId="29" xfId="0" applyBorder="1" applyAlignment="1">
      <alignment horizontal="left"/>
    </xf>
    <xf numFmtId="3" fontId="0" fillId="0" borderId="9" xfId="0" applyNumberFormat="1" applyBorder="1"/>
    <xf numFmtId="164" fontId="2" fillId="0" borderId="6" xfId="0" applyNumberFormat="1" applyFont="1" applyBorder="1"/>
    <xf numFmtId="166" fontId="175" fillId="0" borderId="29" xfId="1" applyNumberFormat="1" applyFont="1" applyBorder="1"/>
    <xf numFmtId="0" fontId="12" fillId="0" borderId="28" xfId="0" applyFont="1" applyBorder="1"/>
    <xf numFmtId="0" fontId="186" fillId="0" borderId="0" xfId="0" applyFont="1"/>
    <xf numFmtId="164" fontId="4" fillId="0" borderId="28" xfId="0" applyNumberFormat="1" applyFont="1" applyBorder="1"/>
    <xf numFmtId="164" fontId="5" fillId="0" borderId="28" xfId="0" applyNumberFormat="1" applyFont="1" applyBorder="1"/>
    <xf numFmtId="3" fontId="5" fillId="0" borderId="29" xfId="0" applyNumberFormat="1" applyFont="1" applyBorder="1"/>
    <xf numFmtId="164" fontId="5" fillId="0" borderId="0" xfId="1" applyNumberFormat="1" applyFont="1" applyFill="1" applyBorder="1"/>
    <xf numFmtId="166" fontId="4" fillId="0" borderId="0" xfId="1" applyNumberFormat="1" applyFont="1" applyBorder="1"/>
    <xf numFmtId="164" fontId="3" fillId="0" borderId="20" xfId="0" applyNumberFormat="1" applyFont="1" applyBorder="1"/>
    <xf numFmtId="3" fontId="5" fillId="0" borderId="6" xfId="0" applyNumberFormat="1" applyFont="1" applyBorder="1"/>
    <xf numFmtId="164" fontId="8" fillId="0" borderId="4" xfId="0" applyNumberFormat="1" applyFont="1" applyBorder="1"/>
    <xf numFmtId="164" fontId="8" fillId="0" borderId="1" xfId="0" applyNumberFormat="1" applyFont="1" applyBorder="1"/>
    <xf numFmtId="164" fontId="8" fillId="0" borderId="2" xfId="0" applyNumberFormat="1" applyFont="1" applyBorder="1"/>
    <xf numFmtId="164" fontId="8" fillId="0" borderId="3" xfId="0" applyNumberFormat="1" applyFont="1" applyBorder="1"/>
    <xf numFmtId="164" fontId="5" fillId="0" borderId="29" xfId="1" applyNumberFormat="1" applyFont="1" applyFill="1" applyBorder="1"/>
    <xf numFmtId="0" fontId="12" fillId="0" borderId="29" xfId="0" applyFont="1" applyBorder="1" applyAlignment="1">
      <alignment horizontal="left" indent="1"/>
    </xf>
    <xf numFmtId="0" fontId="12" fillId="0" borderId="4" xfId="0" applyFont="1" applyBorder="1" applyAlignment="1">
      <alignment horizontal="left" indent="1"/>
    </xf>
    <xf numFmtId="166" fontId="175" fillId="0" borderId="1" xfId="1" applyNumberFormat="1" applyFont="1" applyBorder="1"/>
    <xf numFmtId="166" fontId="175" fillId="0" borderId="2" xfId="1" applyNumberFormat="1" applyFont="1" applyBorder="1"/>
    <xf numFmtId="166" fontId="175" fillId="0" borderId="3" xfId="1" applyNumberFormat="1" applyFont="1" applyBorder="1"/>
    <xf numFmtId="166" fontId="175" fillId="0" borderId="4" xfId="1" applyNumberFormat="1" applyFont="1" applyBorder="1"/>
    <xf numFmtId="0" fontId="12" fillId="0" borderId="0" xfId="0" applyFont="1" applyAlignment="1">
      <alignment horizontal="left" indent="1"/>
    </xf>
    <xf numFmtId="166" fontId="175" fillId="0" borderId="58" xfId="1" applyNumberFormat="1" applyFont="1" applyBorder="1"/>
    <xf numFmtId="166" fontId="175" fillId="0" borderId="7" xfId="1" applyNumberFormat="1" applyFont="1" applyBorder="1"/>
    <xf numFmtId="166" fontId="175" fillId="0" borderId="9" xfId="1" applyNumberFormat="1" applyFont="1" applyBorder="1"/>
    <xf numFmtId="165" fontId="4" fillId="0" borderId="58" xfId="0" applyNumberFormat="1" applyFont="1" applyBorder="1"/>
    <xf numFmtId="166" fontId="5" fillId="0" borderId="29" xfId="0" applyNumberFormat="1" applyFont="1" applyBorder="1"/>
    <xf numFmtId="166" fontId="9" fillId="0" borderId="10" xfId="1" applyNumberFormat="1" applyFont="1" applyFill="1" applyBorder="1"/>
    <xf numFmtId="164" fontId="183" fillId="0" borderId="0" xfId="0" applyNumberFormat="1" applyFont="1"/>
    <xf numFmtId="164" fontId="8" fillId="0" borderId="9" xfId="0" applyNumberFormat="1" applyFont="1" applyBorder="1"/>
    <xf numFmtId="166" fontId="175" fillId="0" borderId="53" xfId="1" applyNumberFormat="1" applyFont="1" applyBorder="1"/>
    <xf numFmtId="170" fontId="3" fillId="0" borderId="2" xfId="0" applyNumberFormat="1" applyFont="1" applyBorder="1"/>
    <xf numFmtId="0" fontId="0" fillId="0" borderId="4" xfId="0" applyBorder="1"/>
    <xf numFmtId="164" fontId="0" fillId="0" borderId="58" xfId="0" applyNumberFormat="1" applyBorder="1"/>
    <xf numFmtId="0" fontId="187" fillId="0" borderId="0" xfId="936" applyFont="1" applyAlignment="1" applyProtection="1">
      <alignment horizontal="center" vertical="center" wrapText="1"/>
      <protection locked="0"/>
    </xf>
    <xf numFmtId="0" fontId="176" fillId="50" borderId="0" xfId="936" applyFont="1" applyFill="1" applyAlignment="1" applyProtection="1">
      <alignment horizontal="center" vertical="center" wrapText="1"/>
      <protection locked="0"/>
    </xf>
    <xf numFmtId="0" fontId="188" fillId="0" borderId="0" xfId="0" applyFont="1"/>
    <xf numFmtId="0" fontId="189" fillId="0" borderId="0" xfId="936" applyFont="1" applyAlignment="1">
      <alignment horizontal="center" vertical="center"/>
    </xf>
    <xf numFmtId="0" fontId="190" fillId="0" borderId="0" xfId="936" applyFont="1" applyAlignment="1">
      <alignment horizontal="center" vertical="center" wrapText="1"/>
    </xf>
    <xf numFmtId="0" fontId="190" fillId="0" borderId="0" xfId="639" applyFont="1" applyAlignment="1">
      <alignment horizontal="center" vertical="center" wrapText="1"/>
    </xf>
    <xf numFmtId="0" fontId="190" fillId="0" borderId="0" xfId="936" applyFont="1" applyAlignment="1">
      <alignment horizontal="center" vertical="center"/>
    </xf>
    <xf numFmtId="14" fontId="190" fillId="0" borderId="0" xfId="936" applyNumberFormat="1" applyFont="1" applyAlignment="1">
      <alignment horizontal="center" vertical="center"/>
    </xf>
    <xf numFmtId="9" fontId="190" fillId="0" borderId="0" xfId="639" quotePrefix="1" applyNumberFormat="1" applyFont="1" applyAlignment="1">
      <alignment horizontal="center" vertical="center"/>
    </xf>
    <xf numFmtId="0" fontId="191" fillId="0" borderId="0" xfId="936" applyFont="1" applyAlignment="1">
      <alignment vertical="top"/>
    </xf>
    <xf numFmtId="0" fontId="192" fillId="0" borderId="0" xfId="950" applyFont="1" applyAlignment="1" applyProtection="1">
      <alignment horizontal="center" vertical="center" wrapText="1"/>
      <protection locked="0"/>
    </xf>
    <xf numFmtId="0" fontId="189" fillId="0" borderId="0" xfId="950" applyFont="1" applyAlignment="1">
      <alignment horizontal="center" vertical="center"/>
    </xf>
    <xf numFmtId="0" fontId="190" fillId="0" borderId="0" xfId="950" applyFont="1" applyAlignment="1">
      <alignment horizontal="center" vertical="center" wrapText="1"/>
    </xf>
    <xf numFmtId="0" fontId="193" fillId="0" borderId="0" xfId="0" applyFont="1" applyAlignment="1">
      <alignment wrapText="1"/>
    </xf>
    <xf numFmtId="0" fontId="193" fillId="0" borderId="0" xfId="0" applyFont="1" applyAlignment="1">
      <alignment horizontal="center" vertical="center"/>
    </xf>
    <xf numFmtId="169" fontId="3" fillId="0" borderId="4" xfId="0" applyNumberFormat="1" applyFont="1" applyBorder="1"/>
    <xf numFmtId="165" fontId="0" fillId="0" borderId="58" xfId="0" applyNumberFormat="1" applyBorder="1"/>
    <xf numFmtId="0" fontId="3" fillId="46" borderId="1" xfId="0" applyFont="1" applyFill="1" applyBorder="1"/>
    <xf numFmtId="164" fontId="8" fillId="46" borderId="2" xfId="0" applyNumberFormat="1" applyFont="1" applyFill="1" applyBorder="1"/>
    <xf numFmtId="164" fontId="8" fillId="46" borderId="4" xfId="0" applyNumberFormat="1" applyFont="1" applyFill="1" applyBorder="1"/>
    <xf numFmtId="166" fontId="183" fillId="0" borderId="0" xfId="1" applyNumberFormat="1" applyFont="1" applyBorder="1"/>
    <xf numFmtId="309" fontId="0" fillId="0" borderId="0" xfId="0" applyNumberFormat="1"/>
    <xf numFmtId="310" fontId="175" fillId="0" borderId="0" xfId="1217" applyNumberFormat="1" applyFont="1" applyBorder="1"/>
    <xf numFmtId="166" fontId="11" fillId="0" borderId="53" xfId="1" applyNumberFormat="1" applyFont="1" applyBorder="1"/>
    <xf numFmtId="164" fontId="8" fillId="0" borderId="1" xfId="1" applyNumberFormat="1" applyFont="1" applyFill="1" applyBorder="1"/>
    <xf numFmtId="165" fontId="4" fillId="0" borderId="53" xfId="0" applyNumberFormat="1" applyFont="1" applyBorder="1"/>
    <xf numFmtId="165" fontId="0" fillId="0" borderId="57" xfId="0" applyNumberFormat="1" applyBorder="1"/>
    <xf numFmtId="165" fontId="0" fillId="0" borderId="63" xfId="0" applyNumberFormat="1" applyBorder="1"/>
    <xf numFmtId="0" fontId="3" fillId="0" borderId="13" xfId="0" applyFont="1" applyBorder="1"/>
    <xf numFmtId="167" fontId="8" fillId="0" borderId="1" xfId="0" applyNumberFormat="1" applyFont="1" applyBorder="1"/>
    <xf numFmtId="167" fontId="8" fillId="0" borderId="2" xfId="0" applyNumberFormat="1" applyFont="1" applyBorder="1"/>
    <xf numFmtId="165" fontId="175" fillId="0" borderId="0" xfId="1" applyNumberFormat="1" applyFont="1" applyBorder="1"/>
    <xf numFmtId="0" fontId="178" fillId="0" borderId="0" xfId="640" applyFont="1" applyAlignment="1">
      <alignment horizontal="center" vertical="center" wrapText="1"/>
    </xf>
    <xf numFmtId="0" fontId="179" fillId="0" borderId="0" xfId="640" applyFont="1" applyAlignment="1">
      <alignment horizontal="center" vertical="center" wrapText="1"/>
    </xf>
    <xf numFmtId="0" fontId="179" fillId="0" borderId="0" xfId="936" applyFont="1" applyAlignment="1">
      <alignment horizontal="center" vertical="center" wrapText="1"/>
    </xf>
    <xf numFmtId="166" fontId="175" fillId="0" borderId="6" xfId="1" applyNumberFormat="1" applyFont="1" applyBorder="1"/>
    <xf numFmtId="167" fontId="8" fillId="46" borderId="58" xfId="0" applyNumberFormat="1" applyFont="1" applyFill="1" applyBorder="1"/>
    <xf numFmtId="167" fontId="8" fillId="46" borderId="9" xfId="0" applyNumberFormat="1" applyFont="1" applyFill="1" applyBorder="1"/>
    <xf numFmtId="0" fontId="3" fillId="0" borderId="9" xfId="0" applyFont="1" applyBorder="1" applyAlignment="1">
      <alignment horizontal="right"/>
    </xf>
    <xf numFmtId="0" fontId="3" fillId="0" borderId="20" xfId="0" applyFont="1" applyBorder="1" applyAlignment="1">
      <alignment horizontal="right"/>
    </xf>
    <xf numFmtId="0" fontId="0" fillId="0" borderId="7" xfId="0" applyBorder="1" applyAlignment="1">
      <alignment horizontal="right"/>
    </xf>
    <xf numFmtId="0" fontId="0" fillId="0" borderId="58" xfId="0" applyBorder="1" applyAlignment="1">
      <alignment horizontal="right"/>
    </xf>
    <xf numFmtId="0" fontId="0" fillId="0" borderId="9" xfId="0" applyBorder="1" applyAlignment="1">
      <alignment horizontal="right"/>
    </xf>
    <xf numFmtId="164" fontId="8" fillId="0" borderId="58" xfId="0" applyNumberFormat="1" applyFont="1" applyBorder="1"/>
    <xf numFmtId="164" fontId="5" fillId="0" borderId="9" xfId="0" applyNumberFormat="1" applyFont="1" applyBorder="1"/>
    <xf numFmtId="164" fontId="8" fillId="0" borderId="19" xfId="0" applyNumberFormat="1" applyFont="1" applyBorder="1"/>
    <xf numFmtId="166" fontId="175" fillId="0" borderId="5" xfId="1" applyNumberFormat="1" applyFont="1" applyBorder="1"/>
    <xf numFmtId="164" fontId="0" fillId="0" borderId="7" xfId="0" applyNumberFormat="1" applyBorder="1"/>
    <xf numFmtId="0" fontId="0" fillId="0" borderId="20" xfId="0" applyBorder="1"/>
    <xf numFmtId="164" fontId="8" fillId="0" borderId="7" xfId="0" applyNumberFormat="1" applyFont="1" applyBorder="1"/>
    <xf numFmtId="164" fontId="13" fillId="0" borderId="5" xfId="0" applyNumberFormat="1" applyFont="1" applyBorder="1"/>
    <xf numFmtId="166" fontId="4" fillId="0" borderId="5" xfId="1" applyNumberFormat="1" applyFont="1" applyBorder="1"/>
    <xf numFmtId="164" fontId="8" fillId="46" borderId="19" xfId="0" applyNumberFormat="1" applyFont="1" applyFill="1" applyBorder="1"/>
    <xf numFmtId="164" fontId="5" fillId="0" borderId="18" xfId="0" applyNumberFormat="1" applyFont="1" applyBorder="1"/>
    <xf numFmtId="164" fontId="5" fillId="0" borderId="19" xfId="0" applyNumberFormat="1" applyFont="1" applyBorder="1"/>
    <xf numFmtId="166" fontId="5" fillId="0" borderId="5" xfId="0" applyNumberFormat="1" applyFont="1" applyBorder="1"/>
    <xf numFmtId="0" fontId="3" fillId="0" borderId="24" xfId="0" applyFont="1" applyBorder="1"/>
    <xf numFmtId="0" fontId="9" fillId="0" borderId="63" xfId="0" applyFont="1" applyBorder="1"/>
    <xf numFmtId="0" fontId="9" fillId="0" borderId="62" xfId="0" applyFont="1" applyBorder="1"/>
    <xf numFmtId="166" fontId="10" fillId="0" borderId="0" xfId="1" applyNumberFormat="1" applyFont="1" applyBorder="1"/>
    <xf numFmtId="0" fontId="0" fillId="0" borderId="5" xfId="0" quotePrefix="1" applyBorder="1" applyAlignment="1">
      <alignment wrapText="1"/>
    </xf>
    <xf numFmtId="0" fontId="3" fillId="0" borderId="5" xfId="0" applyFont="1" applyBorder="1" applyAlignment="1">
      <alignment wrapText="1"/>
    </xf>
    <xf numFmtId="0" fontId="3" fillId="0" borderId="5" xfId="0" quotePrefix="1" applyFont="1" applyBorder="1" applyAlignment="1">
      <alignment wrapText="1"/>
    </xf>
    <xf numFmtId="0" fontId="0" fillId="0" borderId="5" xfId="0" quotePrefix="1" applyBorder="1"/>
    <xf numFmtId="169" fontId="0" fillId="0" borderId="6" xfId="0" applyNumberFormat="1" applyBorder="1"/>
    <xf numFmtId="0" fontId="9" fillId="0" borderId="5" xfId="0" applyFont="1" applyBorder="1"/>
    <xf numFmtId="166" fontId="10" fillId="0" borderId="6" xfId="0" applyNumberFormat="1" applyFont="1" applyBorder="1"/>
    <xf numFmtId="170" fontId="0" fillId="0" borderId="6" xfId="0" applyNumberFormat="1" applyBorder="1"/>
    <xf numFmtId="0" fontId="0" fillId="0" borderId="2" xfId="0" applyBorder="1"/>
    <xf numFmtId="170" fontId="3" fillId="0" borderId="3" xfId="0" applyNumberFormat="1" applyFont="1" applyBorder="1"/>
    <xf numFmtId="0" fontId="9" fillId="0" borderId="4" xfId="0" applyFont="1" applyBorder="1"/>
    <xf numFmtId="166" fontId="0" fillId="0" borderId="2" xfId="0" applyNumberFormat="1" applyBorder="1"/>
    <xf numFmtId="166" fontId="0" fillId="0" borderId="3" xfId="0" applyNumberFormat="1" applyBorder="1"/>
    <xf numFmtId="0" fontId="9" fillId="0" borderId="1" xfId="0" applyFont="1" applyBorder="1"/>
    <xf numFmtId="3" fontId="0" fillId="0" borderId="5" xfId="0" applyNumberFormat="1" applyBorder="1"/>
    <xf numFmtId="166" fontId="10" fillId="0" borderId="0" xfId="0" applyNumberFormat="1" applyFont="1"/>
    <xf numFmtId="3" fontId="0" fillId="0" borderId="20" xfId="0" applyNumberFormat="1" applyBorder="1"/>
    <xf numFmtId="10" fontId="9" fillId="0" borderId="0" xfId="1" applyNumberFormat="1" applyFont="1" applyBorder="1"/>
    <xf numFmtId="10" fontId="9" fillId="0" borderId="6" xfId="1" applyNumberFormat="1" applyFont="1" applyBorder="1"/>
    <xf numFmtId="0" fontId="0" fillId="0" borderId="9" xfId="0" applyBorder="1"/>
    <xf numFmtId="0" fontId="0" fillId="0" borderId="5" xfId="0" applyBorder="1" applyAlignment="1">
      <alignment wrapText="1"/>
    </xf>
    <xf numFmtId="9" fontId="9" fillId="0" borderId="0" xfId="1" applyFont="1" applyBorder="1"/>
    <xf numFmtId="0" fontId="9" fillId="0" borderId="5" xfId="0" applyFont="1" applyBorder="1" applyAlignment="1">
      <alignment horizontal="left" indent="1"/>
    </xf>
    <xf numFmtId="0" fontId="9" fillId="0" borderId="5" xfId="0" applyFont="1" applyBorder="1" applyAlignment="1">
      <alignment wrapText="1"/>
    </xf>
    <xf numFmtId="0" fontId="9" fillId="0" borderId="7" xfId="0" applyFont="1" applyBorder="1"/>
    <xf numFmtId="9" fontId="9" fillId="0" borderId="5" xfId="1" applyFont="1" applyBorder="1"/>
    <xf numFmtId="9" fontId="9" fillId="0" borderId="6" xfId="1" applyFont="1" applyBorder="1"/>
    <xf numFmtId="166" fontId="11" fillId="0" borderId="0" xfId="0" applyNumberFormat="1" applyFont="1"/>
    <xf numFmtId="166" fontId="11" fillId="0" borderId="6" xfId="0" applyNumberFormat="1" applyFont="1" applyBorder="1"/>
    <xf numFmtId="0" fontId="0" fillId="0" borderId="53" xfId="0" applyBorder="1"/>
    <xf numFmtId="3" fontId="0" fillId="0" borderId="0" xfId="0" applyNumberFormat="1" applyAlignment="1">
      <alignment horizontal="right"/>
    </xf>
    <xf numFmtId="9" fontId="0" fillId="0" borderId="0" xfId="0" applyNumberFormat="1" applyAlignment="1">
      <alignment horizontal="right"/>
    </xf>
    <xf numFmtId="166" fontId="0" fillId="0" borderId="0" xfId="0" applyNumberFormat="1" applyAlignment="1">
      <alignment horizontal="right"/>
    </xf>
    <xf numFmtId="3" fontId="0" fillId="0" borderId="5" xfId="0" applyNumberFormat="1" applyBorder="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9" fontId="4" fillId="0" borderId="5" xfId="0" applyNumberFormat="1" applyFont="1" applyBorder="1" applyAlignment="1">
      <alignment horizontal="right"/>
    </xf>
    <xf numFmtId="9" fontId="0" fillId="0" borderId="6" xfId="0" applyNumberFormat="1" applyBorder="1" applyAlignment="1">
      <alignment horizontal="right"/>
    </xf>
    <xf numFmtId="3" fontId="0" fillId="0" borderId="6" xfId="0" applyNumberFormat="1" applyBorder="1" applyAlignment="1">
      <alignment horizontal="right"/>
    </xf>
    <xf numFmtId="10" fontId="4" fillId="0" borderId="5" xfId="0" applyNumberFormat="1" applyFont="1" applyBorder="1" applyAlignment="1">
      <alignment horizontal="right"/>
    </xf>
    <xf numFmtId="166" fontId="0" fillId="0" borderId="6" xfId="0" applyNumberFormat="1" applyBorder="1" applyAlignment="1">
      <alignment horizontal="right"/>
    </xf>
    <xf numFmtId="0" fontId="3" fillId="0" borderId="7" xfId="0" applyFont="1" applyBorder="1" applyAlignment="1">
      <alignment horizontal="right"/>
    </xf>
    <xf numFmtId="0" fontId="3" fillId="0" borderId="58" xfId="0" applyFont="1" applyBorder="1" applyAlignment="1">
      <alignment horizontal="right"/>
    </xf>
    <xf numFmtId="166" fontId="10" fillId="0" borderId="19" xfId="0" applyNumberFormat="1" applyFont="1" applyBorder="1"/>
    <xf numFmtId="166" fontId="10" fillId="0" borderId="20" xfId="0" applyNumberFormat="1" applyFont="1" applyBorder="1"/>
    <xf numFmtId="0" fontId="3" fillId="0" borderId="18" xfId="0" quotePrefix="1" applyFont="1" applyBorder="1" applyAlignment="1">
      <alignment wrapText="1"/>
    </xf>
    <xf numFmtId="9" fontId="4" fillId="0" borderId="5" xfId="0" applyNumberFormat="1" applyFont="1" applyBorder="1"/>
    <xf numFmtId="0" fontId="9" fillId="0" borderId="5" xfId="0" quotePrefix="1" applyFont="1" applyBorder="1"/>
    <xf numFmtId="9" fontId="0" fillId="0" borderId="6" xfId="0" applyNumberFormat="1" applyBorder="1"/>
    <xf numFmtId="169" fontId="0" fillId="0" borderId="5" xfId="0" applyNumberFormat="1" applyBorder="1"/>
    <xf numFmtId="0" fontId="3" fillId="49" borderId="29" xfId="0" applyFont="1" applyFill="1" applyBorder="1"/>
    <xf numFmtId="3" fontId="1" fillId="0" borderId="5" xfId="1" applyNumberFormat="1" applyFont="1" applyBorder="1"/>
    <xf numFmtId="3" fontId="1" fillId="0" borderId="0" xfId="1" applyNumberFormat="1" applyFont="1" applyBorder="1"/>
    <xf numFmtId="3" fontId="1" fillId="0" borderId="6" xfId="1" applyNumberFormat="1" applyFont="1" applyBorder="1"/>
    <xf numFmtId="165" fontId="5" fillId="0" borderId="29" xfId="1" applyNumberFormat="1" applyFont="1" applyBorder="1"/>
    <xf numFmtId="164" fontId="5" fillId="0" borderId="29" xfId="1" applyNumberFormat="1" applyFont="1" applyBorder="1"/>
    <xf numFmtId="164" fontId="8" fillId="0" borderId="18" xfId="0" applyNumberFormat="1" applyFont="1" applyBorder="1"/>
    <xf numFmtId="164" fontId="8" fillId="0" borderId="20" xfId="0" applyNumberFormat="1" applyFont="1" applyBorder="1"/>
    <xf numFmtId="164" fontId="4" fillId="0" borderId="7" xfId="0" applyNumberFormat="1" applyFont="1" applyBorder="1"/>
    <xf numFmtId="164" fontId="4" fillId="0" borderId="58" xfId="0" applyNumberFormat="1" applyFont="1" applyBorder="1"/>
    <xf numFmtId="164" fontId="8" fillId="0" borderId="53" xfId="1" applyNumberFormat="1" applyFont="1" applyFill="1" applyBorder="1"/>
    <xf numFmtId="164" fontId="3" fillId="0" borderId="9" xfId="0" applyNumberFormat="1" applyFont="1" applyBorder="1"/>
    <xf numFmtId="0" fontId="3" fillId="0" borderId="29" xfId="0" applyFont="1" applyBorder="1" applyAlignment="1">
      <alignment horizontal="right"/>
    </xf>
    <xf numFmtId="165" fontId="0" fillId="0" borderId="29" xfId="0" applyNumberFormat="1" applyBorder="1"/>
    <xf numFmtId="164" fontId="8" fillId="46" borderId="18" xfId="0" applyNumberFormat="1" applyFont="1" applyFill="1" applyBorder="1"/>
    <xf numFmtId="165" fontId="4" fillId="0" borderId="63" xfId="0" applyNumberFormat="1" applyFont="1" applyBorder="1"/>
    <xf numFmtId="165" fontId="4" fillId="0" borderId="54" xfId="0" applyNumberFormat="1" applyFont="1" applyBorder="1"/>
    <xf numFmtId="170" fontId="3" fillId="0" borderId="0" xfId="0" applyNumberFormat="1" applyFont="1" applyAlignment="1">
      <alignment horizontal="right" vertical="center" wrapText="1"/>
    </xf>
    <xf numFmtId="164" fontId="13" fillId="0" borderId="0" xfId="0" applyNumberFormat="1" applyFont="1"/>
    <xf numFmtId="164" fontId="8" fillId="46" borderId="3" xfId="0" applyNumberFormat="1" applyFont="1" applyFill="1" applyBorder="1"/>
    <xf numFmtId="167" fontId="8" fillId="46" borderId="7" xfId="0" applyNumberFormat="1" applyFont="1" applyFill="1" applyBorder="1"/>
    <xf numFmtId="164" fontId="163" fillId="0" borderId="4" xfId="0" applyNumberFormat="1" applyFont="1" applyBorder="1"/>
    <xf numFmtId="164" fontId="163" fillId="0" borderId="1" xfId="0" applyNumberFormat="1" applyFont="1" applyBorder="1"/>
    <xf numFmtId="166" fontId="11" fillId="0" borderId="58" xfId="1" applyNumberFormat="1" applyFont="1" applyBorder="1"/>
    <xf numFmtId="164" fontId="3" fillId="0" borderId="58" xfId="0" applyNumberFormat="1" applyFont="1" applyBorder="1"/>
    <xf numFmtId="166" fontId="5" fillId="0" borderId="6" xfId="0" applyNumberFormat="1" applyFont="1" applyBorder="1"/>
    <xf numFmtId="164" fontId="5" fillId="49" borderId="3" xfId="0" applyNumberFormat="1" applyFont="1" applyFill="1" applyBorder="1"/>
    <xf numFmtId="164" fontId="3" fillId="46" borderId="18" xfId="0" applyNumberFormat="1" applyFont="1" applyFill="1" applyBorder="1"/>
    <xf numFmtId="164" fontId="3" fillId="46" borderId="19" xfId="0" applyNumberFormat="1" applyFont="1" applyFill="1" applyBorder="1"/>
    <xf numFmtId="164" fontId="3" fillId="46" borderId="20" xfId="0" applyNumberFormat="1" applyFont="1" applyFill="1" applyBorder="1"/>
    <xf numFmtId="166" fontId="175" fillId="0" borderId="18" xfId="1" applyNumberFormat="1" applyFont="1" applyBorder="1"/>
    <xf numFmtId="166" fontId="175" fillId="0" borderId="19" xfId="1" applyNumberFormat="1" applyFont="1" applyBorder="1"/>
    <xf numFmtId="166" fontId="175" fillId="0" borderId="20" xfId="1" applyNumberFormat="1" applyFont="1" applyBorder="1"/>
    <xf numFmtId="164" fontId="0" fillId="0" borderId="9" xfId="0" applyNumberFormat="1" applyBorder="1"/>
    <xf numFmtId="164" fontId="8" fillId="46" borderId="58" xfId="0" applyNumberFormat="1" applyFont="1" applyFill="1" applyBorder="1"/>
    <xf numFmtId="0" fontId="8" fillId="0" borderId="4" xfId="0" applyFont="1" applyBorder="1"/>
    <xf numFmtId="165" fontId="5" fillId="0" borderId="53" xfId="0" applyNumberFormat="1" applyFont="1" applyBorder="1"/>
    <xf numFmtId="166" fontId="4" fillId="0" borderId="29" xfId="1" applyNumberFormat="1" applyFont="1" applyFill="1" applyBorder="1"/>
    <xf numFmtId="165" fontId="5" fillId="0" borderId="0" xfId="0" applyNumberFormat="1" applyFont="1"/>
    <xf numFmtId="167" fontId="164" fillId="0" borderId="2" xfId="0" applyNumberFormat="1" applyFont="1" applyBorder="1"/>
    <xf numFmtId="164" fontId="8" fillId="49" borderId="4" xfId="0" applyNumberFormat="1" applyFont="1" applyFill="1" applyBorder="1"/>
    <xf numFmtId="164" fontId="8" fillId="0" borderId="53" xfId="0" applyNumberFormat="1" applyFont="1" applyBorder="1"/>
    <xf numFmtId="167" fontId="4" fillId="0" borderId="29" xfId="0" applyNumberFormat="1" applyFont="1" applyBorder="1"/>
    <xf numFmtId="166" fontId="4" fillId="0" borderId="25" xfId="0" applyNumberFormat="1" applyFont="1" applyBorder="1"/>
    <xf numFmtId="166" fontId="11" fillId="0" borderId="29" xfId="1" applyNumberFormat="1" applyFont="1" applyFill="1" applyBorder="1"/>
    <xf numFmtId="164" fontId="3" fillId="51" borderId="3" xfId="0" applyNumberFormat="1" applyFont="1" applyFill="1" applyBorder="1"/>
    <xf numFmtId="164" fontId="3" fillId="51" borderId="4" xfId="0" applyNumberFormat="1" applyFont="1" applyFill="1" applyBorder="1"/>
    <xf numFmtId="165" fontId="0" fillId="0" borderId="14" xfId="0" applyNumberFormat="1" applyBorder="1"/>
    <xf numFmtId="0" fontId="3" fillId="0" borderId="75" xfId="0" applyFont="1" applyBorder="1"/>
    <xf numFmtId="0" fontId="8" fillId="0" borderId="76" xfId="0" applyFont="1" applyBorder="1" applyAlignment="1">
      <alignment horizontal="right"/>
    </xf>
    <xf numFmtId="0" fontId="8" fillId="0" borderId="2" xfId="0" applyFont="1" applyBorder="1" applyAlignment="1">
      <alignment horizontal="right"/>
    </xf>
    <xf numFmtId="0" fontId="8" fillId="0" borderId="77" xfId="0" applyFont="1" applyBorder="1" applyAlignment="1">
      <alignment horizontal="right"/>
    </xf>
    <xf numFmtId="0" fontId="8" fillId="0" borderId="78" xfId="0" applyFont="1" applyBorder="1" applyAlignment="1">
      <alignment horizontal="right"/>
    </xf>
    <xf numFmtId="166" fontId="10" fillId="0" borderId="6" xfId="1" applyNumberFormat="1" applyFont="1" applyBorder="1"/>
    <xf numFmtId="164" fontId="0" fillId="0" borderId="13" xfId="0" applyNumberFormat="1" applyBorder="1"/>
    <xf numFmtId="164" fontId="5" fillId="0" borderId="59" xfId="0" applyNumberFormat="1" applyFont="1" applyBorder="1"/>
    <xf numFmtId="164" fontId="4" fillId="0" borderId="59" xfId="0" applyNumberFormat="1" applyFont="1" applyBorder="1"/>
    <xf numFmtId="164" fontId="3" fillId="0" borderId="13" xfId="0" applyNumberFormat="1" applyFont="1" applyBorder="1"/>
    <xf numFmtId="164" fontId="3" fillId="0" borderId="59" xfId="0" applyNumberFormat="1" applyFont="1" applyBorder="1"/>
    <xf numFmtId="164" fontId="3" fillId="0" borderId="57" xfId="0" applyNumberFormat="1" applyFont="1" applyBorder="1"/>
    <xf numFmtId="0" fontId="0" fillId="0" borderId="23" xfId="0" applyBorder="1"/>
    <xf numFmtId="164" fontId="3" fillId="0" borderId="61" xfId="0" applyNumberFormat="1" applyFont="1" applyBorder="1"/>
    <xf numFmtId="0" fontId="8" fillId="0" borderId="25" xfId="0" applyFont="1" applyBorder="1" applyAlignment="1">
      <alignment horizontal="right"/>
    </xf>
    <xf numFmtId="3" fontId="0" fillId="0" borderId="24" xfId="0" applyNumberFormat="1" applyBorder="1"/>
    <xf numFmtId="164" fontId="3" fillId="0" borderId="62" xfId="0" applyNumberFormat="1" applyFont="1" applyBorder="1"/>
    <xf numFmtId="0" fontId="0" fillId="0" borderId="25" xfId="0" quotePrefix="1" applyBorder="1" applyAlignment="1">
      <alignment horizontal="center"/>
    </xf>
    <xf numFmtId="0" fontId="0" fillId="0" borderId="62" xfId="0" quotePrefix="1" applyBorder="1" applyAlignment="1">
      <alignment horizontal="center"/>
    </xf>
    <xf numFmtId="0" fontId="12" fillId="0" borderId="1" xfId="0" applyFont="1" applyBorder="1"/>
    <xf numFmtId="166" fontId="9" fillId="0" borderId="2" xfId="0" applyNumberFormat="1" applyFont="1" applyBorder="1"/>
    <xf numFmtId="165" fontId="0" fillId="0" borderId="10" xfId="0" applyNumberFormat="1" applyBorder="1"/>
    <xf numFmtId="0" fontId="8" fillId="0" borderId="74" xfId="0" applyFont="1" applyBorder="1" applyAlignment="1">
      <alignment horizontal="right"/>
    </xf>
    <xf numFmtId="164" fontId="3" fillId="0" borderId="79" xfId="0" quotePrefix="1" applyNumberFormat="1" applyFont="1" applyBorder="1" applyAlignment="1">
      <alignment horizontal="center"/>
    </xf>
    <xf numFmtId="164" fontId="3" fillId="0" borderId="29" xfId="0" quotePrefix="1" applyNumberFormat="1" applyFont="1" applyBorder="1" applyAlignment="1">
      <alignment horizontal="center"/>
    </xf>
    <xf numFmtId="164" fontId="3" fillId="0" borderId="80" xfId="0" applyNumberFormat="1" applyFont="1" applyBorder="1"/>
    <xf numFmtId="3" fontId="0" fillId="0" borderId="80" xfId="0" applyNumberFormat="1" applyBorder="1"/>
    <xf numFmtId="165" fontId="3" fillId="0" borderId="53" xfId="0" applyNumberFormat="1" applyFont="1" applyBorder="1"/>
    <xf numFmtId="166" fontId="4" fillId="0" borderId="54" xfId="0" applyNumberFormat="1" applyFont="1" applyBorder="1"/>
    <xf numFmtId="166" fontId="13" fillId="0" borderId="54" xfId="0" applyNumberFormat="1" applyFont="1" applyBorder="1"/>
    <xf numFmtId="166" fontId="0" fillId="0" borderId="54" xfId="0" applyNumberFormat="1" applyBorder="1"/>
    <xf numFmtId="10" fontId="9" fillId="0" borderId="0" xfId="1" applyNumberFormat="1" applyFont="1" applyFill="1" applyBorder="1"/>
    <xf numFmtId="164" fontId="4" fillId="0" borderId="63" xfId="0" applyNumberFormat="1" applyFont="1" applyBorder="1"/>
    <xf numFmtId="164" fontId="4" fillId="0" borderId="13" xfId="0" applyNumberFormat="1" applyFont="1" applyBorder="1"/>
    <xf numFmtId="164" fontId="8" fillId="0" borderId="1" xfId="0" applyNumberFormat="1" applyFont="1" applyBorder="1" applyAlignment="1">
      <alignment horizontal="right"/>
    </xf>
    <xf numFmtId="164" fontId="8" fillId="0" borderId="2" xfId="0" applyNumberFormat="1" applyFont="1" applyBorder="1" applyAlignment="1">
      <alignment horizontal="right"/>
    </xf>
    <xf numFmtId="164" fontId="8" fillId="0" borderId="3" xfId="0" applyNumberFormat="1" applyFont="1" applyBorder="1" applyAlignment="1">
      <alignment horizontal="right"/>
    </xf>
    <xf numFmtId="10" fontId="4" fillId="0" borderId="0" xfId="0" applyNumberFormat="1" applyFont="1"/>
    <xf numFmtId="10" fontId="4" fillId="0" borderId="6" xfId="0" applyNumberFormat="1" applyFont="1" applyBorder="1"/>
    <xf numFmtId="169" fontId="5" fillId="0" borderId="0" xfId="0" applyNumberFormat="1" applyFont="1"/>
    <xf numFmtId="9" fontId="9" fillId="0" borderId="0" xfId="0" applyNumberFormat="1" applyFont="1"/>
    <xf numFmtId="166" fontId="9" fillId="0" borderId="0" xfId="0" applyNumberFormat="1" applyFont="1"/>
    <xf numFmtId="166" fontId="9" fillId="0" borderId="6" xfId="0" applyNumberFormat="1" applyFont="1" applyBorder="1"/>
    <xf numFmtId="166" fontId="9" fillId="0" borderId="3" xfId="0" applyNumberFormat="1" applyFont="1" applyBorder="1"/>
    <xf numFmtId="164" fontId="8" fillId="0" borderId="4" xfId="0" applyNumberFormat="1" applyFont="1" applyBorder="1" applyAlignment="1">
      <alignment horizontal="right"/>
    </xf>
    <xf numFmtId="165" fontId="5" fillId="0" borderId="20" xfId="0" applyNumberFormat="1" applyFont="1" applyBorder="1"/>
    <xf numFmtId="9" fontId="5" fillId="0" borderId="9" xfId="0" applyNumberFormat="1" applyFont="1" applyBorder="1"/>
    <xf numFmtId="164" fontId="3" fillId="0" borderId="54" xfId="0" applyNumberFormat="1" applyFont="1" applyBorder="1"/>
    <xf numFmtId="3" fontId="0" fillId="0" borderId="23" xfId="0" applyNumberFormat="1" applyBorder="1"/>
    <xf numFmtId="165" fontId="4" fillId="0" borderId="29" xfId="0" applyNumberFormat="1" applyFont="1" applyBorder="1"/>
    <xf numFmtId="165" fontId="5" fillId="0" borderId="29" xfId="0" applyNumberFormat="1" applyFont="1" applyBorder="1"/>
    <xf numFmtId="165" fontId="2" fillId="0" borderId="0" xfId="0" applyNumberFormat="1" applyFont="1"/>
    <xf numFmtId="165" fontId="4" fillId="0" borderId="5" xfId="0" applyNumberFormat="1" applyFont="1" applyBorder="1"/>
    <xf numFmtId="167" fontId="3" fillId="46" borderId="7" xfId="0" applyNumberFormat="1" applyFont="1" applyFill="1" applyBorder="1"/>
    <xf numFmtId="167" fontId="8" fillId="46" borderId="53" xfId="0" applyNumberFormat="1" applyFont="1" applyFill="1" applyBorder="1"/>
    <xf numFmtId="164" fontId="183" fillId="0" borderId="13" xfId="0" applyNumberFormat="1" applyFont="1" applyBorder="1"/>
    <xf numFmtId="164" fontId="183" fillId="0" borderId="54" xfId="0" applyNumberFormat="1" applyFont="1" applyBorder="1"/>
    <xf numFmtId="164" fontId="183" fillId="0" borderId="63" xfId="0" applyNumberFormat="1" applyFont="1" applyBorder="1"/>
    <xf numFmtId="164" fontId="4" fillId="0" borderId="54" xfId="0" applyNumberFormat="1" applyFont="1" applyBorder="1"/>
    <xf numFmtId="165" fontId="183" fillId="0" borderId="54" xfId="0" applyNumberFormat="1" applyFont="1" applyBorder="1"/>
    <xf numFmtId="165" fontId="183" fillId="0" borderId="62" xfId="0" applyNumberFormat="1" applyFont="1" applyBorder="1"/>
    <xf numFmtId="0" fontId="199" fillId="0" borderId="0" xfId="1225"/>
    <xf numFmtId="164" fontId="8" fillId="49" borderId="2" xfId="0" applyNumberFormat="1" applyFont="1" applyFill="1" applyBorder="1"/>
    <xf numFmtId="164" fontId="183" fillId="0" borderId="5" xfId="0" applyNumberFormat="1" applyFont="1" applyBorder="1"/>
    <xf numFmtId="167" fontId="0" fillId="49" borderId="3" xfId="0" applyNumberFormat="1" applyFill="1" applyBorder="1"/>
    <xf numFmtId="167" fontId="0" fillId="49" borderId="4" xfId="0" applyNumberFormat="1" applyFill="1" applyBorder="1"/>
    <xf numFmtId="167" fontId="4" fillId="0" borderId="0" xfId="0" applyNumberFormat="1" applyFont="1"/>
    <xf numFmtId="170" fontId="0" fillId="0" borderId="19" xfId="0" applyNumberFormat="1" applyBorder="1"/>
    <xf numFmtId="170" fontId="4" fillId="0" borderId="20" xfId="0" applyNumberFormat="1" applyFont="1" applyBorder="1"/>
    <xf numFmtId="167" fontId="4" fillId="0" borderId="6" xfId="0" applyNumberFormat="1" applyFont="1" applyBorder="1"/>
    <xf numFmtId="165" fontId="0" fillId="0" borderId="9" xfId="0" applyNumberFormat="1" applyBorder="1"/>
    <xf numFmtId="167" fontId="8" fillId="46" borderId="2" xfId="0" applyNumberFormat="1" applyFont="1" applyFill="1" applyBorder="1"/>
    <xf numFmtId="166" fontId="4" fillId="0" borderId="6" xfId="1" applyNumberFormat="1" applyFont="1" applyBorder="1"/>
    <xf numFmtId="165" fontId="5" fillId="0" borderId="6" xfId="0" applyNumberFormat="1" applyFont="1" applyBorder="1"/>
    <xf numFmtId="170" fontId="5" fillId="0" borderId="28" xfId="0" applyNumberFormat="1" applyFont="1" applyBorder="1"/>
    <xf numFmtId="2" fontId="4" fillId="0" borderId="53" xfId="0" applyNumberFormat="1" applyFont="1" applyBorder="1"/>
    <xf numFmtId="9" fontId="164" fillId="0" borderId="0" xfId="0" applyNumberFormat="1" applyFont="1"/>
    <xf numFmtId="9" fontId="8" fillId="0" borderId="0" xfId="0" applyNumberFormat="1" applyFont="1"/>
    <xf numFmtId="166" fontId="3" fillId="0" borderId="0" xfId="1" applyNumberFormat="1" applyFont="1" applyBorder="1"/>
    <xf numFmtId="164" fontId="4" fillId="0" borderId="18" xfId="0" applyNumberFormat="1" applyFont="1" applyBorder="1"/>
    <xf numFmtId="164" fontId="4" fillId="0" borderId="19" xfId="0" applyNumberFormat="1" applyFont="1" applyBorder="1"/>
    <xf numFmtId="165" fontId="5" fillId="0" borderId="7" xfId="0" applyNumberFormat="1" applyFont="1" applyBorder="1"/>
    <xf numFmtId="167" fontId="164" fillId="0" borderId="3" xfId="0" applyNumberFormat="1" applyFont="1" applyBorder="1"/>
    <xf numFmtId="165" fontId="4" fillId="0" borderId="1" xfId="0" applyNumberFormat="1" applyFont="1" applyBorder="1"/>
    <xf numFmtId="165" fontId="4" fillId="0" borderId="2" xfId="0" applyNumberFormat="1" applyFont="1" applyBorder="1"/>
    <xf numFmtId="0" fontId="200" fillId="3" borderId="0" xfId="2" applyFont="1" applyFill="1"/>
    <xf numFmtId="0" fontId="15" fillId="3" borderId="0" xfId="2" applyFill="1"/>
    <xf numFmtId="311" fontId="15" fillId="3" borderId="0" xfId="2" applyNumberFormat="1" applyFill="1"/>
    <xf numFmtId="0" fontId="17" fillId="3" borderId="0" xfId="2" applyFont="1" applyFill="1"/>
    <xf numFmtId="312" fontId="15" fillId="3" borderId="0" xfId="2" applyNumberFormat="1" applyFill="1"/>
    <xf numFmtId="14" fontId="15" fillId="3" borderId="0" xfId="2" applyNumberFormat="1" applyFill="1"/>
    <xf numFmtId="0" fontId="201" fillId="3" borderId="0" xfId="2" applyFont="1" applyFill="1"/>
    <xf numFmtId="0" fontId="202" fillId="3" borderId="0" xfId="2" applyFont="1" applyFill="1"/>
    <xf numFmtId="0" fontId="203" fillId="3" borderId="0" xfId="2" applyFont="1" applyFill="1"/>
    <xf numFmtId="0" fontId="203" fillId="3" borderId="0" xfId="2" applyFont="1" applyFill="1" applyAlignment="1">
      <alignment horizontal="right"/>
    </xf>
    <xf numFmtId="14" fontId="203" fillId="3" borderId="0" xfId="2" applyNumberFormat="1" applyFont="1" applyFill="1"/>
    <xf numFmtId="0" fontId="204" fillId="3" borderId="0" xfId="2" applyFont="1" applyFill="1" applyAlignment="1">
      <alignment horizontal="left"/>
    </xf>
    <xf numFmtId="0" fontId="203" fillId="3" borderId="0" xfId="2" applyFont="1" applyFill="1" applyAlignment="1">
      <alignment horizontal="left"/>
    </xf>
    <xf numFmtId="0" fontId="192" fillId="3" borderId="0" xfId="1227" applyFont="1" applyFill="1"/>
    <xf numFmtId="0" fontId="205" fillId="3" borderId="0" xfId="1227" applyFont="1" applyFill="1"/>
    <xf numFmtId="0" fontId="206" fillId="3" borderId="0" xfId="3" applyFont="1" applyFill="1"/>
    <xf numFmtId="0" fontId="205" fillId="3" borderId="0" xfId="3" applyFont="1" applyFill="1"/>
    <xf numFmtId="0" fontId="22" fillId="3" borderId="0" xfId="3" applyFont="1" applyFill="1"/>
    <xf numFmtId="0" fontId="15" fillId="0" borderId="0" xfId="3" applyAlignment="1">
      <alignment horizontal="left" vertical="top" wrapText="1"/>
    </xf>
    <xf numFmtId="0" fontId="202" fillId="0" borderId="0" xfId="3" applyFont="1" applyAlignment="1">
      <alignment horizontal="left" vertical="top" wrapText="1"/>
    </xf>
    <xf numFmtId="0" fontId="204" fillId="47" borderId="0" xfId="8" applyFont="1" applyFill="1" applyAlignment="1">
      <alignment vertical="center"/>
    </xf>
    <xf numFmtId="0" fontId="188" fillId="47" borderId="0" xfId="8" applyFont="1" applyFill="1"/>
    <xf numFmtId="0" fontId="205" fillId="47" borderId="0" xfId="1227" applyFont="1" applyFill="1" applyAlignment="1">
      <alignment horizontal="left" wrapText="1"/>
    </xf>
    <xf numFmtId="0" fontId="205" fillId="3" borderId="0" xfId="1227" applyFont="1" applyFill="1" applyAlignment="1">
      <alignment horizontal="left" wrapText="1"/>
    </xf>
    <xf numFmtId="0" fontId="207" fillId="3" borderId="0" xfId="1227" applyFont="1" applyFill="1" applyAlignment="1">
      <alignment horizontal="left" wrapText="1"/>
    </xf>
    <xf numFmtId="0" fontId="22" fillId="3" borderId="0" xfId="4" applyFont="1" applyFill="1"/>
    <xf numFmtId="0" fontId="204" fillId="47" borderId="10" xfId="8" applyFont="1" applyFill="1" applyBorder="1" applyAlignment="1">
      <alignment vertical="top"/>
    </xf>
    <xf numFmtId="0" fontId="188" fillId="47" borderId="11" xfId="8" applyFont="1" applyFill="1" applyBorder="1" applyAlignment="1">
      <alignment vertical="top"/>
    </xf>
    <xf numFmtId="0" fontId="208" fillId="47" borderId="12" xfId="8" applyFont="1" applyFill="1" applyBorder="1" applyAlignment="1">
      <alignment vertical="top"/>
    </xf>
    <xf numFmtId="0" fontId="205" fillId="47" borderId="25" xfId="5" applyFont="1" applyFill="1" applyBorder="1" applyAlignment="1">
      <alignment vertical="top"/>
    </xf>
    <xf numFmtId="0" fontId="208" fillId="47" borderId="11" xfId="8" applyFont="1" applyFill="1" applyBorder="1" applyAlignment="1">
      <alignment vertical="top"/>
    </xf>
    <xf numFmtId="0" fontId="205" fillId="47" borderId="12" xfId="1227" applyFont="1" applyFill="1" applyBorder="1" applyAlignment="1">
      <alignment horizontal="left" vertical="top"/>
    </xf>
    <xf numFmtId="0" fontId="204" fillId="47" borderId="54" xfId="8" applyFont="1" applyFill="1" applyBorder="1" applyAlignment="1">
      <alignment horizontal="left" vertical="top"/>
    </xf>
    <xf numFmtId="0" fontId="204" fillId="47" borderId="0" xfId="8" applyFont="1" applyFill="1" applyAlignment="1">
      <alignment horizontal="right" vertical="top"/>
    </xf>
    <xf numFmtId="0" fontId="204" fillId="47" borderId="14" xfId="8" applyFont="1" applyFill="1" applyBorder="1" applyAlignment="1">
      <alignment horizontal="right" vertical="top"/>
    </xf>
    <xf numFmtId="0" fontId="209" fillId="47" borderId="63" xfId="5" applyFont="1" applyFill="1" applyBorder="1" applyAlignment="1">
      <alignment vertical="top"/>
    </xf>
    <xf numFmtId="0" fontId="204" fillId="47" borderId="54" xfId="8" applyFont="1" applyFill="1" applyBorder="1" applyAlignment="1">
      <alignment vertical="top"/>
    </xf>
    <xf numFmtId="0" fontId="210" fillId="47" borderId="21" xfId="8" applyFont="1" applyFill="1" applyBorder="1" applyAlignment="1">
      <alignment horizontal="left" vertical="top" wrapText="1"/>
    </xf>
    <xf numFmtId="0" fontId="210" fillId="47" borderId="22" xfId="8" applyFont="1" applyFill="1" applyBorder="1" applyAlignment="1">
      <alignment horizontal="right" vertical="top" wrapText="1"/>
    </xf>
    <xf numFmtId="166" fontId="210" fillId="47" borderId="23" xfId="8" applyNumberFormat="1" applyFont="1" applyFill="1" applyBorder="1" applyAlignment="1">
      <alignment horizontal="right" vertical="top" wrapText="1"/>
    </xf>
    <xf numFmtId="0" fontId="210" fillId="47" borderId="21" xfId="8" applyFont="1" applyFill="1" applyBorder="1" applyAlignment="1">
      <alignment vertical="top" wrapText="1"/>
    </xf>
    <xf numFmtId="166" fontId="210" fillId="47" borderId="23" xfId="8" applyNumberFormat="1" applyFont="1" applyFill="1" applyBorder="1" applyAlignment="1">
      <alignment horizontal="right" vertical="center" wrapText="1"/>
    </xf>
    <xf numFmtId="0" fontId="210" fillId="47" borderId="22" xfId="8" applyFont="1" applyFill="1" applyBorder="1" applyAlignment="1">
      <alignment horizontal="right" vertical="center" wrapText="1"/>
    </xf>
    <xf numFmtId="166" fontId="210" fillId="47" borderId="23" xfId="8" applyNumberFormat="1" applyFont="1" applyFill="1" applyBorder="1" applyAlignment="1">
      <alignment vertical="center" wrapText="1"/>
    </xf>
    <xf numFmtId="166" fontId="210" fillId="47" borderId="23" xfId="8" applyNumberFormat="1" applyFont="1" applyFill="1" applyBorder="1" applyAlignment="1">
      <alignment vertical="top" wrapText="1"/>
    </xf>
    <xf numFmtId="0" fontId="209" fillId="47" borderId="62" xfId="5" applyFont="1" applyFill="1" applyBorder="1" applyAlignment="1">
      <alignment vertical="top"/>
    </xf>
    <xf numFmtId="0" fontId="211" fillId="3" borderId="0" xfId="4" applyFont="1" applyFill="1" applyAlignment="1">
      <alignment vertical="top" wrapText="1"/>
    </xf>
    <xf numFmtId="0" fontId="24" fillId="3" borderId="0" xfId="4" applyFont="1" applyFill="1" applyAlignment="1">
      <alignment vertical="top" wrapText="1"/>
    </xf>
    <xf numFmtId="0" fontId="24" fillId="3" borderId="0" xfId="4" applyFont="1" applyFill="1" applyAlignment="1">
      <alignment wrapText="1"/>
    </xf>
    <xf numFmtId="0" fontId="15" fillId="3" borderId="0" xfId="4" applyFill="1"/>
    <xf numFmtId="0" fontId="204" fillId="3" borderId="0" xfId="1227" applyFont="1" applyFill="1" applyAlignment="1">
      <alignment vertical="top"/>
    </xf>
    <xf numFmtId="0" fontId="202" fillId="3" borderId="0" xfId="1227" applyFont="1" applyFill="1" applyAlignment="1">
      <alignment vertical="top"/>
    </xf>
    <xf numFmtId="0" fontId="211" fillId="3" borderId="0" xfId="4" applyFont="1" applyFill="1" applyAlignment="1">
      <alignment vertical="top"/>
    </xf>
    <xf numFmtId="0" fontId="202" fillId="3" borderId="0" xfId="4" applyFont="1" applyFill="1" applyAlignment="1">
      <alignment vertical="top"/>
    </xf>
    <xf numFmtId="0" fontId="15" fillId="3" borderId="0" xfId="4" applyFill="1" applyAlignment="1">
      <alignment vertical="top"/>
    </xf>
    <xf numFmtId="0" fontId="189" fillId="3" borderId="0" xfId="1227" applyFont="1" applyFill="1" applyAlignment="1">
      <alignment vertical="top"/>
    </xf>
    <xf numFmtId="0" fontId="189" fillId="3" borderId="0" xfId="4" applyFont="1" applyFill="1" applyAlignment="1">
      <alignment vertical="top"/>
    </xf>
    <xf numFmtId="0" fontId="25" fillId="3" borderId="0" xfId="4" applyFont="1" applyFill="1" applyAlignment="1">
      <alignment vertical="top"/>
    </xf>
    <xf numFmtId="0" fontId="25" fillId="3" borderId="0" xfId="4" applyFont="1" applyFill="1"/>
    <xf numFmtId="0" fontId="22" fillId="3" borderId="0" xfId="4" applyFont="1" applyFill="1" applyAlignment="1">
      <alignment vertical="top"/>
    </xf>
    <xf numFmtId="0" fontId="3" fillId="51" borderId="1" xfId="0" applyFont="1" applyFill="1" applyBorder="1"/>
    <xf numFmtId="0" fontId="8" fillId="51" borderId="76" xfId="0" applyFont="1" applyFill="1" applyBorder="1" applyAlignment="1">
      <alignment horizontal="right"/>
    </xf>
    <xf numFmtId="0" fontId="8" fillId="51" borderId="2" xfId="0" applyFont="1" applyFill="1" applyBorder="1" applyAlignment="1">
      <alignment horizontal="right"/>
    </xf>
    <xf numFmtId="0" fontId="8" fillId="51" borderId="78" xfId="0" applyFont="1" applyFill="1" applyBorder="1" applyAlignment="1">
      <alignment horizontal="right"/>
    </xf>
    <xf numFmtId="0" fontId="3" fillId="51" borderId="5" xfId="0" applyFont="1" applyFill="1" applyBorder="1"/>
    <xf numFmtId="164" fontId="3" fillId="51" borderId="6" xfId="0" applyNumberFormat="1" applyFont="1" applyFill="1" applyBorder="1"/>
    <xf numFmtId="0" fontId="3" fillId="51" borderId="7" xfId="0" applyFont="1" applyFill="1" applyBorder="1"/>
    <xf numFmtId="164" fontId="3" fillId="51" borderId="58" xfId="0" applyNumberFormat="1" applyFont="1" applyFill="1" applyBorder="1"/>
    <xf numFmtId="164" fontId="3" fillId="51" borderId="9" xfId="0" applyNumberFormat="1" applyFont="1" applyFill="1" applyBorder="1"/>
    <xf numFmtId="164" fontId="3" fillId="51" borderId="0" xfId="0" applyNumberFormat="1" applyFont="1" applyFill="1"/>
    <xf numFmtId="164" fontId="3" fillId="51" borderId="2" xfId="0" applyNumberFormat="1" applyFont="1" applyFill="1" applyBorder="1"/>
    <xf numFmtId="164" fontId="3" fillId="51" borderId="1" xfId="0" applyNumberFormat="1" applyFont="1" applyFill="1" applyBorder="1"/>
    <xf numFmtId="166" fontId="10" fillId="0" borderId="5" xfId="1" applyNumberFormat="1" applyFont="1" applyBorder="1"/>
    <xf numFmtId="166" fontId="9" fillId="0" borderId="0" xfId="1" applyNumberFormat="1" applyFont="1" applyBorder="1"/>
    <xf numFmtId="166" fontId="9" fillId="0" borderId="6" xfId="1" applyNumberFormat="1" applyFont="1" applyBorder="1"/>
    <xf numFmtId="164" fontId="8" fillId="0" borderId="0" xfId="0" applyNumberFormat="1" applyFont="1"/>
    <xf numFmtId="164" fontId="5" fillId="0" borderId="53" xfId="0" applyNumberFormat="1" applyFont="1" applyBorder="1"/>
    <xf numFmtId="164" fontId="5" fillId="0" borderId="58" xfId="0" applyNumberFormat="1" applyFont="1" applyBorder="1"/>
    <xf numFmtId="164" fontId="3" fillId="46" borderId="2" xfId="0" applyNumberFormat="1" applyFont="1" applyFill="1" applyBorder="1"/>
    <xf numFmtId="164" fontId="8" fillId="46" borderId="1" xfId="0" applyNumberFormat="1" applyFont="1" applyFill="1" applyBorder="1"/>
    <xf numFmtId="166" fontId="5" fillId="0" borderId="0" xfId="0" applyNumberFormat="1" applyFont="1"/>
    <xf numFmtId="167" fontId="8" fillId="46" borderId="0" xfId="0" applyNumberFormat="1" applyFont="1" applyFill="1"/>
    <xf numFmtId="164" fontId="8" fillId="0" borderId="5" xfId="0" applyNumberFormat="1" applyFont="1" applyBorder="1"/>
    <xf numFmtId="164" fontId="8" fillId="0" borderId="6" xfId="0" applyNumberFormat="1" applyFont="1" applyBorder="1"/>
    <xf numFmtId="0" fontId="203" fillId="3" borderId="0" xfId="1228" applyFont="1" applyFill="1"/>
    <xf numFmtId="0" fontId="15" fillId="0" borderId="0" xfId="1228"/>
    <xf numFmtId="0" fontId="1" fillId="0" borderId="0" xfId="693"/>
    <xf numFmtId="164" fontId="183" fillId="0" borderId="6" xfId="0" applyNumberFormat="1" applyFont="1" applyBorder="1"/>
    <xf numFmtId="164" fontId="183" fillId="0" borderId="29" xfId="0" applyNumberFormat="1" applyFont="1" applyBorder="1"/>
    <xf numFmtId="168" fontId="14" fillId="0" borderId="0" xfId="0" applyNumberFormat="1" applyFont="1"/>
    <xf numFmtId="0" fontId="3" fillId="0" borderId="18" xfId="0" applyFont="1" applyBorder="1"/>
    <xf numFmtId="166" fontId="0" fillId="0" borderId="6" xfId="0" applyNumberFormat="1" applyBorder="1"/>
    <xf numFmtId="165" fontId="4" fillId="0" borderId="9" xfId="0" applyNumberFormat="1" applyFont="1" applyBorder="1"/>
    <xf numFmtId="164" fontId="0" fillId="0" borderId="28" xfId="0" applyNumberFormat="1" applyBorder="1"/>
    <xf numFmtId="0" fontId="4" fillId="0" borderId="29" xfId="0" applyFont="1" applyBorder="1"/>
    <xf numFmtId="164" fontId="4" fillId="0" borderId="53" xfId="0" applyNumberFormat="1" applyFont="1" applyBorder="1"/>
    <xf numFmtId="0" fontId="3" fillId="0" borderId="53" xfId="0" applyFont="1" applyBorder="1"/>
    <xf numFmtId="164" fontId="3" fillId="0" borderId="7" xfId="0" applyNumberFormat="1" applyFont="1" applyBorder="1"/>
    <xf numFmtId="164" fontId="3" fillId="0" borderId="53" xfId="0" applyNumberFormat="1" applyFont="1" applyBorder="1"/>
    <xf numFmtId="166" fontId="0" fillId="0" borderId="0" xfId="0" applyNumberFormat="1"/>
    <xf numFmtId="0" fontId="203" fillId="0" borderId="0" xfId="3" applyFont="1" applyAlignment="1">
      <alignment horizontal="left" vertical="top" wrapText="1"/>
    </xf>
    <xf numFmtId="0" fontId="15" fillId="0" borderId="0" xfId="3" applyAlignment="1">
      <alignment horizontal="left" vertical="top" wrapText="1"/>
    </xf>
    <xf numFmtId="0" fontId="203" fillId="3" borderId="0" xfId="1227" applyFont="1" applyFill="1" applyAlignment="1">
      <alignment horizontal="left" vertical="top" wrapText="1"/>
    </xf>
    <xf numFmtId="0" fontId="203" fillId="0" borderId="0" xfId="1228" applyFont="1" applyAlignment="1">
      <alignment horizontal="left" vertical="top"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cellXfs>
  <cellStyles count="1229">
    <cellStyle name="-" xfId="13" xr:uid="{00000000-0005-0000-0000-000000000000}"/>
    <cellStyle name="&quot;X&quot; MEN" xfId="14" xr:uid="{00000000-0005-0000-0000-000001000000}"/>
    <cellStyle name="$" xfId="15" xr:uid="{00000000-0005-0000-0000-000002000000}"/>
    <cellStyle name="$ &amp; ¢" xfId="16" xr:uid="{00000000-0005-0000-0000-000003000000}"/>
    <cellStyle name="$ 1 decimal" xfId="17" xr:uid="{00000000-0005-0000-0000-000004000000}"/>
    <cellStyle name="$_WACC" xfId="18" xr:uid="{00000000-0005-0000-0000-000005000000}"/>
    <cellStyle name="$m" xfId="19" xr:uid="{00000000-0005-0000-0000-000006000000}"/>
    <cellStyle name="$q" xfId="20" xr:uid="{00000000-0005-0000-0000-000007000000}"/>
    <cellStyle name="$q*" xfId="21" xr:uid="{00000000-0005-0000-0000-000008000000}"/>
    <cellStyle name="$qA" xfId="22" xr:uid="{00000000-0005-0000-0000-000009000000}"/>
    <cellStyle name="$qRange" xfId="23" xr:uid="{00000000-0005-0000-0000-00000A000000}"/>
    <cellStyle name="%" xfId="24" xr:uid="{00000000-0005-0000-0000-00000B000000}"/>
    <cellStyle name="% 2" xfId="25" xr:uid="{00000000-0005-0000-0000-00000C000000}"/>
    <cellStyle name="%.00" xfId="26" xr:uid="{00000000-0005-0000-0000-00000D000000}"/>
    <cellStyle name="******************************************" xfId="2" xr:uid="{00000000-0005-0000-0000-00000E000000}"/>
    <cellStyle name="****************************************** 2" xfId="3" xr:uid="{00000000-0005-0000-0000-00000F000000}"/>
    <cellStyle name="****************************************** 2 2" xfId="4" xr:uid="{00000000-0005-0000-0000-000010000000}"/>
    <cellStyle name="****************************************** 3" xfId="5" xr:uid="{00000000-0005-0000-0000-000011000000}"/>
    <cellStyle name="****************************************** 3 2" xfId="27" xr:uid="{00000000-0005-0000-0000-000012000000}"/>
    <cellStyle name="****************************************** 3 2 2" xfId="28" xr:uid="{00000000-0005-0000-0000-000013000000}"/>
    <cellStyle name="****************************************** 3 3" xfId="29" xr:uid="{00000000-0005-0000-0000-000014000000}"/>
    <cellStyle name="****************************************** 4" xfId="6" xr:uid="{00000000-0005-0000-0000-000015000000}"/>
    <cellStyle name="****************************************** 4 2" xfId="30" xr:uid="{00000000-0005-0000-0000-000016000000}"/>
    <cellStyle name="******************************************_Copy of SNY Post-2Q12 7-26-12" xfId="31" xr:uid="{00000000-0005-0000-0000-000017000000}"/>
    <cellStyle name=";;;" xfId="32" xr:uid="{00000000-0005-0000-0000-000018000000}"/>
    <cellStyle name="??" xfId="33" xr:uid="{00000000-0005-0000-0000-000019000000}"/>
    <cellStyle name="?? [0.00]_????" xfId="34" xr:uid="{00000000-0005-0000-0000-00001A000000}"/>
    <cellStyle name="??_??" xfId="35" xr:uid="{00000000-0005-0000-0000-00001B000000}"/>
    <cellStyle name="_%(SignOnly)" xfId="36" xr:uid="{00000000-0005-0000-0000-00001C000000}"/>
    <cellStyle name="_%(SignSpaceOnly)" xfId="37" xr:uid="{00000000-0005-0000-0000-00001D000000}"/>
    <cellStyle name="_Column1" xfId="38" xr:uid="{00000000-0005-0000-0000-00001E000000}"/>
    <cellStyle name="_Comma" xfId="39" xr:uid="{00000000-0005-0000-0000-00001F000000}"/>
    <cellStyle name="_Comma 2" xfId="40" xr:uid="{00000000-0005-0000-0000-000020000000}"/>
    <cellStyle name="_Comma_AventisSanofi Merger 26-Jan-2004" xfId="41" xr:uid="{00000000-0005-0000-0000-000021000000}"/>
    <cellStyle name="_Comma_DCF" xfId="42" xr:uid="{00000000-0005-0000-0000-000022000000}"/>
    <cellStyle name="_Comma_NRM V" xfId="43" xr:uid="{00000000-0005-0000-0000-000023000000}"/>
    <cellStyle name="_Comma_Pharma CSC" xfId="44" xr:uid="{00000000-0005-0000-0000-000024000000}"/>
    <cellStyle name="_Core EPS" xfId="45" xr:uid="{00000000-0005-0000-0000-000025000000}"/>
    <cellStyle name="_Currency" xfId="46" xr:uid="{00000000-0005-0000-0000-000026000000}"/>
    <cellStyle name="_Currency 2" xfId="47" xr:uid="{00000000-0005-0000-0000-000027000000}"/>
    <cellStyle name="_Currency_~0061532" xfId="48" xr:uid="{00000000-0005-0000-0000-000028000000}"/>
    <cellStyle name="_Currency_~0061532 2" xfId="49" xr:uid="{00000000-0005-0000-0000-000029000000}"/>
    <cellStyle name="_Currency_~0061532_Nickel" xfId="50" xr:uid="{00000000-0005-0000-0000-00002A000000}"/>
    <cellStyle name="_Currency_~0061532_Nickel 2" xfId="51" xr:uid="{00000000-0005-0000-0000-00002B000000}"/>
    <cellStyle name="_Currency_~0061532_Nickel_1" xfId="52" xr:uid="{00000000-0005-0000-0000-00002C000000}"/>
    <cellStyle name="_Currency_~0061532_Nickel_1 2" xfId="53" xr:uid="{00000000-0005-0000-0000-00002D000000}"/>
    <cellStyle name="_Currency_~0061532_Nickel_1_BALSHEET" xfId="54" xr:uid="{00000000-0005-0000-0000-00002E000000}"/>
    <cellStyle name="_Currency_~0061532_Nickel_1_BALSHEET 2" xfId="55" xr:uid="{00000000-0005-0000-0000-00002F000000}"/>
    <cellStyle name="_Currency_~0061532_PL4 uk" xfId="56" xr:uid="{00000000-0005-0000-0000-000030000000}"/>
    <cellStyle name="_Currency_~0061532_PL4 uk 2" xfId="57" xr:uid="{00000000-0005-0000-0000-000031000000}"/>
    <cellStyle name="_Currency_~0061532_PL4 uk_1" xfId="58" xr:uid="{00000000-0005-0000-0000-000032000000}"/>
    <cellStyle name="_Currency_~0061532_PL4 uk_1 2" xfId="59" xr:uid="{00000000-0005-0000-0000-000033000000}"/>
    <cellStyle name="_Currency_AventisSanofi Merger 26-Jan-2004" xfId="60" xr:uid="{00000000-0005-0000-0000-000034000000}"/>
    <cellStyle name="_Currency_NRM V" xfId="61" xr:uid="{00000000-0005-0000-0000-000035000000}"/>
    <cellStyle name="_Currency_Pharma CSC" xfId="62" xr:uid="{00000000-0005-0000-0000-000036000000}"/>
    <cellStyle name="_Currency_PL4 uk" xfId="63" xr:uid="{00000000-0005-0000-0000-000037000000}"/>
    <cellStyle name="_Currency_PL4 uk 2" xfId="64" xr:uid="{00000000-0005-0000-0000-000038000000}"/>
    <cellStyle name="_Currency_PL4 uk_1" xfId="65" xr:uid="{00000000-0005-0000-0000-000039000000}"/>
    <cellStyle name="_Currency_PL4 uk_1 2" xfId="66" xr:uid="{00000000-0005-0000-0000-00003A000000}"/>
    <cellStyle name="_CurrencySpace" xfId="67" xr:uid="{00000000-0005-0000-0000-00003B000000}"/>
    <cellStyle name="_CurrencySpace 2" xfId="68" xr:uid="{00000000-0005-0000-0000-00003C000000}"/>
    <cellStyle name="_CurrencySpace_AventisSanofi Merger 26-Jan-2004" xfId="69" xr:uid="{00000000-0005-0000-0000-00003D000000}"/>
    <cellStyle name="_CurrencySpace_NRM V" xfId="70" xr:uid="{00000000-0005-0000-0000-00003E000000}"/>
    <cellStyle name="_CurrencySpace_Pharma CSC" xfId="71" xr:uid="{00000000-0005-0000-0000-00003F000000}"/>
    <cellStyle name="_Euro" xfId="72" xr:uid="{00000000-0005-0000-0000-000040000000}"/>
    <cellStyle name="_Heading" xfId="73" xr:uid="{00000000-0005-0000-0000-000041000000}"/>
    <cellStyle name="_Highlight" xfId="74" xr:uid="{00000000-0005-0000-0000-000042000000}"/>
    <cellStyle name="_Multiple" xfId="75" xr:uid="{00000000-0005-0000-0000-000043000000}"/>
    <cellStyle name="_Multiple 2" xfId="76" xr:uid="{00000000-0005-0000-0000-000044000000}"/>
    <cellStyle name="_Multiple_~0061532" xfId="77" xr:uid="{00000000-0005-0000-0000-000045000000}"/>
    <cellStyle name="_Multiple_~0061532 2" xfId="78" xr:uid="{00000000-0005-0000-0000-000046000000}"/>
    <cellStyle name="_Multiple_~0061532_PL4 uk" xfId="79" xr:uid="{00000000-0005-0000-0000-000047000000}"/>
    <cellStyle name="_Multiple_~0061532_PL4 uk 2" xfId="80" xr:uid="{00000000-0005-0000-0000-000048000000}"/>
    <cellStyle name="_Multiple_~0061532_PL4 uk_1" xfId="81" xr:uid="{00000000-0005-0000-0000-000049000000}"/>
    <cellStyle name="_Multiple_~0061532_PL4 uk_1 2" xfId="82" xr:uid="{00000000-0005-0000-0000-00004A000000}"/>
    <cellStyle name="_Multiple_AventisSanofi Merger 26-Jan-2004" xfId="83" xr:uid="{00000000-0005-0000-0000-00004B000000}"/>
    <cellStyle name="_Multiple_csc" xfId="84" xr:uid="{00000000-0005-0000-0000-00004C000000}"/>
    <cellStyle name="_Multiple_Nickel" xfId="85" xr:uid="{00000000-0005-0000-0000-00004D000000}"/>
    <cellStyle name="_Multiple_Nickel 2" xfId="86" xr:uid="{00000000-0005-0000-0000-00004E000000}"/>
    <cellStyle name="_Multiple_Nickel_1" xfId="87" xr:uid="{00000000-0005-0000-0000-00004F000000}"/>
    <cellStyle name="_Multiple_Nickel_1 2" xfId="88" xr:uid="{00000000-0005-0000-0000-000050000000}"/>
    <cellStyle name="_Multiple_NRM V" xfId="89" xr:uid="{00000000-0005-0000-0000-000051000000}"/>
    <cellStyle name="_Multiple_Pharma CSC" xfId="90" xr:uid="{00000000-0005-0000-0000-000052000000}"/>
    <cellStyle name="_Multiple_PL4 uk" xfId="91" xr:uid="{00000000-0005-0000-0000-000053000000}"/>
    <cellStyle name="_Multiple_PL4 uk 2" xfId="92" xr:uid="{00000000-0005-0000-0000-000054000000}"/>
    <cellStyle name="_Multiple_PL4 uk_1" xfId="93" xr:uid="{00000000-0005-0000-0000-000055000000}"/>
    <cellStyle name="_Multiple_PL4 uk_1 2" xfId="94" xr:uid="{00000000-0005-0000-0000-000056000000}"/>
    <cellStyle name="_MultipleSpace" xfId="95" xr:uid="{00000000-0005-0000-0000-000057000000}"/>
    <cellStyle name="_MultipleSpace 2" xfId="96" xr:uid="{00000000-0005-0000-0000-000058000000}"/>
    <cellStyle name="_MultipleSpace_~0061532" xfId="97" xr:uid="{00000000-0005-0000-0000-000059000000}"/>
    <cellStyle name="_MultipleSpace_~0061532 2" xfId="98" xr:uid="{00000000-0005-0000-0000-00005A000000}"/>
    <cellStyle name="_MultipleSpace_~0061532_PL4 uk" xfId="99" xr:uid="{00000000-0005-0000-0000-00005B000000}"/>
    <cellStyle name="_MultipleSpace_~0061532_PL4 uk 2" xfId="100" xr:uid="{00000000-0005-0000-0000-00005C000000}"/>
    <cellStyle name="_MultipleSpace_~0061532_PL4 uk_1" xfId="101" xr:uid="{00000000-0005-0000-0000-00005D000000}"/>
    <cellStyle name="_MultipleSpace_~0061532_PL4 uk_1 2" xfId="102" xr:uid="{00000000-0005-0000-0000-00005E000000}"/>
    <cellStyle name="_MultipleSpace_AventisSanofi Merger 26-Jan-2004" xfId="103" xr:uid="{00000000-0005-0000-0000-00005F000000}"/>
    <cellStyle name="_MultipleSpace_csc" xfId="104" xr:uid="{00000000-0005-0000-0000-000060000000}"/>
    <cellStyle name="_MultipleSpace_NRM V" xfId="105" xr:uid="{00000000-0005-0000-0000-000061000000}"/>
    <cellStyle name="_MultipleSpace_Pharma CSC" xfId="106" xr:uid="{00000000-0005-0000-0000-000062000000}"/>
    <cellStyle name="_MultipleSpace_PL4 uk" xfId="107" xr:uid="{00000000-0005-0000-0000-000063000000}"/>
    <cellStyle name="_MultipleSpace_PL4 uk 2" xfId="108" xr:uid="{00000000-0005-0000-0000-000064000000}"/>
    <cellStyle name="_MultipleSpace_PL4 uk_1" xfId="109" xr:uid="{00000000-0005-0000-0000-000065000000}"/>
    <cellStyle name="_MultipleSpace_PL4 uk_1 2" xfId="110" xr:uid="{00000000-0005-0000-0000-000066000000}"/>
    <cellStyle name="_Percent" xfId="111" xr:uid="{00000000-0005-0000-0000-000067000000}"/>
    <cellStyle name="_Percent 2" xfId="112" xr:uid="{00000000-0005-0000-0000-000068000000}"/>
    <cellStyle name="_Percent_~0061532" xfId="113" xr:uid="{00000000-0005-0000-0000-000069000000}"/>
    <cellStyle name="_Percent_~0061532 2" xfId="114" xr:uid="{00000000-0005-0000-0000-00006A000000}"/>
    <cellStyle name="_Percent_~0061532_PL4 uk" xfId="115" xr:uid="{00000000-0005-0000-0000-00006B000000}"/>
    <cellStyle name="_Percent_~0061532_PL4 uk 2" xfId="116" xr:uid="{00000000-0005-0000-0000-00006C000000}"/>
    <cellStyle name="_Percent_~0061532_PL4 uk_1" xfId="117" xr:uid="{00000000-0005-0000-0000-00006D000000}"/>
    <cellStyle name="_Percent_~0061532_PL4 uk_1 2" xfId="118" xr:uid="{00000000-0005-0000-0000-00006E000000}"/>
    <cellStyle name="_Percent_Nickel" xfId="119" xr:uid="{00000000-0005-0000-0000-00006F000000}"/>
    <cellStyle name="_Percent_Nickel 2" xfId="120" xr:uid="{00000000-0005-0000-0000-000070000000}"/>
    <cellStyle name="_Percent_Nickel_1" xfId="121" xr:uid="{00000000-0005-0000-0000-000071000000}"/>
    <cellStyle name="_Percent_Nickel_1 2" xfId="122" xr:uid="{00000000-0005-0000-0000-000072000000}"/>
    <cellStyle name="_Percent_Nickel_1_BALSHEET" xfId="123" xr:uid="{00000000-0005-0000-0000-000073000000}"/>
    <cellStyle name="_Percent_Nickel_1_BALSHEET 2" xfId="124" xr:uid="{00000000-0005-0000-0000-000074000000}"/>
    <cellStyle name="_Percent_PL4 uk" xfId="125" xr:uid="{00000000-0005-0000-0000-000075000000}"/>
    <cellStyle name="_Percent_PL4 uk 2" xfId="126" xr:uid="{00000000-0005-0000-0000-000076000000}"/>
    <cellStyle name="_Percent_PL4 uk_1" xfId="127" xr:uid="{00000000-0005-0000-0000-000077000000}"/>
    <cellStyle name="_Percent_PL4 uk_1 2" xfId="128" xr:uid="{00000000-0005-0000-0000-000078000000}"/>
    <cellStyle name="_PercentSpace" xfId="129" xr:uid="{00000000-0005-0000-0000-000079000000}"/>
    <cellStyle name="_PercentSpace 2" xfId="130" xr:uid="{00000000-0005-0000-0000-00007A000000}"/>
    <cellStyle name="_PercentSpace_~0061532" xfId="131" xr:uid="{00000000-0005-0000-0000-00007B000000}"/>
    <cellStyle name="_PercentSpace_~0061532 2" xfId="132" xr:uid="{00000000-0005-0000-0000-00007C000000}"/>
    <cellStyle name="_PercentSpace_~0061532_PL4 uk" xfId="133" xr:uid="{00000000-0005-0000-0000-00007D000000}"/>
    <cellStyle name="_PercentSpace_~0061532_PL4 uk 2" xfId="134" xr:uid="{00000000-0005-0000-0000-00007E000000}"/>
    <cellStyle name="_PercentSpace_~0061532_PL4 uk_1" xfId="135" xr:uid="{00000000-0005-0000-0000-00007F000000}"/>
    <cellStyle name="_PercentSpace_~0061532_PL4 uk_1 2" xfId="136" xr:uid="{00000000-0005-0000-0000-000080000000}"/>
    <cellStyle name="_PercentSpace_PL4 uk" xfId="137" xr:uid="{00000000-0005-0000-0000-000081000000}"/>
    <cellStyle name="_PercentSpace_PL4 uk 2" xfId="138" xr:uid="{00000000-0005-0000-0000-000082000000}"/>
    <cellStyle name="_PercentSpace_PL4 uk_1" xfId="139" xr:uid="{00000000-0005-0000-0000-000083000000}"/>
    <cellStyle name="_PercentSpace_PL4 uk_1 2" xfId="140" xr:uid="{00000000-0005-0000-0000-000084000000}"/>
    <cellStyle name="_SubHeading" xfId="141" xr:uid="{00000000-0005-0000-0000-000085000000}"/>
    <cellStyle name="_Table" xfId="142" xr:uid="{00000000-0005-0000-0000-000086000000}"/>
    <cellStyle name="_TableHead" xfId="143" xr:uid="{00000000-0005-0000-0000-000087000000}"/>
    <cellStyle name="_TableHead 2" xfId="1126" xr:uid="{07D08685-C26A-49AC-B992-932DAA1A67D2}"/>
    <cellStyle name="_TableRowHead" xfId="144" xr:uid="{00000000-0005-0000-0000-000088000000}"/>
    <cellStyle name="_TableSuperHead" xfId="145" xr:uid="{00000000-0005-0000-0000-000089000000}"/>
    <cellStyle name="_WPI Model - jg v3" xfId="146" xr:uid="{00000000-0005-0000-0000-00008A000000}"/>
    <cellStyle name="’Ê‰Ý [0.00]_4501mc" xfId="147" xr:uid="{00000000-0005-0000-0000-00008B000000}"/>
    <cellStyle name="’Ê‰Ý_4501mc" xfId="148" xr:uid="{00000000-0005-0000-0000-00008C000000}"/>
    <cellStyle name="£ BP" xfId="149" xr:uid="{00000000-0005-0000-0000-00008D000000}"/>
    <cellStyle name="£ BP 2" xfId="150" xr:uid="{00000000-0005-0000-0000-00008E000000}"/>
    <cellStyle name="¥ JY" xfId="151" xr:uid="{00000000-0005-0000-0000-00008F000000}"/>
    <cellStyle name="¥ JY 2" xfId="152" xr:uid="{00000000-0005-0000-0000-000090000000}"/>
    <cellStyle name="=C:\WINNT35\SYSTEM32\COMMAND.COM" xfId="153" xr:uid="{00000000-0005-0000-0000-000091000000}"/>
    <cellStyle name="=C:\WINNT35\SYSTEM32\COMMAND.COM 2" xfId="154" xr:uid="{00000000-0005-0000-0000-000092000000}"/>
    <cellStyle name="•W€_4501mc" xfId="155" xr:uid="{00000000-0005-0000-0000-000093000000}"/>
    <cellStyle name="•W_GE 3 MINIMUM" xfId="156" xr:uid="{00000000-0005-0000-0000-000094000000}"/>
    <cellStyle name="ÊÝ [0.00]_COMPANY" xfId="157" xr:uid="{00000000-0005-0000-0000-000095000000}"/>
    <cellStyle name="ÊÝ_COMPANY" xfId="158" xr:uid="{00000000-0005-0000-0000-000096000000}"/>
    <cellStyle name="W_GTParent" xfId="159" xr:uid="{00000000-0005-0000-0000-000097000000}"/>
    <cellStyle name="0" xfId="160" xr:uid="{00000000-0005-0000-0000-000098000000}"/>
    <cellStyle name="0%" xfId="161" xr:uid="{00000000-0005-0000-0000-000099000000}"/>
    <cellStyle name="0% 2" xfId="162" xr:uid="{00000000-0005-0000-0000-00009A000000}"/>
    <cellStyle name="0.0" xfId="163" xr:uid="{00000000-0005-0000-0000-00009B000000}"/>
    <cellStyle name="0.0 2" xfId="164" xr:uid="{00000000-0005-0000-0000-00009C000000}"/>
    <cellStyle name="0.0%" xfId="165" xr:uid="{00000000-0005-0000-0000-00009D000000}"/>
    <cellStyle name="0.0_Crystal Model final" xfId="166" xr:uid="{00000000-0005-0000-0000-00009E000000}"/>
    <cellStyle name="0.00" xfId="167" xr:uid="{00000000-0005-0000-0000-00009F000000}"/>
    <cellStyle name="0.00%" xfId="168" xr:uid="{00000000-0005-0000-0000-0000A0000000}"/>
    <cellStyle name="1,comma" xfId="169" xr:uid="{00000000-0005-0000-0000-0000A1000000}"/>
    <cellStyle name="1,comma 2" xfId="170" xr:uid="{00000000-0005-0000-0000-0000A2000000}"/>
    <cellStyle name="20% - Accent1 2" xfId="171" xr:uid="{00000000-0005-0000-0000-0000A3000000}"/>
    <cellStyle name="20% - Accent2 2" xfId="172" xr:uid="{00000000-0005-0000-0000-0000A4000000}"/>
    <cellStyle name="20% - Accent3 2" xfId="173" xr:uid="{00000000-0005-0000-0000-0000A5000000}"/>
    <cellStyle name="20% - Accent4 2" xfId="174" xr:uid="{00000000-0005-0000-0000-0000A6000000}"/>
    <cellStyle name="20% - Accent5 2" xfId="175" xr:uid="{00000000-0005-0000-0000-0000A7000000}"/>
    <cellStyle name="20% - Accent6 2" xfId="176" xr:uid="{00000000-0005-0000-0000-0000A8000000}"/>
    <cellStyle name="40% - Accent1 2" xfId="177" xr:uid="{00000000-0005-0000-0000-0000A9000000}"/>
    <cellStyle name="40% - Accent2 2" xfId="178" xr:uid="{00000000-0005-0000-0000-0000AA000000}"/>
    <cellStyle name="40% - Accent3 2" xfId="179" xr:uid="{00000000-0005-0000-0000-0000AB000000}"/>
    <cellStyle name="40% - Accent4 2" xfId="180" xr:uid="{00000000-0005-0000-0000-0000AC000000}"/>
    <cellStyle name="40% - Accent5 2" xfId="181" xr:uid="{00000000-0005-0000-0000-0000AD000000}"/>
    <cellStyle name="40% - Accent6 2" xfId="182" xr:uid="{00000000-0005-0000-0000-0000AE000000}"/>
    <cellStyle name="60% - Accent1 2" xfId="183" xr:uid="{00000000-0005-0000-0000-0000AF000000}"/>
    <cellStyle name="60% - Accent2 2" xfId="184" xr:uid="{00000000-0005-0000-0000-0000B0000000}"/>
    <cellStyle name="60% - Accent3 2" xfId="185" xr:uid="{00000000-0005-0000-0000-0000B1000000}"/>
    <cellStyle name="60% - Accent4 2" xfId="186" xr:uid="{00000000-0005-0000-0000-0000B2000000}"/>
    <cellStyle name="60% - Accent5 2" xfId="187" xr:uid="{00000000-0005-0000-0000-0000B3000000}"/>
    <cellStyle name="60% - Accent6 2" xfId="188" xr:uid="{00000000-0005-0000-0000-0000B4000000}"/>
    <cellStyle name="752131" xfId="189" xr:uid="{00000000-0005-0000-0000-0000B5000000}"/>
    <cellStyle name="A_Block Space" xfId="190" xr:uid="{00000000-0005-0000-0000-0000B6000000}"/>
    <cellStyle name="A_BlueLine" xfId="191" xr:uid="{00000000-0005-0000-0000-0000B7000000}"/>
    <cellStyle name="A_Do not Change" xfId="192" xr:uid="{00000000-0005-0000-0000-0000B8000000}"/>
    <cellStyle name="A_Estimate" xfId="193" xr:uid="{00000000-0005-0000-0000-0000B9000000}"/>
    <cellStyle name="A_Memo" xfId="194" xr:uid="{00000000-0005-0000-0000-0000BA000000}"/>
    <cellStyle name="A_Normal" xfId="195" xr:uid="{00000000-0005-0000-0000-0000BB000000}"/>
    <cellStyle name="A_Normal Forecast" xfId="196" xr:uid="{00000000-0005-0000-0000-0000BC000000}"/>
    <cellStyle name="A_Normal Historical" xfId="197" xr:uid="{00000000-0005-0000-0000-0000BD000000}"/>
    <cellStyle name="A_Rate_Data" xfId="198" xr:uid="{00000000-0005-0000-0000-0000BE000000}"/>
    <cellStyle name="A_Rate_Data Historical" xfId="199" xr:uid="{00000000-0005-0000-0000-0000BF000000}"/>
    <cellStyle name="A_Rate_Title" xfId="200" xr:uid="{00000000-0005-0000-0000-0000C0000000}"/>
    <cellStyle name="A_Simple Title" xfId="201" xr:uid="{00000000-0005-0000-0000-0000C1000000}"/>
    <cellStyle name="A_Simple Title 2" xfId="202" xr:uid="{00000000-0005-0000-0000-0000C2000000}"/>
    <cellStyle name="A_Simple Title 2 2" xfId="1128" xr:uid="{D53B4EC9-7714-4A72-86CF-AC3588905D5F}"/>
    <cellStyle name="A_Simple Title 3" xfId="1127" xr:uid="{8E9E14D4-F01E-4B5C-B35D-B057C89E7105}"/>
    <cellStyle name="A_Sum" xfId="203" xr:uid="{00000000-0005-0000-0000-0000C3000000}"/>
    <cellStyle name="A_SUM_Row Major" xfId="204" xr:uid="{00000000-0005-0000-0000-0000C4000000}"/>
    <cellStyle name="A_SUM_Row Major 2" xfId="205" xr:uid="{00000000-0005-0000-0000-0000C5000000}"/>
    <cellStyle name="A_SUM_Row Major 2 2" xfId="1130" xr:uid="{A346A645-4B1C-4CC6-9009-AAE99EBAB380}"/>
    <cellStyle name="A_SUM_Row Major 3" xfId="1129" xr:uid="{307539C3-D7D3-49EA-93B0-17D27C9CE5FE}"/>
    <cellStyle name="A_SUM_Row Minor" xfId="206" xr:uid="{00000000-0005-0000-0000-0000C6000000}"/>
    <cellStyle name="A_SUM_Row Minor 2" xfId="207" xr:uid="{00000000-0005-0000-0000-0000C7000000}"/>
    <cellStyle name="A_SUM_Row Minor 2 2" xfId="1132" xr:uid="{88A17C95-74FF-4766-BE2E-4238B7AC7D6F}"/>
    <cellStyle name="A_SUM_Row Minor 3" xfId="1131" xr:uid="{CB7EC10A-C514-4152-B27F-128D4E0FD277}"/>
    <cellStyle name="A_Title" xfId="208" xr:uid="{00000000-0005-0000-0000-0000C8000000}"/>
    <cellStyle name="A_YearHeadings" xfId="209" xr:uid="{00000000-0005-0000-0000-0000C9000000}"/>
    <cellStyle name="Accent1 2" xfId="210" xr:uid="{00000000-0005-0000-0000-0000CA000000}"/>
    <cellStyle name="Accent2 2" xfId="211" xr:uid="{00000000-0005-0000-0000-0000CB000000}"/>
    <cellStyle name="Accent3 2" xfId="212" xr:uid="{00000000-0005-0000-0000-0000CC000000}"/>
    <cellStyle name="Accent4 2" xfId="213" xr:uid="{00000000-0005-0000-0000-0000CD000000}"/>
    <cellStyle name="Accent5 2" xfId="214" xr:uid="{00000000-0005-0000-0000-0000CE000000}"/>
    <cellStyle name="Accent6 2" xfId="215" xr:uid="{00000000-0005-0000-0000-0000CF000000}"/>
    <cellStyle name="Acctg" xfId="216" xr:uid="{00000000-0005-0000-0000-0000D0000000}"/>
    <cellStyle name="adj_share" xfId="217" xr:uid="{00000000-0005-0000-0000-0000D1000000}"/>
    <cellStyle name="Adjusted" xfId="218" xr:uid="{00000000-0005-0000-0000-0000D2000000}"/>
    <cellStyle name="Adjusted 2" xfId="219" xr:uid="{00000000-0005-0000-0000-0000D3000000}"/>
    <cellStyle name="Adjusted 2 2" xfId="1134" xr:uid="{66285445-EEDB-4FCF-98F5-CBD2E9CCBE20}"/>
    <cellStyle name="Adjusted 3" xfId="1133" xr:uid="{6CCD0912-3630-479F-AA0C-10F64B131A62}"/>
    <cellStyle name="Afjusted" xfId="220" xr:uid="{00000000-0005-0000-0000-0000D4000000}"/>
    <cellStyle name="Afjusted 2" xfId="221" xr:uid="{00000000-0005-0000-0000-0000D5000000}"/>
    <cellStyle name="Afjusted 2 2" xfId="1136" xr:uid="{ED3ECCE1-9A70-4BA3-A1A1-7F14C030D9E2}"/>
    <cellStyle name="Afjusted 3" xfId="1135" xr:uid="{5010203B-BEBC-427F-A9C4-F2E251E4249B}"/>
    <cellStyle name="ales" xfId="222" xr:uid="{00000000-0005-0000-0000-0000D6000000}"/>
    <cellStyle name="Arial 10" xfId="223" xr:uid="{00000000-0005-0000-0000-0000D7000000}"/>
    <cellStyle name="Arial 12" xfId="224" xr:uid="{00000000-0005-0000-0000-0000D8000000}"/>
    <cellStyle name="Arial6Bold" xfId="225" xr:uid="{00000000-0005-0000-0000-0000D9000000}"/>
    <cellStyle name="Arial6Bold 2" xfId="226" xr:uid="{00000000-0005-0000-0000-0000DA000000}"/>
    <cellStyle name="Arial6Bold 2 2" xfId="1138" xr:uid="{15EB2068-81D0-4E18-82A7-C45704518FCD}"/>
    <cellStyle name="Arial6Bold 3" xfId="1137" xr:uid="{A29A0E6B-5FAC-4DE1-86C1-3A8F316D7DFC}"/>
    <cellStyle name="ArialNormal" xfId="227" xr:uid="{00000000-0005-0000-0000-0000DB000000}"/>
    <cellStyle name="ArialNormal 2" xfId="228" xr:uid="{00000000-0005-0000-0000-0000DC000000}"/>
    <cellStyle name="ArialNormal 2 2" xfId="1140" xr:uid="{AC11F965-9FF1-48C5-8D0D-F5E5752508CB}"/>
    <cellStyle name="ArialNormal 3" xfId="1139" xr:uid="{5E6D9A30-940C-4DA5-B78A-43B2A2F7FF36}"/>
    <cellStyle name="Bad 2" xfId="229" xr:uid="{00000000-0005-0000-0000-0000DD000000}"/>
    <cellStyle name="BalanceSheet" xfId="230" xr:uid="{00000000-0005-0000-0000-0000DE000000}"/>
    <cellStyle name="BalanceSheet 2" xfId="231" xr:uid="{00000000-0005-0000-0000-0000DF000000}"/>
    <cellStyle name="Band 2" xfId="232" xr:uid="{00000000-0005-0000-0000-0000E0000000}"/>
    <cellStyle name="Band 2 2" xfId="1141" xr:uid="{CC158494-B998-4614-815A-2B3FF514087B}"/>
    <cellStyle name="Black" xfId="233" xr:uid="{00000000-0005-0000-0000-0000E1000000}"/>
    <cellStyle name="blp_column_header" xfId="234" xr:uid="{00000000-0005-0000-0000-0000E2000000}"/>
    <cellStyle name="Blue" xfId="235" xr:uid="{00000000-0005-0000-0000-0000E3000000}"/>
    <cellStyle name="bluenodec" xfId="236" xr:uid="{00000000-0005-0000-0000-0000E4000000}"/>
    <cellStyle name="bluepercent" xfId="237" xr:uid="{00000000-0005-0000-0000-0000E5000000}"/>
    <cellStyle name="bluepercent 2" xfId="238" xr:uid="{00000000-0005-0000-0000-0000E6000000}"/>
    <cellStyle name="Body_$Dollars" xfId="239" xr:uid="{00000000-0005-0000-0000-0000E7000000}"/>
    <cellStyle name="Bold/Border" xfId="240" xr:uid="{00000000-0005-0000-0000-0000E8000000}"/>
    <cellStyle name="Bold/Border 2" xfId="241" xr:uid="{00000000-0005-0000-0000-0000E9000000}"/>
    <cellStyle name="Bold/Border 2 2" xfId="1143" xr:uid="{B9AD7F25-037A-495C-B022-23FB8BC8C2A5}"/>
    <cellStyle name="Bold/Border 3" xfId="1142" xr:uid="{24AB45EA-0AD1-44F0-A00F-F184414E6AF5}"/>
    <cellStyle name="Border" xfId="242" xr:uid="{00000000-0005-0000-0000-0000EA000000}"/>
    <cellStyle name="Border 2" xfId="243" xr:uid="{00000000-0005-0000-0000-0000EB000000}"/>
    <cellStyle name="Border 2 2" xfId="1145" xr:uid="{E155D685-B6DE-40C8-B5E2-CFB2241BD4AE}"/>
    <cellStyle name="Border 3" xfId="244" xr:uid="{00000000-0005-0000-0000-0000EC000000}"/>
    <cellStyle name="Border 3 2" xfId="1146" xr:uid="{49CF115D-47DB-4617-BE50-7C4634A239B7}"/>
    <cellStyle name="Border 4" xfId="1144" xr:uid="{79ACDB98-F8EC-463B-9E49-BA2921148D8F}"/>
    <cellStyle name="Border Heavy" xfId="245" xr:uid="{00000000-0005-0000-0000-0000ED000000}"/>
    <cellStyle name="Border Heavy 2" xfId="1147" xr:uid="{8DE4FE43-B12A-427D-9C80-F84A0F089A10}"/>
    <cellStyle name="Border Thin" xfId="246" xr:uid="{00000000-0005-0000-0000-0000EE000000}"/>
    <cellStyle name="Border Thin 2" xfId="247" xr:uid="{00000000-0005-0000-0000-0000EF000000}"/>
    <cellStyle name="Border, Bottom" xfId="248" xr:uid="{00000000-0005-0000-0000-0000F0000000}"/>
    <cellStyle name="Border, Bottom 2" xfId="249" xr:uid="{00000000-0005-0000-0000-0000F1000000}"/>
    <cellStyle name="Border, Bottom 2 2" xfId="1149" xr:uid="{68AA3DDE-409C-48B9-904D-0A32BF3BF93C}"/>
    <cellStyle name="Border, Bottom 3" xfId="1148" xr:uid="{96794FE3-7E72-44F4-99FA-942055B3E8AB}"/>
    <cellStyle name="Border, Left" xfId="250" xr:uid="{00000000-0005-0000-0000-0000F2000000}"/>
    <cellStyle name="Border, Left 2" xfId="1150" xr:uid="{DC730DB3-E8EA-4EE7-BC4F-98FF87EA7883}"/>
    <cellStyle name="Border, Right" xfId="251" xr:uid="{00000000-0005-0000-0000-0000F3000000}"/>
    <cellStyle name="Border, Right 2" xfId="252" xr:uid="{00000000-0005-0000-0000-0000F4000000}"/>
    <cellStyle name="Border, Right 2 2" xfId="253" xr:uid="{00000000-0005-0000-0000-0000F5000000}"/>
    <cellStyle name="Border, Right 2 2 2" xfId="254" xr:uid="{00000000-0005-0000-0000-0000F6000000}"/>
    <cellStyle name="Border, Right 2 3" xfId="255" xr:uid="{00000000-0005-0000-0000-0000F7000000}"/>
    <cellStyle name="Border, Right 3" xfId="256" xr:uid="{00000000-0005-0000-0000-0000F8000000}"/>
    <cellStyle name="Border, Right 3 2" xfId="257" xr:uid="{00000000-0005-0000-0000-0000F9000000}"/>
    <cellStyle name="Border, Right 4" xfId="258" xr:uid="{00000000-0005-0000-0000-0000FA000000}"/>
    <cellStyle name="Border, Top" xfId="259" xr:uid="{00000000-0005-0000-0000-0000FB000000}"/>
    <cellStyle name="Border, Top 2" xfId="260" xr:uid="{00000000-0005-0000-0000-0000FC000000}"/>
    <cellStyle name="Border, Top 2 2" xfId="1152" xr:uid="{B679D3CF-B9F3-4AA3-A17E-E34B2AA5DE12}"/>
    <cellStyle name="Border, Top 3" xfId="261" xr:uid="{00000000-0005-0000-0000-0000FD000000}"/>
    <cellStyle name="Border, Top 3 2" xfId="1153" xr:uid="{92C894F5-CBF6-482A-82EF-D5FB30BB0FAE}"/>
    <cellStyle name="Border, Top 4" xfId="1151" xr:uid="{5B433D0E-600C-4079-B1F6-A71CB061757E}"/>
    <cellStyle name="Bottom Edge" xfId="262" xr:uid="{00000000-0005-0000-0000-0000FE000000}"/>
    <cellStyle name="Bottom Edge 2" xfId="263" xr:uid="{00000000-0005-0000-0000-0000FF000000}"/>
    <cellStyle name="Bottom Edge 2 2" xfId="264" xr:uid="{00000000-0005-0000-0000-000000010000}"/>
    <cellStyle name="Bottom Edge 2 2 2" xfId="1156" xr:uid="{D5EEAFF8-857A-4C5B-8031-C100137B686D}"/>
    <cellStyle name="Bottom Edge 2 3" xfId="265" xr:uid="{00000000-0005-0000-0000-000001010000}"/>
    <cellStyle name="Bottom Edge 2 3 2" xfId="1157" xr:uid="{109086F1-6DF8-4CDD-9F9F-E2BD20883193}"/>
    <cellStyle name="Bottom Edge 2 4" xfId="1155" xr:uid="{72E44056-FB2E-4374-BA63-A8B90BC31260}"/>
    <cellStyle name="Bottom Edge 3" xfId="266" xr:uid="{00000000-0005-0000-0000-000002010000}"/>
    <cellStyle name="Bottom Edge 3 2" xfId="1158" xr:uid="{BEF5E2CA-2771-4B3E-B5E8-9AA1F56BD2DC}"/>
    <cellStyle name="Bottom Edge 4" xfId="267" xr:uid="{00000000-0005-0000-0000-000003010000}"/>
    <cellStyle name="Bottom Edge 4 2" xfId="1159" xr:uid="{53EC0324-E315-470D-9776-6F71E5AC32E4}"/>
    <cellStyle name="Bottom Edge 5" xfId="1154" xr:uid="{D209DEE5-93FD-49FF-855B-7953E45E7DC1}"/>
    <cellStyle name="BottomBorder" xfId="268" xr:uid="{00000000-0005-0000-0000-000004010000}"/>
    <cellStyle name="BottomBorder 2" xfId="269" xr:uid="{00000000-0005-0000-0000-000005010000}"/>
    <cellStyle name="BottomBorder 2 2" xfId="1161" xr:uid="{A807F715-9B87-44A5-94C2-58D7EBE97FC2}"/>
    <cellStyle name="BottomBorder 3" xfId="1160" xr:uid="{8D55F503-9A2A-4B36-BB84-DDAEBBF4F203}"/>
    <cellStyle name="British Pound" xfId="270" xr:uid="{00000000-0005-0000-0000-000006010000}"/>
    <cellStyle name="Bullet" xfId="271" xr:uid="{00000000-0005-0000-0000-000007010000}"/>
    <cellStyle name="Bullet 2" xfId="272" xr:uid="{00000000-0005-0000-0000-000008010000}"/>
    <cellStyle name="Bullets" xfId="273" xr:uid="{00000000-0005-0000-0000-000009010000}"/>
    <cellStyle name="Bullets 2" xfId="274" xr:uid="{00000000-0005-0000-0000-00000A010000}"/>
    <cellStyle name="Bullets 2 2" xfId="1163" xr:uid="{B0E71EA5-B41B-444A-B890-593EC3AFBA87}"/>
    <cellStyle name="Bullets 3" xfId="1162" xr:uid="{72872A66-3E7C-4355-8DA8-D3B064980480}"/>
    <cellStyle name="C05_Style E Text" xfId="275" xr:uid="{00000000-0005-0000-0000-00000B010000}"/>
    <cellStyle name="Calc Currency (0)" xfId="276" xr:uid="{00000000-0005-0000-0000-00000C010000}"/>
    <cellStyle name="Calculation 2" xfId="277" xr:uid="{00000000-0005-0000-0000-00000D010000}"/>
    <cellStyle name="Calculation 2 2" xfId="278" xr:uid="{00000000-0005-0000-0000-00000E010000}"/>
    <cellStyle name="Calculation 2 2 2" xfId="1165" xr:uid="{CE598939-36A7-4B40-B095-03FDA206165A}"/>
    <cellStyle name="Calculation 2 3" xfId="1164" xr:uid="{A6C17EDF-B79A-4142-985B-3B9CB156184A}"/>
    <cellStyle name="Case" xfId="279" xr:uid="{00000000-0005-0000-0000-00000F010000}"/>
    <cellStyle name="Cash Flow Statement" xfId="280" xr:uid="{00000000-0005-0000-0000-000010010000}"/>
    <cellStyle name="Cash Flow Statement 2" xfId="281" xr:uid="{00000000-0005-0000-0000-000011010000}"/>
    <cellStyle name="CashFlow" xfId="282" xr:uid="{00000000-0005-0000-0000-000012010000}"/>
    <cellStyle name="CashFlow 2" xfId="283" xr:uid="{00000000-0005-0000-0000-000013010000}"/>
    <cellStyle name="CashFlow 2 2" xfId="284" xr:uid="{00000000-0005-0000-0000-000014010000}"/>
    <cellStyle name="Cents" xfId="285" xr:uid="{00000000-0005-0000-0000-000015010000}"/>
    <cellStyle name="Cents 2" xfId="286" xr:uid="{00000000-0005-0000-0000-000016010000}"/>
    <cellStyle name="Cents 2 2" xfId="287" xr:uid="{00000000-0005-0000-0000-000017010000}"/>
    <cellStyle name="Cents 3" xfId="288" xr:uid="{00000000-0005-0000-0000-000018010000}"/>
    <cellStyle name="Changeable" xfId="289" xr:uid="{00000000-0005-0000-0000-000019010000}"/>
    <cellStyle name="Check Cell 2" xfId="290" xr:uid="{00000000-0005-0000-0000-00001A010000}"/>
    <cellStyle name="CHF" xfId="291" xr:uid="{00000000-0005-0000-0000-00001B010000}"/>
    <cellStyle name="CHF 2" xfId="292" xr:uid="{00000000-0005-0000-0000-00001C010000}"/>
    <cellStyle name="CHF 2 2" xfId="293" xr:uid="{00000000-0005-0000-0000-00001D010000}"/>
    <cellStyle name="CHF 2 2 2" xfId="1168" xr:uid="{D7EA6D3D-9068-461F-B121-8B73E9F9F882}"/>
    <cellStyle name="CHF 2 3" xfId="294" xr:uid="{00000000-0005-0000-0000-00001E010000}"/>
    <cellStyle name="CHF 2 3 2" xfId="1169" xr:uid="{2E7E549C-9DA7-4731-BAEE-180776E545CC}"/>
    <cellStyle name="CHF 2 4" xfId="1167" xr:uid="{0CBE16DA-1614-47BC-A1EA-56BFA9F1455F}"/>
    <cellStyle name="CHF 3" xfId="295" xr:uid="{00000000-0005-0000-0000-00001F010000}"/>
    <cellStyle name="CHF 3 2" xfId="1170" xr:uid="{A4F00218-D8C8-496A-B62E-20FA3BB24F08}"/>
    <cellStyle name="CHF 4" xfId="296" xr:uid="{00000000-0005-0000-0000-000020010000}"/>
    <cellStyle name="CHF 4 2" xfId="1171" xr:uid="{ED2F1EA8-8A25-40ED-A6BA-F84D6CBCAD4A}"/>
    <cellStyle name="CHF 5" xfId="1166" xr:uid="{52D43808-8D6F-4CB8-A8D7-B81E82A2BF41}"/>
    <cellStyle name="ClearBorders" xfId="297" xr:uid="{00000000-0005-0000-0000-000021010000}"/>
    <cellStyle name="ClearBorders 2" xfId="298" xr:uid="{00000000-0005-0000-0000-000022010000}"/>
    <cellStyle name="COL HEADINGS" xfId="299" xr:uid="{00000000-0005-0000-0000-000023010000}"/>
    <cellStyle name="COL HEADINGS 2" xfId="300" xr:uid="{00000000-0005-0000-0000-000024010000}"/>
    <cellStyle name="COL HEADINGS 2 2" xfId="1173" xr:uid="{41E99379-9D85-478E-9824-B63E5CA5500F}"/>
    <cellStyle name="COL HEADINGS 3" xfId="1172" xr:uid="{765DCD35-54BA-4F6F-874D-1C51AA54291D}"/>
    <cellStyle name="Colhead_left" xfId="301" xr:uid="{00000000-0005-0000-0000-000025010000}"/>
    <cellStyle name="ColHeading" xfId="302" xr:uid="{00000000-0005-0000-0000-000026010000}"/>
    <cellStyle name="colheadleft" xfId="303" xr:uid="{00000000-0005-0000-0000-000027010000}"/>
    <cellStyle name="colheadright" xfId="304" xr:uid="{00000000-0005-0000-0000-000028010000}"/>
    <cellStyle name="colheadright 2" xfId="305" xr:uid="{00000000-0005-0000-0000-000029010000}"/>
    <cellStyle name="colheadright 2 2" xfId="1175" xr:uid="{285B3C02-1307-4C38-8C8A-2E11D40E45AD}"/>
    <cellStyle name="colheadright 3" xfId="1174" xr:uid="{6B708276-446E-45AD-910D-41FB9F6F7646}"/>
    <cellStyle name="ColumnHeadings" xfId="306" xr:uid="{00000000-0005-0000-0000-00002A010000}"/>
    <cellStyle name="ColumnHeadings2" xfId="307" xr:uid="{00000000-0005-0000-0000-00002B010000}"/>
    <cellStyle name="ColumnHeadings2 2" xfId="1176" xr:uid="{683D2A49-993D-4B0A-9929-9145004DB7C3}"/>
    <cellStyle name="Comma  - Style1" xfId="308" xr:uid="{00000000-0005-0000-0000-00002C010000}"/>
    <cellStyle name="Comma  - Style2" xfId="309" xr:uid="{00000000-0005-0000-0000-00002D010000}"/>
    <cellStyle name="Comma  - Style3" xfId="310" xr:uid="{00000000-0005-0000-0000-00002E010000}"/>
    <cellStyle name="Comma  - Style4" xfId="311" xr:uid="{00000000-0005-0000-0000-00002F010000}"/>
    <cellStyle name="Comma  - Style5" xfId="312" xr:uid="{00000000-0005-0000-0000-000030010000}"/>
    <cellStyle name="Comma  - Style6" xfId="313" xr:uid="{00000000-0005-0000-0000-000031010000}"/>
    <cellStyle name="Comma  - Style7" xfId="314" xr:uid="{00000000-0005-0000-0000-000032010000}"/>
    <cellStyle name="Comma  - Style8" xfId="315" xr:uid="{00000000-0005-0000-0000-000033010000}"/>
    <cellStyle name="Comma (1)" xfId="316" xr:uid="{00000000-0005-0000-0000-000034010000}"/>
    <cellStyle name="Comma [0] 2" xfId="317" xr:uid="{00000000-0005-0000-0000-000035010000}"/>
    <cellStyle name="Comma [1]" xfId="318" xr:uid="{00000000-0005-0000-0000-000036010000}"/>
    <cellStyle name="Comma [1] 2" xfId="319" xr:uid="{00000000-0005-0000-0000-000037010000}"/>
    <cellStyle name="Comma [3]" xfId="320" xr:uid="{00000000-0005-0000-0000-000038010000}"/>
    <cellStyle name="Comma [3] 2" xfId="321" xr:uid="{00000000-0005-0000-0000-000039010000}"/>
    <cellStyle name="Comma 0" xfId="322" xr:uid="{00000000-0005-0000-0000-00003A010000}"/>
    <cellStyle name="Comma 0*" xfId="323" xr:uid="{00000000-0005-0000-0000-00003B010000}"/>
    <cellStyle name="Comma 0_~7837184" xfId="324" xr:uid="{00000000-0005-0000-0000-00003C010000}"/>
    <cellStyle name="Comma 2" xfId="325" xr:uid="{00000000-0005-0000-0000-00003D010000}"/>
    <cellStyle name="Comma 2 2" xfId="326" xr:uid="{00000000-0005-0000-0000-00003E010000}"/>
    <cellStyle name="Comma 2 2 2" xfId="327" xr:uid="{00000000-0005-0000-0000-00003F010000}"/>
    <cellStyle name="Comma 2 2 2 2" xfId="328" xr:uid="{00000000-0005-0000-0000-000040010000}"/>
    <cellStyle name="Comma 2 2 3" xfId="329" xr:uid="{00000000-0005-0000-0000-000041010000}"/>
    <cellStyle name="Comma 2*" xfId="330" xr:uid="{00000000-0005-0000-0000-000042010000}"/>
    <cellStyle name="Comma 2_book7" xfId="331" xr:uid="{00000000-0005-0000-0000-000043010000}"/>
    <cellStyle name="Comma 3" xfId="332" xr:uid="{00000000-0005-0000-0000-000044010000}"/>
    <cellStyle name="Comma 3 2" xfId="333" xr:uid="{00000000-0005-0000-0000-000045010000}"/>
    <cellStyle name="Comma 3 2 2" xfId="334" xr:uid="{00000000-0005-0000-0000-000046010000}"/>
    <cellStyle name="Comma 3 2 3" xfId="335" xr:uid="{00000000-0005-0000-0000-000047010000}"/>
    <cellStyle name="Comma 3 2 3 2" xfId="336" xr:uid="{00000000-0005-0000-0000-000048010000}"/>
    <cellStyle name="Comma 3 2 4" xfId="337" xr:uid="{00000000-0005-0000-0000-000049010000}"/>
    <cellStyle name="Comma 3 3" xfId="338" xr:uid="{00000000-0005-0000-0000-00004A010000}"/>
    <cellStyle name="Comma 3 3 2" xfId="339" xr:uid="{00000000-0005-0000-0000-00004B010000}"/>
    <cellStyle name="Comma 3 4" xfId="340" xr:uid="{00000000-0005-0000-0000-00004C010000}"/>
    <cellStyle name="Comma 3 5" xfId="341" xr:uid="{00000000-0005-0000-0000-00004D010000}"/>
    <cellStyle name="Comma 3*" xfId="342" xr:uid="{00000000-0005-0000-0000-00004E010000}"/>
    <cellStyle name="Comma 4" xfId="343" xr:uid="{00000000-0005-0000-0000-00004F010000}"/>
    <cellStyle name="Comma 5" xfId="344" xr:uid="{00000000-0005-0000-0000-000050010000}"/>
    <cellStyle name="Comma Cents" xfId="345" xr:uid="{00000000-0005-0000-0000-000051010000}"/>
    <cellStyle name="Comma Cents 2" xfId="346" xr:uid="{00000000-0005-0000-0000-000052010000}"/>
    <cellStyle name="Comma*" xfId="347" xr:uid="{00000000-0005-0000-0000-000053010000}"/>
    <cellStyle name="Comma0" xfId="348" xr:uid="{00000000-0005-0000-0000-000054010000}"/>
    <cellStyle name="Comment" xfId="349" xr:uid="{00000000-0005-0000-0000-000055010000}"/>
    <cellStyle name="Company" xfId="350" xr:uid="{00000000-0005-0000-0000-000056010000}"/>
    <cellStyle name="CompanyName" xfId="351" xr:uid="{00000000-0005-0000-0000-000057010000}"/>
    <cellStyle name="CompanyName 2" xfId="352" xr:uid="{00000000-0005-0000-0000-000058010000}"/>
    <cellStyle name="Cover Date" xfId="353" xr:uid="{00000000-0005-0000-0000-000059010000}"/>
    <cellStyle name="Cover Subtitle" xfId="354" xr:uid="{00000000-0005-0000-0000-00005A010000}"/>
    <cellStyle name="Cover Title" xfId="355" xr:uid="{00000000-0005-0000-0000-00005B010000}"/>
    <cellStyle name="CurRatio" xfId="356" xr:uid="{00000000-0005-0000-0000-00005C010000}"/>
    <cellStyle name="Currency" xfId="1217" builtinId="4"/>
    <cellStyle name="Currency [0] 2" xfId="357" xr:uid="{00000000-0005-0000-0000-00005D010000}"/>
    <cellStyle name="Currency [1]" xfId="358" xr:uid="{00000000-0005-0000-0000-00005E010000}"/>
    <cellStyle name="Currency [1] 2" xfId="359" xr:uid="{00000000-0005-0000-0000-00005F010000}"/>
    <cellStyle name="Currency [2]" xfId="360" xr:uid="{00000000-0005-0000-0000-000060010000}"/>
    <cellStyle name="Currency [2] 2" xfId="361" xr:uid="{00000000-0005-0000-0000-000061010000}"/>
    <cellStyle name="Currency [2] 3" xfId="362" xr:uid="{00000000-0005-0000-0000-000062010000}"/>
    <cellStyle name="Currency [2] 3 2" xfId="1178" xr:uid="{B872E71A-34DC-4A26-ACAC-BDD7EF2B5349}"/>
    <cellStyle name="Currency [2] 4" xfId="1177" xr:uid="{10FDFA3B-D46A-445C-B4B9-6BF2F4AD1D53}"/>
    <cellStyle name="Currency [3]" xfId="363" xr:uid="{00000000-0005-0000-0000-000063010000}"/>
    <cellStyle name="Currency [3] 2" xfId="364" xr:uid="{00000000-0005-0000-0000-000064010000}"/>
    <cellStyle name="Currency 0" xfId="365" xr:uid="{00000000-0005-0000-0000-000065010000}"/>
    <cellStyle name="Currency 2" xfId="366" xr:uid="{00000000-0005-0000-0000-000066010000}"/>
    <cellStyle name="Currency 2 2" xfId="367" xr:uid="{00000000-0005-0000-0000-000067010000}"/>
    <cellStyle name="Currency 2 2 2" xfId="368" xr:uid="{00000000-0005-0000-0000-000068010000}"/>
    <cellStyle name="Currency 2 2 2 2" xfId="369" xr:uid="{00000000-0005-0000-0000-000069010000}"/>
    <cellStyle name="Currency 2 2 2 2 2" xfId="370" xr:uid="{00000000-0005-0000-0000-00006A010000}"/>
    <cellStyle name="Currency 2 2 2 3" xfId="371" xr:uid="{00000000-0005-0000-0000-00006B010000}"/>
    <cellStyle name="Currency 2 2 3" xfId="372" xr:uid="{00000000-0005-0000-0000-00006C010000}"/>
    <cellStyle name="Currency 2 2 3 2" xfId="373" xr:uid="{00000000-0005-0000-0000-00006D010000}"/>
    <cellStyle name="Currency 2 2 4" xfId="374" xr:uid="{00000000-0005-0000-0000-00006E010000}"/>
    <cellStyle name="Currency 2 3" xfId="375" xr:uid="{00000000-0005-0000-0000-00006F010000}"/>
    <cellStyle name="Currency 2*" xfId="376" xr:uid="{00000000-0005-0000-0000-000070010000}"/>
    <cellStyle name="Currency 2_Assump" xfId="377" xr:uid="{00000000-0005-0000-0000-000071010000}"/>
    <cellStyle name="Currency 3" xfId="378" xr:uid="{00000000-0005-0000-0000-000072010000}"/>
    <cellStyle name="Currency 3 2" xfId="379" xr:uid="{00000000-0005-0000-0000-000073010000}"/>
    <cellStyle name="Currency 3 2 2" xfId="380" xr:uid="{00000000-0005-0000-0000-000074010000}"/>
    <cellStyle name="Currency 3 2 3" xfId="381" xr:uid="{00000000-0005-0000-0000-000075010000}"/>
    <cellStyle name="Currency 3 2 3 2" xfId="382" xr:uid="{00000000-0005-0000-0000-000076010000}"/>
    <cellStyle name="Currency 3 2 4" xfId="383" xr:uid="{00000000-0005-0000-0000-000077010000}"/>
    <cellStyle name="Currency 3 3" xfId="384" xr:uid="{00000000-0005-0000-0000-000078010000}"/>
    <cellStyle name="Currency 3 3 2" xfId="385" xr:uid="{00000000-0005-0000-0000-000079010000}"/>
    <cellStyle name="Currency 3 4" xfId="386" xr:uid="{00000000-0005-0000-0000-00007A010000}"/>
    <cellStyle name="Currency 3*" xfId="387" xr:uid="{00000000-0005-0000-0000-00007B010000}"/>
    <cellStyle name="Currency 4" xfId="388" xr:uid="{00000000-0005-0000-0000-00007C010000}"/>
    <cellStyle name="Currency 5" xfId="389" xr:uid="{00000000-0005-0000-0000-00007D010000}"/>
    <cellStyle name="Currency*" xfId="390" xr:uid="{00000000-0005-0000-0000-00007E010000}"/>
    <cellStyle name="Currency0" xfId="391" xr:uid="{00000000-0005-0000-0000-00007F010000}"/>
    <cellStyle name="Currency2" xfId="392" xr:uid="{00000000-0005-0000-0000-000080010000}"/>
    <cellStyle name="Currsmall" xfId="393" xr:uid="{00000000-0005-0000-0000-000081010000}"/>
    <cellStyle name="CUS.Work.Area" xfId="394" xr:uid="{00000000-0005-0000-0000-000082010000}"/>
    <cellStyle name="d_yield" xfId="395" xr:uid="{00000000-0005-0000-0000-000083010000}"/>
    <cellStyle name="d_yield 2" xfId="396" xr:uid="{00000000-0005-0000-0000-000084010000}"/>
    <cellStyle name="d_yield 2 2" xfId="397" xr:uid="{00000000-0005-0000-0000-000085010000}"/>
    <cellStyle name="d_yield 2 2 2" xfId="398" xr:uid="{00000000-0005-0000-0000-000086010000}"/>
    <cellStyle name="d_yield 2 3" xfId="399" xr:uid="{00000000-0005-0000-0000-000087010000}"/>
    <cellStyle name="d_yield 3" xfId="400" xr:uid="{00000000-0005-0000-0000-000088010000}"/>
    <cellStyle name="d_yield 3 2" xfId="401" xr:uid="{00000000-0005-0000-0000-000089010000}"/>
    <cellStyle name="d_yield 4" xfId="402" xr:uid="{00000000-0005-0000-0000-00008A010000}"/>
    <cellStyle name="darren" xfId="403" xr:uid="{00000000-0005-0000-0000-00008B010000}"/>
    <cellStyle name="Dash" xfId="404" xr:uid="{00000000-0005-0000-0000-00008C010000}"/>
    <cellStyle name="Dash 2" xfId="405" xr:uid="{00000000-0005-0000-0000-00008D010000}"/>
    <cellStyle name="Date" xfId="406" xr:uid="{00000000-0005-0000-0000-00008E010000}"/>
    <cellStyle name="Date 2" xfId="407" xr:uid="{00000000-0005-0000-0000-00008F010000}"/>
    <cellStyle name="Date Aligned" xfId="408" xr:uid="{00000000-0005-0000-0000-000090010000}"/>
    <cellStyle name="Date Aligned*" xfId="409" xr:uid="{00000000-0005-0000-0000-000091010000}"/>
    <cellStyle name="Date Aligned_Assump" xfId="410" xr:uid="{00000000-0005-0000-0000-000092010000}"/>
    <cellStyle name="Date Day" xfId="411" xr:uid="{00000000-0005-0000-0000-000093010000}"/>
    <cellStyle name="Date Day 2" xfId="412" xr:uid="{00000000-0005-0000-0000-000094010000}"/>
    <cellStyle name="Date Day 2 2" xfId="413" xr:uid="{00000000-0005-0000-0000-000095010000}"/>
    <cellStyle name="Date Year" xfId="414" xr:uid="{00000000-0005-0000-0000-000096010000}"/>
    <cellStyle name="Date_~7837184" xfId="415" xr:uid="{00000000-0005-0000-0000-000097010000}"/>
    <cellStyle name="Date2" xfId="416" xr:uid="{00000000-0005-0000-0000-000098010000}"/>
    <cellStyle name="date3" xfId="417" xr:uid="{00000000-0005-0000-0000-000099010000}"/>
    <cellStyle name="Dates" xfId="418" xr:uid="{00000000-0005-0000-0000-00009A010000}"/>
    <cellStyle name="Dates 2" xfId="419" xr:uid="{00000000-0005-0000-0000-00009B010000}"/>
    <cellStyle name="Dates 2 2" xfId="420" xr:uid="{00000000-0005-0000-0000-00009C010000}"/>
    <cellStyle name="DateYear" xfId="421" xr:uid="{00000000-0005-0000-0000-00009D010000}"/>
    <cellStyle name="Decimal" xfId="422" xr:uid="{00000000-0005-0000-0000-00009E010000}"/>
    <cellStyle name="decimal 1" xfId="423" xr:uid="{00000000-0005-0000-0000-00009F010000}"/>
    <cellStyle name="Decimal 2" xfId="424" xr:uid="{00000000-0005-0000-0000-0000A0010000}"/>
    <cellStyle name="Decimal 3" xfId="425" xr:uid="{00000000-0005-0000-0000-0000A1010000}"/>
    <cellStyle name="Dfc" xfId="426" xr:uid="{00000000-0005-0000-0000-0000A2010000}"/>
    <cellStyle name="Dfc%" xfId="427" xr:uid="{00000000-0005-0000-0000-0000A3010000}"/>
    <cellStyle name="Dfc_7944C_CF" xfId="428" xr:uid="{00000000-0005-0000-0000-0000A4010000}"/>
    <cellStyle name="dollar" xfId="429" xr:uid="{00000000-0005-0000-0000-0000A5010000}"/>
    <cellStyle name="Dollar (Canadian)" xfId="430" xr:uid="{00000000-0005-0000-0000-0000A6010000}"/>
    <cellStyle name="dollar 2" xfId="431" xr:uid="{00000000-0005-0000-0000-0000A7010000}"/>
    <cellStyle name="dollar 3" xfId="432" xr:uid="{00000000-0005-0000-0000-0000A8010000}"/>
    <cellStyle name="Dollar Whole" xfId="433" xr:uid="{00000000-0005-0000-0000-0000A9010000}"/>
    <cellStyle name="Dollar Whole 2" xfId="434" xr:uid="{00000000-0005-0000-0000-0000AA010000}"/>
    <cellStyle name="Dollar_BWA Spider 1201" xfId="435" xr:uid="{00000000-0005-0000-0000-0000AB010000}"/>
    <cellStyle name="Dollars" xfId="436" xr:uid="{00000000-0005-0000-0000-0000AC010000}"/>
    <cellStyle name="DollarWhole" xfId="437" xr:uid="{00000000-0005-0000-0000-0000AD010000}"/>
    <cellStyle name="DollarWhole 2" xfId="438" xr:uid="{00000000-0005-0000-0000-0000AE010000}"/>
    <cellStyle name="Dotted Line" xfId="439" xr:uid="{00000000-0005-0000-0000-0000AF010000}"/>
    <cellStyle name="Double Accounting" xfId="440" xr:uid="{00000000-0005-0000-0000-0000B0010000}"/>
    <cellStyle name="Driver" xfId="441" xr:uid="{00000000-0005-0000-0000-0000B1010000}"/>
    <cellStyle name="Eingabe" xfId="442" xr:uid="{00000000-0005-0000-0000-0000B2010000}"/>
    <cellStyle name="eps" xfId="443" xr:uid="{00000000-0005-0000-0000-0000B3010000}"/>
    <cellStyle name="eps$" xfId="444" xr:uid="{00000000-0005-0000-0000-0000B4010000}"/>
    <cellStyle name="eps$A" xfId="445" xr:uid="{00000000-0005-0000-0000-0000B5010000}"/>
    <cellStyle name="eps$E" xfId="446" xr:uid="{00000000-0005-0000-0000-0000B6010000}"/>
    <cellStyle name="eps_DNEX_MOD2" xfId="447" xr:uid="{00000000-0005-0000-0000-0000B7010000}"/>
    <cellStyle name="epsE" xfId="448" xr:uid="{00000000-0005-0000-0000-0000B8010000}"/>
    <cellStyle name="Euro" xfId="449" xr:uid="{00000000-0005-0000-0000-0000B9010000}"/>
    <cellStyle name="Euro 2" xfId="450" xr:uid="{00000000-0005-0000-0000-0000BA010000}"/>
    <cellStyle name="Explanatory Text 2" xfId="451" xr:uid="{00000000-0005-0000-0000-0000BB010000}"/>
    <cellStyle name="Fail" xfId="452" xr:uid="{00000000-0005-0000-0000-0000BC010000}"/>
    <cellStyle name="FieldName" xfId="453" xr:uid="{00000000-0005-0000-0000-0000BD010000}"/>
    <cellStyle name="FieldName 2" xfId="454" xr:uid="{00000000-0005-0000-0000-0000BE010000}"/>
    <cellStyle name="FieldName 2 2" xfId="1180" xr:uid="{753BEB07-213A-4A5B-81DA-FAEA8C4E3B45}"/>
    <cellStyle name="FieldName 3" xfId="455" xr:uid="{00000000-0005-0000-0000-0000BF010000}"/>
    <cellStyle name="FieldName 3 2" xfId="1181" xr:uid="{52310AA9-CCA9-4D1D-B295-BEFD22DE77B3}"/>
    <cellStyle name="FieldName 4" xfId="1179" xr:uid="{2E3C3BCE-DC03-4C25-B34E-2FE9C15F22D3}"/>
    <cellStyle name="FiscalPeriod" xfId="456" xr:uid="{00000000-0005-0000-0000-0000C0010000}"/>
    <cellStyle name="Fixed" xfId="457" xr:uid="{00000000-0005-0000-0000-0000C1010000}"/>
    <cellStyle name="Fixlong" xfId="458" xr:uid="{00000000-0005-0000-0000-0000C2010000}"/>
    <cellStyle name="Footer SBILogo1" xfId="459" xr:uid="{00000000-0005-0000-0000-0000C3010000}"/>
    <cellStyle name="Footer SBILogo2" xfId="460" xr:uid="{00000000-0005-0000-0000-0000C4010000}"/>
    <cellStyle name="Footnote" xfId="461" xr:uid="{00000000-0005-0000-0000-0000C5010000}"/>
    <cellStyle name="Footnote Reference" xfId="462" xr:uid="{00000000-0005-0000-0000-0000C6010000}"/>
    <cellStyle name="Footnote_Citizens-ALLTEL" xfId="463" xr:uid="{00000000-0005-0000-0000-0000C7010000}"/>
    <cellStyle name="Format ($)" xfId="464" xr:uid="{00000000-0005-0000-0000-0000C8010000}"/>
    <cellStyle name="Format (no $)" xfId="465" xr:uid="{00000000-0005-0000-0000-0000C9010000}"/>
    <cellStyle name="Format underline (no $)" xfId="466" xr:uid="{00000000-0005-0000-0000-0000CA010000}"/>
    <cellStyle name="fy_eps$" xfId="467" xr:uid="{00000000-0005-0000-0000-0000CB010000}"/>
    <cellStyle name="g_rate" xfId="468" xr:uid="{00000000-0005-0000-0000-0000CC010000}"/>
    <cellStyle name="g_rate 2" xfId="469" xr:uid="{00000000-0005-0000-0000-0000CD010000}"/>
    <cellStyle name="g_rate 2 2" xfId="470" xr:uid="{00000000-0005-0000-0000-0000CE010000}"/>
    <cellStyle name="g_rate 2 2 2" xfId="471" xr:uid="{00000000-0005-0000-0000-0000CF010000}"/>
    <cellStyle name="g_rate 2 3" xfId="472" xr:uid="{00000000-0005-0000-0000-0000D0010000}"/>
    <cellStyle name="g_rate 3" xfId="473" xr:uid="{00000000-0005-0000-0000-0000D1010000}"/>
    <cellStyle name="g_rate 3 2" xfId="474" xr:uid="{00000000-0005-0000-0000-0000D2010000}"/>
    <cellStyle name="g_rate 4" xfId="475" xr:uid="{00000000-0005-0000-0000-0000D3010000}"/>
    <cellStyle name="G02 Table Text" xfId="476" xr:uid="{00000000-0005-0000-0000-0000D4010000}"/>
    <cellStyle name="G02 Table Text 2" xfId="477" xr:uid="{00000000-0005-0000-0000-0000D5010000}"/>
    <cellStyle name="G04_Main head" xfId="478" xr:uid="{00000000-0005-0000-0000-0000D6010000}"/>
    <cellStyle name="G05 Tab Head Bold" xfId="479" xr:uid="{00000000-0005-0000-0000-0000D7010000}"/>
    <cellStyle name="G05 Tab Head Bold 2" xfId="480" xr:uid="{00000000-0005-0000-0000-0000D8010000}"/>
    <cellStyle name="G05 Tab Head Light" xfId="481" xr:uid="{00000000-0005-0000-0000-0000D9010000}"/>
    <cellStyle name="G05 Tab Head Light 2" xfId="482" xr:uid="{00000000-0005-0000-0000-0000DA010000}"/>
    <cellStyle name="General" xfId="483" xr:uid="{00000000-0005-0000-0000-0000DB010000}"/>
    <cellStyle name="Good 2" xfId="484" xr:uid="{00000000-0005-0000-0000-0000DC010000}"/>
    <cellStyle name="Green" xfId="485" xr:uid="{00000000-0005-0000-0000-0000DD010000}"/>
    <cellStyle name="Grey" xfId="486" xr:uid="{00000000-0005-0000-0000-0000DE010000}"/>
    <cellStyle name="Growth" xfId="487" xr:uid="{00000000-0005-0000-0000-0000DF010000}"/>
    <cellStyle name="GrowthRate" xfId="488" xr:uid="{00000000-0005-0000-0000-0000E0010000}"/>
    <cellStyle name="GrowthSeq" xfId="489" xr:uid="{00000000-0005-0000-0000-0000E1010000}"/>
    <cellStyle name="hard no" xfId="490" xr:uid="{00000000-0005-0000-0000-0000E2010000}"/>
    <cellStyle name="hard no 2" xfId="491" xr:uid="{00000000-0005-0000-0000-0000E3010000}"/>
    <cellStyle name="Hard Percent" xfId="492" xr:uid="{00000000-0005-0000-0000-0000E4010000}"/>
    <cellStyle name="hardno" xfId="493" xr:uid="{00000000-0005-0000-0000-0000E5010000}"/>
    <cellStyle name="head1" xfId="494" xr:uid="{00000000-0005-0000-0000-0000E6010000}"/>
    <cellStyle name="head2" xfId="495" xr:uid="{00000000-0005-0000-0000-0000E7010000}"/>
    <cellStyle name="Header" xfId="496" xr:uid="{00000000-0005-0000-0000-0000E8010000}"/>
    <cellStyle name="Header Draft Stamp" xfId="497" xr:uid="{00000000-0005-0000-0000-0000E9010000}"/>
    <cellStyle name="Header_Citizens-ALLTEL" xfId="498" xr:uid="{00000000-0005-0000-0000-0000EA010000}"/>
    <cellStyle name="Header1" xfId="499" xr:uid="{00000000-0005-0000-0000-0000EB010000}"/>
    <cellStyle name="Header2" xfId="500" xr:uid="{00000000-0005-0000-0000-0000EC010000}"/>
    <cellStyle name="Header2 2" xfId="501" xr:uid="{00000000-0005-0000-0000-0000ED010000}"/>
    <cellStyle name="Heading" xfId="502" xr:uid="{00000000-0005-0000-0000-0000EE010000}"/>
    <cellStyle name="Heading 1 2" xfId="503" xr:uid="{00000000-0005-0000-0000-0000F0010000}"/>
    <cellStyle name="Heading 1 Above" xfId="504" xr:uid="{00000000-0005-0000-0000-0000F1010000}"/>
    <cellStyle name="Heading 1+" xfId="505" xr:uid="{00000000-0005-0000-0000-0000F2010000}"/>
    <cellStyle name="Heading 1+ 2" xfId="1182" xr:uid="{D57B15EE-42A0-457A-B395-253123898EE1}"/>
    <cellStyle name="Heading 2 2" xfId="506" xr:uid="{00000000-0005-0000-0000-0000F3010000}"/>
    <cellStyle name="Heading 2 Below" xfId="507" xr:uid="{00000000-0005-0000-0000-0000F4010000}"/>
    <cellStyle name="Heading 2+" xfId="508" xr:uid="{00000000-0005-0000-0000-0000F5010000}"/>
    <cellStyle name="Heading 2+ 2" xfId="1183" xr:uid="{6C5D450B-2F6B-4906-A9FE-660B99FFF9F3}"/>
    <cellStyle name="Heading 3 2" xfId="509" xr:uid="{00000000-0005-0000-0000-0000F6010000}"/>
    <cellStyle name="Heading 3 2 2" xfId="1184" xr:uid="{19D0244D-2EFC-42E1-8EF4-A01F043B4260}"/>
    <cellStyle name="Heading 3+" xfId="510" xr:uid="{00000000-0005-0000-0000-0000F7010000}"/>
    <cellStyle name="Heading 4 2" xfId="511" xr:uid="{00000000-0005-0000-0000-0000F8010000}"/>
    <cellStyle name="Heading1" xfId="512" xr:uid="{00000000-0005-0000-0000-0000F9010000}"/>
    <cellStyle name="Heading2" xfId="513" xr:uid="{00000000-0005-0000-0000-0000FA010000}"/>
    <cellStyle name="Heading3" xfId="514" xr:uid="{00000000-0005-0000-0000-0000FB010000}"/>
    <cellStyle name="Heading4" xfId="515" xr:uid="{00000000-0005-0000-0000-0000FC010000}"/>
    <cellStyle name="Heading5" xfId="516" xr:uid="{00000000-0005-0000-0000-0000FD010000}"/>
    <cellStyle name="Heading6" xfId="517" xr:uid="{00000000-0005-0000-0000-0000FE010000}"/>
    <cellStyle name="Headings" xfId="518" xr:uid="{00000000-0005-0000-0000-0000FF010000}"/>
    <cellStyle name="Hidden" xfId="519" xr:uid="{00000000-0005-0000-0000-000000020000}"/>
    <cellStyle name="hidenorm" xfId="520" xr:uid="{00000000-0005-0000-0000-000001020000}"/>
    <cellStyle name="Hyperlink" xfId="1225" builtinId="8"/>
    <cellStyle name="IncomeStatement" xfId="521" xr:uid="{00000000-0005-0000-0000-000002020000}"/>
    <cellStyle name="IncomeStatement 2" xfId="522" xr:uid="{00000000-0005-0000-0000-000003020000}"/>
    <cellStyle name="Input [yellow]" xfId="523" xr:uid="{00000000-0005-0000-0000-000004020000}"/>
    <cellStyle name="Input [yellow] 2" xfId="524" xr:uid="{00000000-0005-0000-0000-000005020000}"/>
    <cellStyle name="Input 2" xfId="525" xr:uid="{00000000-0005-0000-0000-000006020000}"/>
    <cellStyle name="Input 2 2" xfId="526" xr:uid="{00000000-0005-0000-0000-000007020000}"/>
    <cellStyle name="Input 2 2 2" xfId="1186" xr:uid="{D137A229-1710-4106-A115-187CCE210F15}"/>
    <cellStyle name="Input 2 3" xfId="1185" xr:uid="{287DD0A8-AE4F-4AB4-A1C4-0EF85DA8ED1F}"/>
    <cellStyle name="Input Currency" xfId="527" xr:uid="{00000000-0005-0000-0000-000008020000}"/>
    <cellStyle name="Input Currency 2" xfId="528" xr:uid="{00000000-0005-0000-0000-000009020000}"/>
    <cellStyle name="Input Currency 2 2" xfId="529" xr:uid="{00000000-0005-0000-0000-00000A020000}"/>
    <cellStyle name="Input Currency 3" xfId="530" xr:uid="{00000000-0005-0000-0000-00000B020000}"/>
    <cellStyle name="Input Multiple" xfId="531" xr:uid="{00000000-0005-0000-0000-00000C020000}"/>
    <cellStyle name="Input Multiple 2" xfId="532" xr:uid="{00000000-0005-0000-0000-00000D020000}"/>
    <cellStyle name="Input Percent" xfId="533" xr:uid="{00000000-0005-0000-0000-00000E020000}"/>
    <cellStyle name="Input Percent 2" xfId="534" xr:uid="{00000000-0005-0000-0000-00000F020000}"/>
    <cellStyle name="Input,1d" xfId="535" xr:uid="{00000000-0005-0000-0000-000010020000}"/>
    <cellStyle name="InputBlueFont" xfId="536" xr:uid="{00000000-0005-0000-0000-000011020000}"/>
    <cellStyle name="InputCurrency" xfId="537" xr:uid="{00000000-0005-0000-0000-000012020000}"/>
    <cellStyle name="InputCurrency2" xfId="538" xr:uid="{00000000-0005-0000-0000-000013020000}"/>
    <cellStyle name="InputMultiple1" xfId="539" xr:uid="{00000000-0005-0000-0000-000014020000}"/>
    <cellStyle name="InputPercent1" xfId="540" xr:uid="{00000000-0005-0000-0000-000015020000}"/>
    <cellStyle name="Integer" xfId="541" xr:uid="{00000000-0005-0000-0000-000016020000}"/>
    <cellStyle name="Item" xfId="542" xr:uid="{00000000-0005-0000-0000-000017020000}"/>
    <cellStyle name="ItemTypeClass" xfId="543" xr:uid="{00000000-0005-0000-0000-000018020000}"/>
    <cellStyle name="ItemTypeClass 2" xfId="544" xr:uid="{00000000-0005-0000-0000-000019020000}"/>
    <cellStyle name="ItemTypeClass 2 2" xfId="1188" xr:uid="{91B6D33B-9272-4E1F-A4CD-9FBCD3142163}"/>
    <cellStyle name="ItemTypeClass 3" xfId="1187" xr:uid="{0E3CCCDA-B6C7-46A3-A22A-2FC51E3CA121}"/>
    <cellStyle name="KP_Normal" xfId="545" xr:uid="{00000000-0005-0000-0000-00001A020000}"/>
    <cellStyle name="Lien hypertexte_Consensus Silver New 01" xfId="546" xr:uid="{00000000-0005-0000-0000-00001B020000}"/>
    <cellStyle name="LineItem" xfId="547" xr:uid="{00000000-0005-0000-0000-00001C020000}"/>
    <cellStyle name="LineItem 2" xfId="548" xr:uid="{00000000-0005-0000-0000-00001D020000}"/>
    <cellStyle name="Linked Cell 2" xfId="549" xr:uid="{00000000-0005-0000-0000-00001E020000}"/>
    <cellStyle name="LTGR" xfId="550" xr:uid="{00000000-0005-0000-0000-00001F020000}"/>
    <cellStyle name="m" xfId="551" xr:uid="{00000000-0005-0000-0000-000020020000}"/>
    <cellStyle name="m$" xfId="552" xr:uid="{00000000-0005-0000-0000-000021020000}"/>
    <cellStyle name="MacroBoy" xfId="553" xr:uid="{00000000-0005-0000-0000-000022020000}"/>
    <cellStyle name="margin" xfId="554" xr:uid="{00000000-0005-0000-0000-000023020000}"/>
    <cellStyle name="margin 2" xfId="555" xr:uid="{00000000-0005-0000-0000-000024020000}"/>
    <cellStyle name="Margins" xfId="556" xr:uid="{00000000-0005-0000-0000-000025020000}"/>
    <cellStyle name="Message" xfId="557" xr:uid="{00000000-0005-0000-0000-000026020000}"/>
    <cellStyle name="MetricLabel" xfId="558" xr:uid="{00000000-0005-0000-0000-000027020000}"/>
    <cellStyle name="MetricLabelBlue" xfId="559" xr:uid="{00000000-0005-0000-0000-000028020000}"/>
    <cellStyle name="MetricValue" xfId="560" xr:uid="{00000000-0005-0000-0000-000029020000}"/>
    <cellStyle name="mil" xfId="561" xr:uid="{00000000-0005-0000-0000-00002A020000}"/>
    <cellStyle name="mil 2" xfId="562" xr:uid="{00000000-0005-0000-0000-00002B020000}"/>
    <cellStyle name="Milliers [0]_~0033593" xfId="563" xr:uid="{00000000-0005-0000-0000-00002C020000}"/>
    <cellStyle name="Milliers_~0033593" xfId="564" xr:uid="{00000000-0005-0000-0000-00002D020000}"/>
    <cellStyle name="mm" xfId="565" xr:uid="{00000000-0005-0000-0000-00002E020000}"/>
    <cellStyle name="mm/dd/yy" xfId="566" xr:uid="{00000000-0005-0000-0000-00002F020000}"/>
    <cellStyle name="model" xfId="567" xr:uid="{00000000-0005-0000-0000-000030020000}"/>
    <cellStyle name="Monétaire [0]_~0033593" xfId="568" xr:uid="{00000000-0005-0000-0000-000031020000}"/>
    <cellStyle name="Monétaire_~0033593" xfId="569" xr:uid="{00000000-0005-0000-0000-000032020000}"/>
    <cellStyle name="MonthYears" xfId="570" xr:uid="{00000000-0005-0000-0000-000033020000}"/>
    <cellStyle name="Mult No x" xfId="571" xr:uid="{00000000-0005-0000-0000-000034020000}"/>
    <cellStyle name="Mult No x 2" xfId="572" xr:uid="{00000000-0005-0000-0000-000035020000}"/>
    <cellStyle name="Mult No x 2 2" xfId="1190" xr:uid="{5DC2CB10-B557-4AA0-A087-FE0DD35C5732}"/>
    <cellStyle name="Mult No x 3" xfId="1189" xr:uid="{CA601050-3049-4458-A6C4-41981C58AE45}"/>
    <cellStyle name="Mult With x" xfId="573" xr:uid="{00000000-0005-0000-0000-000036020000}"/>
    <cellStyle name="Mult With x 2" xfId="574" xr:uid="{00000000-0005-0000-0000-000037020000}"/>
    <cellStyle name="Mult With x 2 2" xfId="1192" xr:uid="{EB6F3C89-FD70-46A8-957D-F248157170E4}"/>
    <cellStyle name="Mult With x 3" xfId="1191" xr:uid="{46A1702E-62AB-40EB-A1EF-31BB5E91684A}"/>
    <cellStyle name="Multiple" xfId="575" xr:uid="{00000000-0005-0000-0000-000038020000}"/>
    <cellStyle name="Multiple (no x)" xfId="576" xr:uid="{00000000-0005-0000-0000-000039020000}"/>
    <cellStyle name="Multiple (x)" xfId="577" xr:uid="{00000000-0005-0000-0000-00003A020000}"/>
    <cellStyle name="Multiple [0]" xfId="578" xr:uid="{00000000-0005-0000-0000-00003B020000}"/>
    <cellStyle name="Multiple [1]" xfId="579" xr:uid="{00000000-0005-0000-0000-00003C020000}"/>
    <cellStyle name="Multiple [1] 2" xfId="580" xr:uid="{00000000-0005-0000-0000-00003D020000}"/>
    <cellStyle name="Multiple Without" xfId="581" xr:uid="{00000000-0005-0000-0000-00003E020000}"/>
    <cellStyle name="Multiple Without 2" xfId="582" xr:uid="{00000000-0005-0000-0000-00003F020000}"/>
    <cellStyle name="Multiple_~0017779" xfId="583" xr:uid="{00000000-0005-0000-0000-000040020000}"/>
    <cellStyle name="Multiple1" xfId="584" xr:uid="{00000000-0005-0000-0000-000041020000}"/>
    <cellStyle name="MultipleBelow" xfId="585" xr:uid="{00000000-0005-0000-0000-000042020000}"/>
    <cellStyle name="Neutral 2" xfId="586" xr:uid="{00000000-0005-0000-0000-000043020000}"/>
    <cellStyle name="NewPeso" xfId="587" xr:uid="{00000000-0005-0000-0000-000044020000}"/>
    <cellStyle name="no dec" xfId="588" xr:uid="{00000000-0005-0000-0000-000045020000}"/>
    <cellStyle name="No dec 2" xfId="589" xr:uid="{00000000-0005-0000-0000-000046020000}"/>
    <cellStyle name="Nombre" xfId="590" xr:uid="{00000000-0005-0000-0000-000047020000}"/>
    <cellStyle name="Nombre 2" xfId="591" xr:uid="{00000000-0005-0000-0000-000048020000}"/>
    <cellStyle name="norm" xfId="592" xr:uid="{00000000-0005-0000-0000-000049020000}"/>
    <cellStyle name="norm 2" xfId="593" xr:uid="{00000000-0005-0000-0000-00004A020000}"/>
    <cellStyle name="Normal" xfId="0" builtinId="0"/>
    <cellStyle name="Normal - Style1" xfId="594" xr:uid="{00000000-0005-0000-0000-00004C020000}"/>
    <cellStyle name="Normal 10" xfId="595" xr:uid="{00000000-0005-0000-0000-00004D020000}"/>
    <cellStyle name="Normal 10 2" xfId="596" xr:uid="{00000000-0005-0000-0000-00004E020000}"/>
    <cellStyle name="Normal 10 2 2" xfId="597" xr:uid="{00000000-0005-0000-0000-00004F020000}"/>
    <cellStyle name="Normal 10 2 2 2" xfId="598" xr:uid="{00000000-0005-0000-0000-000050020000}"/>
    <cellStyle name="Normal 10 2 3" xfId="599" xr:uid="{00000000-0005-0000-0000-000051020000}"/>
    <cellStyle name="Normal 10 3" xfId="600" xr:uid="{00000000-0005-0000-0000-000052020000}"/>
    <cellStyle name="Normal 10 3 2" xfId="601" xr:uid="{00000000-0005-0000-0000-000053020000}"/>
    <cellStyle name="Normal 10 4" xfId="602" xr:uid="{00000000-0005-0000-0000-000054020000}"/>
    <cellStyle name="Normal 100" xfId="1214" xr:uid="{22341824-D1A2-4153-AAD5-88B1BD91F903}"/>
    <cellStyle name="Normal 100 2" xfId="1226" xr:uid="{7795F5DE-AD5F-4DF8-96F7-31F6B0020C09}"/>
    <cellStyle name="Normal 101" xfId="1215" xr:uid="{E86C2263-258D-4C35-AFDC-C15A73F7CF5C}"/>
    <cellStyle name="Normal 102" xfId="1216" xr:uid="{36EA4D7C-B6FF-4C6A-9CBA-DDD138FECCDC}"/>
    <cellStyle name="Normal 103" xfId="1220" xr:uid="{C4D20083-5A90-40B9-85AB-AC3AE2B8DABB}"/>
    <cellStyle name="Normal 104" xfId="1221" xr:uid="{6C6F449F-A711-4DF6-AC15-A76F06795F52}"/>
    <cellStyle name="Normal 105" xfId="1222" xr:uid="{525FCA43-047A-4BC7-B27C-834472FB407F}"/>
    <cellStyle name="Normal 106" xfId="1223" xr:uid="{9F01B6B5-5917-490B-965B-FFB7037DEEFA}"/>
    <cellStyle name="Normal 107" xfId="1224" xr:uid="{38BA7729-117F-4274-A2F7-7F2F359E474A}"/>
    <cellStyle name="Normal 109" xfId="1228" xr:uid="{B067A1B4-9F66-4D3F-8940-22F0C80F49C2}"/>
    <cellStyle name="Normal 11" xfId="12" xr:uid="{00000000-0005-0000-0000-000055020000}"/>
    <cellStyle name="Normal 11 2" xfId="603" xr:uid="{00000000-0005-0000-0000-000056020000}"/>
    <cellStyle name="Normal 11 2 2" xfId="604" xr:uid="{00000000-0005-0000-0000-000057020000}"/>
    <cellStyle name="Normal 11 2 3" xfId="1219" xr:uid="{D20AFA12-9330-4C16-8F5E-20D98A3E6E5F}"/>
    <cellStyle name="Normal 11 3" xfId="605" xr:uid="{00000000-0005-0000-0000-000058020000}"/>
    <cellStyle name="Normal 12" xfId="7" xr:uid="{00000000-0005-0000-0000-000059020000}"/>
    <cellStyle name="Normal 12 2" xfId="8" xr:uid="{00000000-0005-0000-0000-00005A020000}"/>
    <cellStyle name="Normal 12 2 10" xfId="606" xr:uid="{00000000-0005-0000-0000-00005B020000}"/>
    <cellStyle name="Normal 12 2 11" xfId="607" xr:uid="{00000000-0005-0000-0000-00005C020000}"/>
    <cellStyle name="Normal 12 2 12" xfId="608" xr:uid="{00000000-0005-0000-0000-00005D020000}"/>
    <cellStyle name="Normal 12 2 2" xfId="609" xr:uid="{00000000-0005-0000-0000-00005E020000}"/>
    <cellStyle name="Normal 12 2 2 2" xfId="610" xr:uid="{00000000-0005-0000-0000-00005F020000}"/>
    <cellStyle name="Normal 12 2 2 2 2" xfId="611" xr:uid="{00000000-0005-0000-0000-000060020000}"/>
    <cellStyle name="Normal 12 2 2 3" xfId="612" xr:uid="{00000000-0005-0000-0000-000061020000}"/>
    <cellStyle name="Normal 12 2 3" xfId="613" xr:uid="{00000000-0005-0000-0000-000062020000}"/>
    <cellStyle name="Normal 12 2 3 2" xfId="614" xr:uid="{00000000-0005-0000-0000-000063020000}"/>
    <cellStyle name="Normal 12 2 3 2 2" xfId="615" xr:uid="{00000000-0005-0000-0000-000064020000}"/>
    <cellStyle name="Normal 12 2 3 3" xfId="616" xr:uid="{00000000-0005-0000-0000-000065020000}"/>
    <cellStyle name="Normal 12 2 4" xfId="617" xr:uid="{00000000-0005-0000-0000-000066020000}"/>
    <cellStyle name="Normal 12 2 4 2" xfId="618" xr:uid="{00000000-0005-0000-0000-000067020000}"/>
    <cellStyle name="Normal 12 2 5" xfId="619" xr:uid="{00000000-0005-0000-0000-000068020000}"/>
    <cellStyle name="Normal 12 2 5 2" xfId="620" xr:uid="{00000000-0005-0000-0000-000069020000}"/>
    <cellStyle name="Normal 12 2 6" xfId="621" xr:uid="{00000000-0005-0000-0000-00006A020000}"/>
    <cellStyle name="Normal 12 2 6 2" xfId="622" xr:uid="{00000000-0005-0000-0000-00006B020000}"/>
    <cellStyle name="Normal 12 2 7" xfId="623" xr:uid="{00000000-0005-0000-0000-00006C020000}"/>
    <cellStyle name="Normal 12 2 7 2" xfId="624" xr:uid="{00000000-0005-0000-0000-00006D020000}"/>
    <cellStyle name="Normal 12 2 8" xfId="625" xr:uid="{00000000-0005-0000-0000-00006E020000}"/>
    <cellStyle name="Normal 12 2 9" xfId="626" xr:uid="{00000000-0005-0000-0000-00006F020000}"/>
    <cellStyle name="Normal 12 3" xfId="627" xr:uid="{00000000-0005-0000-0000-000070020000}"/>
    <cellStyle name="Normal 12 3 2" xfId="628" xr:uid="{00000000-0005-0000-0000-000071020000}"/>
    <cellStyle name="Normal 12 3 2 2" xfId="629" xr:uid="{00000000-0005-0000-0000-000072020000}"/>
    <cellStyle name="Normal 12 3 3" xfId="630" xr:uid="{00000000-0005-0000-0000-000073020000}"/>
    <cellStyle name="Normal 12 3 4" xfId="1213" xr:uid="{7499E768-7D81-4B50-8842-DCF162658569}"/>
    <cellStyle name="Normal 12 4" xfId="631" xr:uid="{00000000-0005-0000-0000-000074020000}"/>
    <cellStyle name="Normal 12 4 2" xfId="632" xr:uid="{00000000-0005-0000-0000-000075020000}"/>
    <cellStyle name="Normal 12 5" xfId="633" xr:uid="{00000000-0005-0000-0000-000076020000}"/>
    <cellStyle name="Normal 13" xfId="634" xr:uid="{00000000-0005-0000-0000-000077020000}"/>
    <cellStyle name="Normal 14" xfId="635" xr:uid="{00000000-0005-0000-0000-000078020000}"/>
    <cellStyle name="Normal 14 2" xfId="636" xr:uid="{00000000-0005-0000-0000-000079020000}"/>
    <cellStyle name="Normal 14 2 2" xfId="637" xr:uid="{00000000-0005-0000-0000-00007A020000}"/>
    <cellStyle name="Normal 14 3" xfId="638" xr:uid="{00000000-0005-0000-0000-00007B020000}"/>
    <cellStyle name="Normal 15" xfId="639" xr:uid="{00000000-0005-0000-0000-00007C020000}"/>
    <cellStyle name="Normal 15 2" xfId="640" xr:uid="{00000000-0005-0000-0000-00007D020000}"/>
    <cellStyle name="Normal 15 2 2" xfId="641" xr:uid="{00000000-0005-0000-0000-00007E020000}"/>
    <cellStyle name="Normal 15 3" xfId="642" xr:uid="{00000000-0005-0000-0000-00007F020000}"/>
    <cellStyle name="Normal 16" xfId="643" xr:uid="{00000000-0005-0000-0000-000080020000}"/>
    <cellStyle name="Normal 16 2" xfId="644" xr:uid="{00000000-0005-0000-0000-000081020000}"/>
    <cellStyle name="Normal 16 2 2" xfId="645" xr:uid="{00000000-0005-0000-0000-000082020000}"/>
    <cellStyle name="Normal 16 3" xfId="646" xr:uid="{00000000-0005-0000-0000-000083020000}"/>
    <cellStyle name="Normal 17" xfId="647" xr:uid="{00000000-0005-0000-0000-000084020000}"/>
    <cellStyle name="Normal 17 2" xfId="648" xr:uid="{00000000-0005-0000-0000-000085020000}"/>
    <cellStyle name="Normal 17 2 2" xfId="649" xr:uid="{00000000-0005-0000-0000-000086020000}"/>
    <cellStyle name="Normal 17 3" xfId="650" xr:uid="{00000000-0005-0000-0000-000087020000}"/>
    <cellStyle name="Normal 18" xfId="651" xr:uid="{00000000-0005-0000-0000-000088020000}"/>
    <cellStyle name="Normal 18 2" xfId="652" xr:uid="{00000000-0005-0000-0000-000089020000}"/>
    <cellStyle name="Normal 18 2 2" xfId="653" xr:uid="{00000000-0005-0000-0000-00008A020000}"/>
    <cellStyle name="Normal 18 3" xfId="654" xr:uid="{00000000-0005-0000-0000-00008B020000}"/>
    <cellStyle name="Normal 19" xfId="655" xr:uid="{00000000-0005-0000-0000-00008C020000}"/>
    <cellStyle name="Normal 19 2" xfId="656" xr:uid="{00000000-0005-0000-0000-00008D020000}"/>
    <cellStyle name="Normal 19 2 2" xfId="657" xr:uid="{00000000-0005-0000-0000-00008E020000}"/>
    <cellStyle name="Normal 19 3" xfId="658" xr:uid="{00000000-0005-0000-0000-00008F020000}"/>
    <cellStyle name="Normal 2" xfId="9" xr:uid="{00000000-0005-0000-0000-000090020000}"/>
    <cellStyle name="Normal 2 2" xfId="659" xr:uid="{00000000-0005-0000-0000-000091020000}"/>
    <cellStyle name="Normal 2 2 2" xfId="660" xr:uid="{00000000-0005-0000-0000-000092020000}"/>
    <cellStyle name="Normal 2 2 3" xfId="661" xr:uid="{00000000-0005-0000-0000-000093020000}"/>
    <cellStyle name="Normal 2 3" xfId="662" xr:uid="{00000000-0005-0000-0000-000094020000}"/>
    <cellStyle name="Normal 2 3 2" xfId="663" xr:uid="{00000000-0005-0000-0000-000095020000}"/>
    <cellStyle name="Normal 2 3 2 2" xfId="664" xr:uid="{00000000-0005-0000-0000-000096020000}"/>
    <cellStyle name="Normal 2 3 3" xfId="665" xr:uid="{00000000-0005-0000-0000-000097020000}"/>
    <cellStyle name="Normal 2 3 4" xfId="666" xr:uid="{00000000-0005-0000-0000-000098020000}"/>
    <cellStyle name="Normal 2 4" xfId="667" xr:uid="{00000000-0005-0000-0000-000099020000}"/>
    <cellStyle name="Normal 2_Display" xfId="668" xr:uid="{00000000-0005-0000-0000-00009A020000}"/>
    <cellStyle name="Normal 20" xfId="669" xr:uid="{00000000-0005-0000-0000-00009B020000}"/>
    <cellStyle name="Normal 20 2" xfId="670" xr:uid="{00000000-0005-0000-0000-00009C020000}"/>
    <cellStyle name="Normal 20 2 2" xfId="671" xr:uid="{00000000-0005-0000-0000-00009D020000}"/>
    <cellStyle name="Normal 20 3" xfId="672" xr:uid="{00000000-0005-0000-0000-00009E020000}"/>
    <cellStyle name="Normal 21" xfId="673" xr:uid="{00000000-0005-0000-0000-00009F020000}"/>
    <cellStyle name="Normal 21 2" xfId="674" xr:uid="{00000000-0005-0000-0000-0000A0020000}"/>
    <cellStyle name="Normal 21 2 2" xfId="675" xr:uid="{00000000-0005-0000-0000-0000A1020000}"/>
    <cellStyle name="Normal 21 3" xfId="676" xr:uid="{00000000-0005-0000-0000-0000A2020000}"/>
    <cellStyle name="Normal 22" xfId="677" xr:uid="{00000000-0005-0000-0000-0000A3020000}"/>
    <cellStyle name="Normal 22 2" xfId="678" xr:uid="{00000000-0005-0000-0000-0000A4020000}"/>
    <cellStyle name="Normal 22 2 2" xfId="679" xr:uid="{00000000-0005-0000-0000-0000A5020000}"/>
    <cellStyle name="Normal 22 3" xfId="680" xr:uid="{00000000-0005-0000-0000-0000A6020000}"/>
    <cellStyle name="Normal 23" xfId="681" xr:uid="{00000000-0005-0000-0000-0000A7020000}"/>
    <cellStyle name="Normal 23 2" xfId="682" xr:uid="{00000000-0005-0000-0000-0000A8020000}"/>
    <cellStyle name="Normal 23 2 2" xfId="683" xr:uid="{00000000-0005-0000-0000-0000A9020000}"/>
    <cellStyle name="Normal 23 3" xfId="684" xr:uid="{00000000-0005-0000-0000-0000AA020000}"/>
    <cellStyle name="Normal 24" xfId="685" xr:uid="{00000000-0005-0000-0000-0000AB020000}"/>
    <cellStyle name="Normal 24 2" xfId="686" xr:uid="{00000000-0005-0000-0000-0000AC020000}"/>
    <cellStyle name="Normal 24 2 2" xfId="687" xr:uid="{00000000-0005-0000-0000-0000AD020000}"/>
    <cellStyle name="Normal 24 3" xfId="688" xr:uid="{00000000-0005-0000-0000-0000AE020000}"/>
    <cellStyle name="Normal 25" xfId="689" xr:uid="{00000000-0005-0000-0000-0000AF020000}"/>
    <cellStyle name="Normal 25 2" xfId="690" xr:uid="{00000000-0005-0000-0000-0000B0020000}"/>
    <cellStyle name="Normal 25 2 2" xfId="691" xr:uid="{00000000-0005-0000-0000-0000B1020000}"/>
    <cellStyle name="Normal 25 3" xfId="692" xr:uid="{00000000-0005-0000-0000-0000B2020000}"/>
    <cellStyle name="Normal 26" xfId="693" xr:uid="{00000000-0005-0000-0000-0000B3020000}"/>
    <cellStyle name="Normal 26 2" xfId="694" xr:uid="{00000000-0005-0000-0000-0000B4020000}"/>
    <cellStyle name="Normal 26 2 2" xfId="695" xr:uid="{00000000-0005-0000-0000-0000B5020000}"/>
    <cellStyle name="Normal 26 3" xfId="696" xr:uid="{00000000-0005-0000-0000-0000B6020000}"/>
    <cellStyle name="Normal 27" xfId="697" xr:uid="{00000000-0005-0000-0000-0000B7020000}"/>
    <cellStyle name="Normal 27 2" xfId="698" xr:uid="{00000000-0005-0000-0000-0000B8020000}"/>
    <cellStyle name="Normal 27 2 2" xfId="699" xr:uid="{00000000-0005-0000-0000-0000B9020000}"/>
    <cellStyle name="Normal 27 3" xfId="700" xr:uid="{00000000-0005-0000-0000-0000BA020000}"/>
    <cellStyle name="Normal 28" xfId="701" xr:uid="{00000000-0005-0000-0000-0000BB020000}"/>
    <cellStyle name="Normal 28 2" xfId="702" xr:uid="{00000000-0005-0000-0000-0000BC020000}"/>
    <cellStyle name="Normal 28 2 2" xfId="703" xr:uid="{00000000-0005-0000-0000-0000BD020000}"/>
    <cellStyle name="Normal 28 3" xfId="704" xr:uid="{00000000-0005-0000-0000-0000BE020000}"/>
    <cellStyle name="Normal 29" xfId="705" xr:uid="{00000000-0005-0000-0000-0000BF020000}"/>
    <cellStyle name="Normal 29 2" xfId="706" xr:uid="{00000000-0005-0000-0000-0000C0020000}"/>
    <cellStyle name="Normal 29 2 2" xfId="707" xr:uid="{00000000-0005-0000-0000-0000C1020000}"/>
    <cellStyle name="Normal 29 3" xfId="708" xr:uid="{00000000-0005-0000-0000-0000C2020000}"/>
    <cellStyle name="Normal 3" xfId="10" xr:uid="{00000000-0005-0000-0000-0000C3020000}"/>
    <cellStyle name="Normal 3 2" xfId="709" xr:uid="{00000000-0005-0000-0000-0000C4020000}"/>
    <cellStyle name="Normal 3 2 2" xfId="710" xr:uid="{00000000-0005-0000-0000-0000C5020000}"/>
    <cellStyle name="Normal 3 2 2 2" xfId="711" xr:uid="{00000000-0005-0000-0000-0000C6020000}"/>
    <cellStyle name="Normal 3 2 2 2 2" xfId="712" xr:uid="{00000000-0005-0000-0000-0000C7020000}"/>
    <cellStyle name="Normal 3 2 2 3" xfId="713" xr:uid="{00000000-0005-0000-0000-0000C8020000}"/>
    <cellStyle name="Normal 3 2 3" xfId="714" xr:uid="{00000000-0005-0000-0000-0000C9020000}"/>
    <cellStyle name="Normal 3 2 3 2" xfId="715" xr:uid="{00000000-0005-0000-0000-0000CA020000}"/>
    <cellStyle name="Normal 3 2 4" xfId="716" xr:uid="{00000000-0005-0000-0000-0000CB020000}"/>
    <cellStyle name="Normal 3 3" xfId="717" xr:uid="{00000000-0005-0000-0000-0000CC020000}"/>
    <cellStyle name="Normal 3 3 2" xfId="718" xr:uid="{00000000-0005-0000-0000-0000CD020000}"/>
    <cellStyle name="Normal 3 3 2 2" xfId="719" xr:uid="{00000000-0005-0000-0000-0000CE020000}"/>
    <cellStyle name="Normal 3 3 3" xfId="720" xr:uid="{00000000-0005-0000-0000-0000CF020000}"/>
    <cellStyle name="Normal 3 4" xfId="721" xr:uid="{00000000-0005-0000-0000-0000D0020000}"/>
    <cellStyle name="Normal 3 4 2" xfId="722" xr:uid="{00000000-0005-0000-0000-0000D1020000}"/>
    <cellStyle name="Normal 3 5" xfId="723" xr:uid="{00000000-0005-0000-0000-0000D2020000}"/>
    <cellStyle name="Normal 3 6" xfId="724" xr:uid="{00000000-0005-0000-0000-0000D3020000}"/>
    <cellStyle name="Normal 3 7" xfId="1116" xr:uid="{00000000-0005-0000-0000-0000D4020000}"/>
    <cellStyle name="Normal 3_IS REC YTD" xfId="725" xr:uid="{00000000-0005-0000-0000-0000D5020000}"/>
    <cellStyle name="Normal 30" xfId="726" xr:uid="{00000000-0005-0000-0000-0000D6020000}"/>
    <cellStyle name="Normal 30 2" xfId="727" xr:uid="{00000000-0005-0000-0000-0000D7020000}"/>
    <cellStyle name="Normal 30 2 2" xfId="728" xr:uid="{00000000-0005-0000-0000-0000D8020000}"/>
    <cellStyle name="Normal 30 3" xfId="729" xr:uid="{00000000-0005-0000-0000-0000D9020000}"/>
    <cellStyle name="Normal 31" xfId="730" xr:uid="{00000000-0005-0000-0000-0000DA020000}"/>
    <cellStyle name="Normal 31 2" xfId="731" xr:uid="{00000000-0005-0000-0000-0000DB020000}"/>
    <cellStyle name="Normal 31 2 2" xfId="732" xr:uid="{00000000-0005-0000-0000-0000DC020000}"/>
    <cellStyle name="Normal 31 3" xfId="733" xr:uid="{00000000-0005-0000-0000-0000DD020000}"/>
    <cellStyle name="Normal 32" xfId="734" xr:uid="{00000000-0005-0000-0000-0000DE020000}"/>
    <cellStyle name="Normal 32 2" xfId="735" xr:uid="{00000000-0005-0000-0000-0000DF020000}"/>
    <cellStyle name="Normal 32 2 2" xfId="736" xr:uid="{00000000-0005-0000-0000-0000E0020000}"/>
    <cellStyle name="Normal 32 3" xfId="737" xr:uid="{00000000-0005-0000-0000-0000E1020000}"/>
    <cellStyle name="Normal 33" xfId="738" xr:uid="{00000000-0005-0000-0000-0000E2020000}"/>
    <cellStyle name="Normal 33 2" xfId="739" xr:uid="{00000000-0005-0000-0000-0000E3020000}"/>
    <cellStyle name="Normal 33 2 2" xfId="740" xr:uid="{00000000-0005-0000-0000-0000E4020000}"/>
    <cellStyle name="Normal 33 3" xfId="741" xr:uid="{00000000-0005-0000-0000-0000E5020000}"/>
    <cellStyle name="Normal 34" xfId="742" xr:uid="{00000000-0005-0000-0000-0000E6020000}"/>
    <cellStyle name="Normal 34 2" xfId="743" xr:uid="{00000000-0005-0000-0000-0000E7020000}"/>
    <cellStyle name="Normal 34 2 2" xfId="744" xr:uid="{00000000-0005-0000-0000-0000E8020000}"/>
    <cellStyle name="Normal 34 3" xfId="745" xr:uid="{00000000-0005-0000-0000-0000E9020000}"/>
    <cellStyle name="Normal 35" xfId="746" xr:uid="{00000000-0005-0000-0000-0000EA020000}"/>
    <cellStyle name="Normal 35 2" xfId="747" xr:uid="{00000000-0005-0000-0000-0000EB020000}"/>
    <cellStyle name="Normal 35 2 2" xfId="748" xr:uid="{00000000-0005-0000-0000-0000EC020000}"/>
    <cellStyle name="Normal 35 3" xfId="749" xr:uid="{00000000-0005-0000-0000-0000ED020000}"/>
    <cellStyle name="Normal 36" xfId="750" xr:uid="{00000000-0005-0000-0000-0000EE020000}"/>
    <cellStyle name="Normal 36 2" xfId="751" xr:uid="{00000000-0005-0000-0000-0000EF020000}"/>
    <cellStyle name="Normal 36 2 2" xfId="752" xr:uid="{00000000-0005-0000-0000-0000F0020000}"/>
    <cellStyle name="Normal 36 3" xfId="753" xr:uid="{00000000-0005-0000-0000-0000F1020000}"/>
    <cellStyle name="Normal 37" xfId="754" xr:uid="{00000000-0005-0000-0000-0000F2020000}"/>
    <cellStyle name="Normal 37 2" xfId="755" xr:uid="{00000000-0005-0000-0000-0000F3020000}"/>
    <cellStyle name="Normal 37 2 2" xfId="756" xr:uid="{00000000-0005-0000-0000-0000F4020000}"/>
    <cellStyle name="Normal 37 3" xfId="757" xr:uid="{00000000-0005-0000-0000-0000F5020000}"/>
    <cellStyle name="Normal 38" xfId="758" xr:uid="{00000000-0005-0000-0000-0000F6020000}"/>
    <cellStyle name="Normal 38 2" xfId="759" xr:uid="{00000000-0005-0000-0000-0000F7020000}"/>
    <cellStyle name="Normal 38 2 2" xfId="760" xr:uid="{00000000-0005-0000-0000-0000F8020000}"/>
    <cellStyle name="Normal 38 3" xfId="761" xr:uid="{00000000-0005-0000-0000-0000F9020000}"/>
    <cellStyle name="Normal 39" xfId="762" xr:uid="{00000000-0005-0000-0000-0000FA020000}"/>
    <cellStyle name="Normal 39 2" xfId="763" xr:uid="{00000000-0005-0000-0000-0000FB020000}"/>
    <cellStyle name="Normal 39 2 2" xfId="764" xr:uid="{00000000-0005-0000-0000-0000FC020000}"/>
    <cellStyle name="Normal 39 3" xfId="765" xr:uid="{00000000-0005-0000-0000-0000FD020000}"/>
    <cellStyle name="Normal 4" xfId="11" xr:uid="{00000000-0005-0000-0000-0000FE020000}"/>
    <cellStyle name="Normal 4 2" xfId="766" xr:uid="{00000000-0005-0000-0000-0000FF020000}"/>
    <cellStyle name="Normal 4 2 2" xfId="767" xr:uid="{00000000-0005-0000-0000-000000030000}"/>
    <cellStyle name="Normal 4 2 2 2" xfId="768" xr:uid="{00000000-0005-0000-0000-000001030000}"/>
    <cellStyle name="Normal 4 2 3" xfId="769" xr:uid="{00000000-0005-0000-0000-000002030000}"/>
    <cellStyle name="Normal 4 3" xfId="770" xr:uid="{00000000-0005-0000-0000-000003030000}"/>
    <cellStyle name="Normal 4 3 2" xfId="771" xr:uid="{00000000-0005-0000-0000-000004030000}"/>
    <cellStyle name="Normal 4 4" xfId="772" xr:uid="{00000000-0005-0000-0000-000005030000}"/>
    <cellStyle name="Normal 40" xfId="773" xr:uid="{00000000-0005-0000-0000-000006030000}"/>
    <cellStyle name="Normal 40 2" xfId="774" xr:uid="{00000000-0005-0000-0000-000007030000}"/>
    <cellStyle name="Normal 40 2 2" xfId="775" xr:uid="{00000000-0005-0000-0000-000008030000}"/>
    <cellStyle name="Normal 40 3" xfId="776" xr:uid="{00000000-0005-0000-0000-000009030000}"/>
    <cellStyle name="Normal 41" xfId="777" xr:uid="{00000000-0005-0000-0000-00000A030000}"/>
    <cellStyle name="Normal 41 2" xfId="778" xr:uid="{00000000-0005-0000-0000-00000B030000}"/>
    <cellStyle name="Normal 41 2 2" xfId="779" xr:uid="{00000000-0005-0000-0000-00000C030000}"/>
    <cellStyle name="Normal 41 3" xfId="780" xr:uid="{00000000-0005-0000-0000-00000D030000}"/>
    <cellStyle name="Normal 42" xfId="781" xr:uid="{00000000-0005-0000-0000-00000E030000}"/>
    <cellStyle name="Normal 42 2" xfId="782" xr:uid="{00000000-0005-0000-0000-00000F030000}"/>
    <cellStyle name="Normal 42 2 2" xfId="783" xr:uid="{00000000-0005-0000-0000-000010030000}"/>
    <cellStyle name="Normal 42 3" xfId="784" xr:uid="{00000000-0005-0000-0000-000011030000}"/>
    <cellStyle name="Normal 43" xfId="785" xr:uid="{00000000-0005-0000-0000-000012030000}"/>
    <cellStyle name="Normal 43 2" xfId="786" xr:uid="{00000000-0005-0000-0000-000013030000}"/>
    <cellStyle name="Normal 43 2 2" xfId="787" xr:uid="{00000000-0005-0000-0000-000014030000}"/>
    <cellStyle name="Normal 43 3" xfId="788" xr:uid="{00000000-0005-0000-0000-000015030000}"/>
    <cellStyle name="Normal 44" xfId="789" xr:uid="{00000000-0005-0000-0000-000016030000}"/>
    <cellStyle name="Normal 44 2" xfId="790" xr:uid="{00000000-0005-0000-0000-000017030000}"/>
    <cellStyle name="Normal 44 2 2" xfId="791" xr:uid="{00000000-0005-0000-0000-000018030000}"/>
    <cellStyle name="Normal 44 3" xfId="792" xr:uid="{00000000-0005-0000-0000-000019030000}"/>
    <cellStyle name="Normal 45" xfId="793" xr:uid="{00000000-0005-0000-0000-00001A030000}"/>
    <cellStyle name="Normal 45 2" xfId="794" xr:uid="{00000000-0005-0000-0000-00001B030000}"/>
    <cellStyle name="Normal 45 2 2" xfId="795" xr:uid="{00000000-0005-0000-0000-00001C030000}"/>
    <cellStyle name="Normal 45 3" xfId="796" xr:uid="{00000000-0005-0000-0000-00001D030000}"/>
    <cellStyle name="Normal 46" xfId="797" xr:uid="{00000000-0005-0000-0000-00001E030000}"/>
    <cellStyle name="Normal 46 2" xfId="798" xr:uid="{00000000-0005-0000-0000-00001F030000}"/>
    <cellStyle name="Normal 46 2 2" xfId="799" xr:uid="{00000000-0005-0000-0000-000020030000}"/>
    <cellStyle name="Normal 46 3" xfId="800" xr:uid="{00000000-0005-0000-0000-000021030000}"/>
    <cellStyle name="Normal 47" xfId="801" xr:uid="{00000000-0005-0000-0000-000022030000}"/>
    <cellStyle name="Normal 47 2" xfId="802" xr:uid="{00000000-0005-0000-0000-000023030000}"/>
    <cellStyle name="Normal 47 2 2" xfId="803" xr:uid="{00000000-0005-0000-0000-000024030000}"/>
    <cellStyle name="Normal 47 3" xfId="804" xr:uid="{00000000-0005-0000-0000-000025030000}"/>
    <cellStyle name="Normal 48" xfId="805" xr:uid="{00000000-0005-0000-0000-000026030000}"/>
    <cellStyle name="Normal 48 2" xfId="806" xr:uid="{00000000-0005-0000-0000-000027030000}"/>
    <cellStyle name="Normal 48 2 2" xfId="807" xr:uid="{00000000-0005-0000-0000-000028030000}"/>
    <cellStyle name="Normal 48 3" xfId="808" xr:uid="{00000000-0005-0000-0000-000029030000}"/>
    <cellStyle name="Normal 49" xfId="809" xr:uid="{00000000-0005-0000-0000-00002A030000}"/>
    <cellStyle name="Normal 49 2" xfId="810" xr:uid="{00000000-0005-0000-0000-00002B030000}"/>
    <cellStyle name="Normal 49 2 2" xfId="811" xr:uid="{00000000-0005-0000-0000-00002C030000}"/>
    <cellStyle name="Normal 49 3" xfId="812" xr:uid="{00000000-0005-0000-0000-00002D030000}"/>
    <cellStyle name="Normal 5" xfId="813" xr:uid="{00000000-0005-0000-0000-00002E030000}"/>
    <cellStyle name="Normal 5 2" xfId="814" xr:uid="{00000000-0005-0000-0000-00002F030000}"/>
    <cellStyle name="Normal 5 2 2" xfId="815" xr:uid="{00000000-0005-0000-0000-000030030000}"/>
    <cellStyle name="Normal 5 2 2 2" xfId="816" xr:uid="{00000000-0005-0000-0000-000031030000}"/>
    <cellStyle name="Normal 5 2 3" xfId="817" xr:uid="{00000000-0005-0000-0000-000032030000}"/>
    <cellStyle name="Normal 5 3" xfId="818" xr:uid="{00000000-0005-0000-0000-000033030000}"/>
    <cellStyle name="Normal 5 3 2" xfId="819" xr:uid="{00000000-0005-0000-0000-000034030000}"/>
    <cellStyle name="Normal 5 4" xfId="820" xr:uid="{00000000-0005-0000-0000-000035030000}"/>
    <cellStyle name="Normal 5 5" xfId="1120" xr:uid="{45FB3251-71D0-4157-B8BB-79103E38FDB8}"/>
    <cellStyle name="Normal 50" xfId="821" xr:uid="{00000000-0005-0000-0000-000036030000}"/>
    <cellStyle name="Normal 50 2" xfId="822" xr:uid="{00000000-0005-0000-0000-000037030000}"/>
    <cellStyle name="Normal 50 2 2" xfId="823" xr:uid="{00000000-0005-0000-0000-000038030000}"/>
    <cellStyle name="Normal 50 3" xfId="824" xr:uid="{00000000-0005-0000-0000-000039030000}"/>
    <cellStyle name="Normal 51" xfId="825" xr:uid="{00000000-0005-0000-0000-00003A030000}"/>
    <cellStyle name="Normal 51 2" xfId="826" xr:uid="{00000000-0005-0000-0000-00003B030000}"/>
    <cellStyle name="Normal 51 2 2" xfId="827" xr:uid="{00000000-0005-0000-0000-00003C030000}"/>
    <cellStyle name="Normal 51 3" xfId="828" xr:uid="{00000000-0005-0000-0000-00003D030000}"/>
    <cellStyle name="Normal 52" xfId="829" xr:uid="{00000000-0005-0000-0000-00003E030000}"/>
    <cellStyle name="Normal 52 2" xfId="830" xr:uid="{00000000-0005-0000-0000-00003F030000}"/>
    <cellStyle name="Normal 52 2 2" xfId="831" xr:uid="{00000000-0005-0000-0000-000040030000}"/>
    <cellStyle name="Normal 52 3" xfId="832" xr:uid="{00000000-0005-0000-0000-000041030000}"/>
    <cellStyle name="Normal 53" xfId="833" xr:uid="{00000000-0005-0000-0000-000042030000}"/>
    <cellStyle name="Normal 53 2" xfId="834" xr:uid="{00000000-0005-0000-0000-000043030000}"/>
    <cellStyle name="Normal 53 2 2" xfId="835" xr:uid="{00000000-0005-0000-0000-000044030000}"/>
    <cellStyle name="Normal 53 3" xfId="836" xr:uid="{00000000-0005-0000-0000-000045030000}"/>
    <cellStyle name="Normal 54" xfId="837" xr:uid="{00000000-0005-0000-0000-000046030000}"/>
    <cellStyle name="Normal 54 2" xfId="838" xr:uid="{00000000-0005-0000-0000-000047030000}"/>
    <cellStyle name="Normal 54 2 2" xfId="839" xr:uid="{00000000-0005-0000-0000-000048030000}"/>
    <cellStyle name="Normal 54 3" xfId="840" xr:uid="{00000000-0005-0000-0000-000049030000}"/>
    <cellStyle name="Normal 55" xfId="841" xr:uid="{00000000-0005-0000-0000-00004A030000}"/>
    <cellStyle name="Normal 55 2" xfId="842" xr:uid="{00000000-0005-0000-0000-00004B030000}"/>
    <cellStyle name="Normal 55 2 2" xfId="843" xr:uid="{00000000-0005-0000-0000-00004C030000}"/>
    <cellStyle name="Normal 55 3" xfId="844" xr:uid="{00000000-0005-0000-0000-00004D030000}"/>
    <cellStyle name="Normal 56" xfId="845" xr:uid="{00000000-0005-0000-0000-00004E030000}"/>
    <cellStyle name="Normal 56 2" xfId="846" xr:uid="{00000000-0005-0000-0000-00004F030000}"/>
    <cellStyle name="Normal 56 2 2" xfId="847" xr:uid="{00000000-0005-0000-0000-000050030000}"/>
    <cellStyle name="Normal 56 3" xfId="848" xr:uid="{00000000-0005-0000-0000-000051030000}"/>
    <cellStyle name="Normal 57" xfId="849" xr:uid="{00000000-0005-0000-0000-000052030000}"/>
    <cellStyle name="Normal 57 2" xfId="850" xr:uid="{00000000-0005-0000-0000-000053030000}"/>
    <cellStyle name="Normal 57 2 2" xfId="851" xr:uid="{00000000-0005-0000-0000-000054030000}"/>
    <cellStyle name="Normal 57 3" xfId="852" xr:uid="{00000000-0005-0000-0000-000055030000}"/>
    <cellStyle name="Normal 58" xfId="853" xr:uid="{00000000-0005-0000-0000-000056030000}"/>
    <cellStyle name="Normal 58 2" xfId="854" xr:uid="{00000000-0005-0000-0000-000057030000}"/>
    <cellStyle name="Normal 58 2 2" xfId="855" xr:uid="{00000000-0005-0000-0000-000058030000}"/>
    <cellStyle name="Normal 58 3" xfId="856" xr:uid="{00000000-0005-0000-0000-000059030000}"/>
    <cellStyle name="Normal 59" xfId="857" xr:uid="{00000000-0005-0000-0000-00005A030000}"/>
    <cellStyle name="Normal 59 2" xfId="858" xr:uid="{00000000-0005-0000-0000-00005B030000}"/>
    <cellStyle name="Normal 59 2 2" xfId="859" xr:uid="{00000000-0005-0000-0000-00005C030000}"/>
    <cellStyle name="Normal 59 3" xfId="860" xr:uid="{00000000-0005-0000-0000-00005D030000}"/>
    <cellStyle name="Normal 6" xfId="861" xr:uid="{00000000-0005-0000-0000-00005E030000}"/>
    <cellStyle name="Normal 6 2" xfId="862" xr:uid="{00000000-0005-0000-0000-00005F030000}"/>
    <cellStyle name="Normal 6 2 2" xfId="863" xr:uid="{00000000-0005-0000-0000-000060030000}"/>
    <cellStyle name="Normal 6 2 2 2" xfId="864" xr:uid="{00000000-0005-0000-0000-000061030000}"/>
    <cellStyle name="Normal 6 2 3" xfId="865" xr:uid="{00000000-0005-0000-0000-000062030000}"/>
    <cellStyle name="Normal 6 3" xfId="866" xr:uid="{00000000-0005-0000-0000-000063030000}"/>
    <cellStyle name="Normal 6 3 2" xfId="867" xr:uid="{00000000-0005-0000-0000-000064030000}"/>
    <cellStyle name="Normal 6 4" xfId="868" xr:uid="{00000000-0005-0000-0000-000065030000}"/>
    <cellStyle name="Normal 6 5" xfId="1121" xr:uid="{208F78EF-B796-4B66-991C-6F1DBD8979FD}"/>
    <cellStyle name="Normal 60" xfId="869" xr:uid="{00000000-0005-0000-0000-000066030000}"/>
    <cellStyle name="Normal 60 2" xfId="870" xr:uid="{00000000-0005-0000-0000-000067030000}"/>
    <cellStyle name="Normal 60 2 2" xfId="871" xr:uid="{00000000-0005-0000-0000-000068030000}"/>
    <cellStyle name="Normal 60 3" xfId="872" xr:uid="{00000000-0005-0000-0000-000069030000}"/>
    <cellStyle name="Normal 61" xfId="873" xr:uid="{00000000-0005-0000-0000-00006A030000}"/>
    <cellStyle name="Normal 61 2" xfId="874" xr:uid="{00000000-0005-0000-0000-00006B030000}"/>
    <cellStyle name="Normal 61 2 2" xfId="875" xr:uid="{00000000-0005-0000-0000-00006C030000}"/>
    <cellStyle name="Normal 61 3" xfId="876" xr:uid="{00000000-0005-0000-0000-00006D030000}"/>
    <cellStyle name="Normal 62" xfId="877" xr:uid="{00000000-0005-0000-0000-00006E030000}"/>
    <cellStyle name="Normal 62 2" xfId="878" xr:uid="{00000000-0005-0000-0000-00006F030000}"/>
    <cellStyle name="Normal 62 2 2" xfId="879" xr:uid="{00000000-0005-0000-0000-000070030000}"/>
    <cellStyle name="Normal 62 3" xfId="880" xr:uid="{00000000-0005-0000-0000-000071030000}"/>
    <cellStyle name="Normal 63" xfId="881" xr:uid="{00000000-0005-0000-0000-000072030000}"/>
    <cellStyle name="Normal 63 2" xfId="882" xr:uid="{00000000-0005-0000-0000-000073030000}"/>
    <cellStyle name="Normal 63 2 2" xfId="883" xr:uid="{00000000-0005-0000-0000-000074030000}"/>
    <cellStyle name="Normal 63 3" xfId="884" xr:uid="{00000000-0005-0000-0000-000075030000}"/>
    <cellStyle name="Normal 64" xfId="885" xr:uid="{00000000-0005-0000-0000-000076030000}"/>
    <cellStyle name="Normal 65" xfId="886" xr:uid="{00000000-0005-0000-0000-000077030000}"/>
    <cellStyle name="Normal 65 2" xfId="887" xr:uid="{00000000-0005-0000-0000-000078030000}"/>
    <cellStyle name="Normal 65 2 2" xfId="888" xr:uid="{00000000-0005-0000-0000-000079030000}"/>
    <cellStyle name="Normal 65 3" xfId="889" xr:uid="{00000000-0005-0000-0000-00007A030000}"/>
    <cellStyle name="Normal 66" xfId="890" xr:uid="{00000000-0005-0000-0000-00007B030000}"/>
    <cellStyle name="Normal 66 2" xfId="891" xr:uid="{00000000-0005-0000-0000-00007C030000}"/>
    <cellStyle name="Normal 66 2 2" xfId="892" xr:uid="{00000000-0005-0000-0000-00007D030000}"/>
    <cellStyle name="Normal 66 3" xfId="893" xr:uid="{00000000-0005-0000-0000-00007E030000}"/>
    <cellStyle name="Normal 67" xfId="894" xr:uid="{00000000-0005-0000-0000-00007F030000}"/>
    <cellStyle name="Normal 67 2" xfId="895" xr:uid="{00000000-0005-0000-0000-000080030000}"/>
    <cellStyle name="Normal 67 2 2" xfId="896" xr:uid="{00000000-0005-0000-0000-000081030000}"/>
    <cellStyle name="Normal 67 3" xfId="897" xr:uid="{00000000-0005-0000-0000-000082030000}"/>
    <cellStyle name="Normal 68" xfId="898" xr:uid="{00000000-0005-0000-0000-000083030000}"/>
    <cellStyle name="Normal 68 2" xfId="899" xr:uid="{00000000-0005-0000-0000-000084030000}"/>
    <cellStyle name="Normal 68 2 2" xfId="900" xr:uid="{00000000-0005-0000-0000-000085030000}"/>
    <cellStyle name="Normal 68 3" xfId="901" xr:uid="{00000000-0005-0000-0000-000086030000}"/>
    <cellStyle name="Normal 69" xfId="902" xr:uid="{00000000-0005-0000-0000-000087030000}"/>
    <cellStyle name="Normal 69 2" xfId="903" xr:uid="{00000000-0005-0000-0000-000088030000}"/>
    <cellStyle name="Normal 69 2 2" xfId="904" xr:uid="{00000000-0005-0000-0000-000089030000}"/>
    <cellStyle name="Normal 69 3" xfId="905" xr:uid="{00000000-0005-0000-0000-00008A030000}"/>
    <cellStyle name="Normal 7" xfId="906" xr:uid="{00000000-0005-0000-0000-00008B030000}"/>
    <cellStyle name="Normal 7 2" xfId="907" xr:uid="{00000000-0005-0000-0000-00008C030000}"/>
    <cellStyle name="Normal 7 2 2" xfId="908" xr:uid="{00000000-0005-0000-0000-00008D030000}"/>
    <cellStyle name="Normal 7 2 2 2" xfId="909" xr:uid="{00000000-0005-0000-0000-00008E030000}"/>
    <cellStyle name="Normal 7 2 3" xfId="910" xr:uid="{00000000-0005-0000-0000-00008F030000}"/>
    <cellStyle name="Normal 7 3" xfId="911" xr:uid="{00000000-0005-0000-0000-000090030000}"/>
    <cellStyle name="Normal 7 3 2" xfId="912" xr:uid="{00000000-0005-0000-0000-000091030000}"/>
    <cellStyle name="Normal 7 4" xfId="913" xr:uid="{00000000-0005-0000-0000-000092030000}"/>
    <cellStyle name="Normal 70" xfId="914" xr:uid="{00000000-0005-0000-0000-000093030000}"/>
    <cellStyle name="Normal 70 2" xfId="915" xr:uid="{00000000-0005-0000-0000-000094030000}"/>
    <cellStyle name="Normal 70 2 2" xfId="916" xr:uid="{00000000-0005-0000-0000-000095030000}"/>
    <cellStyle name="Normal 70 3" xfId="917" xr:uid="{00000000-0005-0000-0000-000096030000}"/>
    <cellStyle name="Normal 71" xfId="918" xr:uid="{00000000-0005-0000-0000-000097030000}"/>
    <cellStyle name="Normal 71 2" xfId="919" xr:uid="{00000000-0005-0000-0000-000098030000}"/>
    <cellStyle name="Normal 72" xfId="920" xr:uid="{00000000-0005-0000-0000-000099030000}"/>
    <cellStyle name="Normal 72 2" xfId="921" xr:uid="{00000000-0005-0000-0000-00009A030000}"/>
    <cellStyle name="Normal 73" xfId="922" xr:uid="{00000000-0005-0000-0000-00009B030000}"/>
    <cellStyle name="Normal 73 2" xfId="923" xr:uid="{00000000-0005-0000-0000-00009C030000}"/>
    <cellStyle name="Normal 74" xfId="924" xr:uid="{00000000-0005-0000-0000-00009D030000}"/>
    <cellStyle name="Normal 74 2" xfId="925" xr:uid="{00000000-0005-0000-0000-00009E030000}"/>
    <cellStyle name="Normal 75" xfId="926" xr:uid="{00000000-0005-0000-0000-00009F030000}"/>
    <cellStyle name="Normal 75 2" xfId="927" xr:uid="{00000000-0005-0000-0000-0000A0030000}"/>
    <cellStyle name="Normal 76" xfId="928" xr:uid="{00000000-0005-0000-0000-0000A1030000}"/>
    <cellStyle name="Normal 76 2" xfId="929" xr:uid="{00000000-0005-0000-0000-0000A2030000}"/>
    <cellStyle name="Normal 77" xfId="930" xr:uid="{00000000-0005-0000-0000-0000A3030000}"/>
    <cellStyle name="Normal 77 2" xfId="931" xr:uid="{00000000-0005-0000-0000-0000A4030000}"/>
    <cellStyle name="Normal 78" xfId="932" xr:uid="{00000000-0005-0000-0000-0000A5030000}"/>
    <cellStyle name="Normal 78 2" xfId="933" xr:uid="{00000000-0005-0000-0000-0000A6030000}"/>
    <cellStyle name="Normal 79" xfId="934" xr:uid="{00000000-0005-0000-0000-0000A7030000}"/>
    <cellStyle name="Normal 79 2" xfId="935" xr:uid="{00000000-0005-0000-0000-0000A8030000}"/>
    <cellStyle name="Normal 8" xfId="936" xr:uid="{00000000-0005-0000-0000-0000A9030000}"/>
    <cellStyle name="Normal 8 2" xfId="937" xr:uid="{00000000-0005-0000-0000-0000AA030000}"/>
    <cellStyle name="Normal 8 2 2" xfId="938" xr:uid="{00000000-0005-0000-0000-0000AB030000}"/>
    <cellStyle name="Normal 8 2 2 2" xfId="939" xr:uid="{00000000-0005-0000-0000-0000AC030000}"/>
    <cellStyle name="Normal 8 2 2 2 2" xfId="940" xr:uid="{00000000-0005-0000-0000-0000AD030000}"/>
    <cellStyle name="Normal 8 2 2 3" xfId="941" xr:uid="{00000000-0005-0000-0000-0000AE030000}"/>
    <cellStyle name="Normal 8 2 3" xfId="942" xr:uid="{00000000-0005-0000-0000-0000AF030000}"/>
    <cellStyle name="Normal 8 2 3 2" xfId="943" xr:uid="{00000000-0005-0000-0000-0000B0030000}"/>
    <cellStyle name="Normal 8 2 4" xfId="944" xr:uid="{00000000-0005-0000-0000-0000B1030000}"/>
    <cellStyle name="Normal 8 3" xfId="945" xr:uid="{00000000-0005-0000-0000-0000B2030000}"/>
    <cellStyle name="Normal 8 3 2" xfId="946" xr:uid="{00000000-0005-0000-0000-0000B3030000}"/>
    <cellStyle name="Normal 8 3 2 2" xfId="947" xr:uid="{00000000-0005-0000-0000-0000B4030000}"/>
    <cellStyle name="Normal 8 3 3" xfId="948" xr:uid="{00000000-0005-0000-0000-0000B5030000}"/>
    <cellStyle name="Normal 8 4" xfId="949" xr:uid="{00000000-0005-0000-0000-0000B6030000}"/>
    <cellStyle name="Normal 8 5" xfId="950" xr:uid="{00000000-0005-0000-0000-0000B7030000}"/>
    <cellStyle name="Normal 8 5 2" xfId="951" xr:uid="{00000000-0005-0000-0000-0000B8030000}"/>
    <cellStyle name="Normal 8 6" xfId="952" xr:uid="{00000000-0005-0000-0000-0000B9030000}"/>
    <cellStyle name="Normal 80" xfId="953" xr:uid="{00000000-0005-0000-0000-0000BA030000}"/>
    <cellStyle name="Normal 80 2" xfId="954" xr:uid="{00000000-0005-0000-0000-0000BB030000}"/>
    <cellStyle name="Normal 81" xfId="955" xr:uid="{00000000-0005-0000-0000-0000BC030000}"/>
    <cellStyle name="Normal 81 2" xfId="956" xr:uid="{00000000-0005-0000-0000-0000BD030000}"/>
    <cellStyle name="Normal 82" xfId="957" xr:uid="{00000000-0005-0000-0000-0000BE030000}"/>
    <cellStyle name="Normal 82 2" xfId="958" xr:uid="{00000000-0005-0000-0000-0000BF030000}"/>
    <cellStyle name="Normal 83" xfId="959" xr:uid="{00000000-0005-0000-0000-0000C0030000}"/>
    <cellStyle name="Normal 83 2" xfId="960" xr:uid="{00000000-0005-0000-0000-0000C1030000}"/>
    <cellStyle name="Normal 84" xfId="961" xr:uid="{00000000-0005-0000-0000-0000C2030000}"/>
    <cellStyle name="Normal 84 2" xfId="962" xr:uid="{00000000-0005-0000-0000-0000C3030000}"/>
    <cellStyle name="Normal 85" xfId="963" xr:uid="{00000000-0005-0000-0000-0000C4030000}"/>
    <cellStyle name="Normal 85 2" xfId="964" xr:uid="{00000000-0005-0000-0000-0000C5030000}"/>
    <cellStyle name="Normal 86" xfId="965" xr:uid="{00000000-0005-0000-0000-0000C6030000}"/>
    <cellStyle name="Normal 86 2" xfId="966" xr:uid="{00000000-0005-0000-0000-0000C7030000}"/>
    <cellStyle name="Normal 87" xfId="967" xr:uid="{00000000-0005-0000-0000-0000C8030000}"/>
    <cellStyle name="Normal 87 2" xfId="968" xr:uid="{00000000-0005-0000-0000-0000C9030000}"/>
    <cellStyle name="Normal 88" xfId="969" xr:uid="{00000000-0005-0000-0000-0000CA030000}"/>
    <cellStyle name="Normal 88 2" xfId="970" xr:uid="{00000000-0005-0000-0000-0000CB030000}"/>
    <cellStyle name="Normal 89" xfId="971" xr:uid="{00000000-0005-0000-0000-0000CC030000}"/>
    <cellStyle name="Normal 89 2" xfId="972" xr:uid="{00000000-0005-0000-0000-0000CD030000}"/>
    <cellStyle name="Normal 9" xfId="973" xr:uid="{00000000-0005-0000-0000-0000CE030000}"/>
    <cellStyle name="Normal 9 2" xfId="974" xr:uid="{00000000-0005-0000-0000-0000CF030000}"/>
    <cellStyle name="Normal 9 2 2" xfId="975" xr:uid="{00000000-0005-0000-0000-0000D0030000}"/>
    <cellStyle name="Normal 9 2 2 2" xfId="976" xr:uid="{00000000-0005-0000-0000-0000D1030000}"/>
    <cellStyle name="Normal 9 2 2 2 2" xfId="977" xr:uid="{00000000-0005-0000-0000-0000D2030000}"/>
    <cellStyle name="Normal 9 2 2 3" xfId="978" xr:uid="{00000000-0005-0000-0000-0000D3030000}"/>
    <cellStyle name="Normal 9 2 3" xfId="979" xr:uid="{00000000-0005-0000-0000-0000D4030000}"/>
    <cellStyle name="Normal 9 2 3 2" xfId="980" xr:uid="{00000000-0005-0000-0000-0000D5030000}"/>
    <cellStyle name="Normal 9 2 4" xfId="981" xr:uid="{00000000-0005-0000-0000-0000D6030000}"/>
    <cellStyle name="Normal 9 3" xfId="982" xr:uid="{00000000-0005-0000-0000-0000D7030000}"/>
    <cellStyle name="Normal 9 3 2" xfId="983" xr:uid="{00000000-0005-0000-0000-0000D8030000}"/>
    <cellStyle name="Normal 9 3 2 2" xfId="984" xr:uid="{00000000-0005-0000-0000-0000D9030000}"/>
    <cellStyle name="Normal 9 3 3" xfId="985" xr:uid="{00000000-0005-0000-0000-0000DA030000}"/>
    <cellStyle name="Normal 9 4" xfId="986" xr:uid="{00000000-0005-0000-0000-0000DB030000}"/>
    <cellStyle name="Normal 9 4 2" xfId="987" xr:uid="{00000000-0005-0000-0000-0000DC030000}"/>
    <cellStyle name="Normal 9 5" xfId="988" xr:uid="{00000000-0005-0000-0000-0000DD030000}"/>
    <cellStyle name="Normal 90" xfId="989" xr:uid="{00000000-0005-0000-0000-0000DE030000}"/>
    <cellStyle name="Normal 90 2" xfId="990" xr:uid="{00000000-0005-0000-0000-0000DF030000}"/>
    <cellStyle name="Normal 91" xfId="991" xr:uid="{00000000-0005-0000-0000-0000E0030000}"/>
    <cellStyle name="Normal 92" xfId="992" xr:uid="{00000000-0005-0000-0000-0000E1030000}"/>
    <cellStyle name="Normal 93" xfId="1117" xr:uid="{00000000-0005-0000-0000-0000E2030000}"/>
    <cellStyle name="Normal 93 2" xfId="1208" xr:uid="{5632F647-FCAF-4D73-A7F9-59B0622B8194}"/>
    <cellStyle name="Normal 94" xfId="1118" xr:uid="{00000000-0005-0000-0000-0000E3030000}"/>
    <cellStyle name="Normal 94 2" xfId="1209" xr:uid="{2B2D89AD-8AC1-4419-BC92-74C1F655BE8C}"/>
    <cellStyle name="Normal 95" xfId="1119" xr:uid="{00000000-0005-0000-0000-0000E4030000}"/>
    <cellStyle name="Normal 95 2" xfId="1210" xr:uid="{839E204C-3FCD-4D83-A739-02E5087864B8}"/>
    <cellStyle name="Normal 96" xfId="1122" xr:uid="{7935886F-ABC4-4FE8-9805-3AD2EC980B1A}"/>
    <cellStyle name="Normal 96 2" xfId="1218" xr:uid="{ADB2911B-E237-47BB-8B06-5B909632A7E4}"/>
    <cellStyle name="Normal 97" xfId="1123" xr:uid="{AA979AF9-00AF-4E93-8F74-DA3E90B5BA8A}"/>
    <cellStyle name="Normal 97 2" xfId="1211" xr:uid="{6B1C20FC-0299-4B9C-8A2B-E0E38C479E94}"/>
    <cellStyle name="Normal 98" xfId="1124" xr:uid="{02E17B7A-9D1C-4F61-AA3F-9CCA8B9BC073}"/>
    <cellStyle name="Normal 98 2" xfId="1212" xr:uid="{735E93A4-BFC8-4710-8080-CF0A06EA1483}"/>
    <cellStyle name="Normal 99" xfId="1125" xr:uid="{01247889-EBA9-4172-B23A-845515904006}"/>
    <cellStyle name="Normal Bold" xfId="993" xr:uid="{00000000-0005-0000-0000-0000E5030000}"/>
    <cellStyle name="Normal_ABT 2 2" xfId="1227" xr:uid="{29836F92-EFA4-40E4-B249-91A427F1082D}"/>
    <cellStyle name="Normal2" xfId="994" xr:uid="{00000000-0005-0000-0000-0000E8030000}"/>
    <cellStyle name="NormalGB" xfId="995" xr:uid="{00000000-0005-0000-0000-0000E9030000}"/>
    <cellStyle name="Note 2" xfId="996" xr:uid="{00000000-0005-0000-0000-0000EA030000}"/>
    <cellStyle name="Note 2 2" xfId="997" xr:uid="{00000000-0005-0000-0000-0000EB030000}"/>
    <cellStyle name="Note 2 2 2" xfId="1194" xr:uid="{5BCB1821-E3E4-4AD8-9A9F-05A3D17F4EA2}"/>
    <cellStyle name="Note 2 3" xfId="1193" xr:uid="{F8031A77-A062-4DBD-9231-5AC4BCEC007D}"/>
    <cellStyle name="Note 3" xfId="998" xr:uid="{00000000-0005-0000-0000-0000EC030000}"/>
    <cellStyle name="Note 3 2" xfId="999" xr:uid="{00000000-0005-0000-0000-0000ED030000}"/>
    <cellStyle name="Note 3 2 2" xfId="1196" xr:uid="{C8332E98-ED26-4F8E-9128-74A3FE6F1B1B}"/>
    <cellStyle name="Note 3 3" xfId="1195" xr:uid="{6E968BA9-BBFB-431F-A443-8A9386201E82}"/>
    <cellStyle name="Number" xfId="1000" xr:uid="{00000000-0005-0000-0000-0000EE030000}"/>
    <cellStyle name="Number 0d" xfId="1001" xr:uid="{00000000-0005-0000-0000-0000EF030000}"/>
    <cellStyle name="Number 1d" xfId="1002" xr:uid="{00000000-0005-0000-0000-0000F0030000}"/>
    <cellStyle name="Number 2d" xfId="1003" xr:uid="{00000000-0005-0000-0000-0000F1030000}"/>
    <cellStyle name="Number 3d" xfId="1004" xr:uid="{00000000-0005-0000-0000-0000F2030000}"/>
    <cellStyle name="Number 3d big" xfId="1005" xr:uid="{00000000-0005-0000-0000-0000F3030000}"/>
    <cellStyle name="Number 3d_7944C_CF" xfId="1006" xr:uid="{00000000-0005-0000-0000-0000F4030000}"/>
    <cellStyle name="Number, 3d big" xfId="1007" xr:uid="{00000000-0005-0000-0000-0000F5030000}"/>
    <cellStyle name="Number,1d" xfId="1008" xr:uid="{00000000-0005-0000-0000-0000F6030000}"/>
    <cellStyle name="Œ…‹æØ‚è [0.00]_4535" xfId="1009" xr:uid="{00000000-0005-0000-0000-0000F7030000}"/>
    <cellStyle name="Œ…‹æØ‚è_GE 3 MINIMUM" xfId="1010" xr:uid="{00000000-0005-0000-0000-0000F8030000}"/>
    <cellStyle name="onedec" xfId="1011" xr:uid="{00000000-0005-0000-0000-0000F9030000}"/>
    <cellStyle name="onedec 2" xfId="1012" xr:uid="{00000000-0005-0000-0000-0000FA030000}"/>
    <cellStyle name="OSW_ColumnLabels" xfId="1013" xr:uid="{00000000-0005-0000-0000-0000FB030000}"/>
    <cellStyle name="outh America" xfId="1014" xr:uid="{00000000-0005-0000-0000-0000FC030000}"/>
    <cellStyle name="Output 2" xfId="1015" xr:uid="{00000000-0005-0000-0000-0000FD030000}"/>
    <cellStyle name="Output 2 2" xfId="1016" xr:uid="{00000000-0005-0000-0000-0000FE030000}"/>
    <cellStyle name="Output 2 2 2" xfId="1198" xr:uid="{9A959CDA-38BF-4D64-B010-9E7FA85128DC}"/>
    <cellStyle name="Output 2 3" xfId="1017" xr:uid="{00000000-0005-0000-0000-0000FF030000}"/>
    <cellStyle name="Output 2 3 2" xfId="1199" xr:uid="{56B2AF99-98E9-43C0-8CF1-7D8214CFD772}"/>
    <cellStyle name="Output 2 4" xfId="1197" xr:uid="{60FD491A-8081-43BB-8879-D5E0830DEB22}"/>
    <cellStyle name="P/E" xfId="1018" xr:uid="{00000000-0005-0000-0000-000000040000}"/>
    <cellStyle name="Page Heading" xfId="1019" xr:uid="{00000000-0005-0000-0000-000001040000}"/>
    <cellStyle name="Page Heading Large" xfId="1020" xr:uid="{00000000-0005-0000-0000-000002040000}"/>
    <cellStyle name="Page Heading Large 2" xfId="1021" xr:uid="{00000000-0005-0000-0000-000003040000}"/>
    <cellStyle name="Page Heading Small" xfId="1022" xr:uid="{00000000-0005-0000-0000-000004040000}"/>
    <cellStyle name="Page Number" xfId="1023" xr:uid="{00000000-0005-0000-0000-000005040000}"/>
    <cellStyle name="Pass" xfId="1024" xr:uid="{00000000-0005-0000-0000-000006040000}"/>
    <cellStyle name="patterns" xfId="1025" xr:uid="{00000000-0005-0000-0000-000007040000}"/>
    <cellStyle name="patterns 2" xfId="1026" xr:uid="{00000000-0005-0000-0000-000008040000}"/>
    <cellStyle name="pb_table_format_columnheading" xfId="1027" xr:uid="{00000000-0005-0000-0000-000009040000}"/>
    <cellStyle name="pe" xfId="1028" xr:uid="{00000000-0005-0000-0000-00000A040000}"/>
    <cellStyle name="PE/LTGR" xfId="1029" xr:uid="{00000000-0005-0000-0000-00000B040000}"/>
    <cellStyle name="PEG" xfId="1030" xr:uid="{00000000-0005-0000-0000-00000C040000}"/>
    <cellStyle name="Percent" xfId="1" builtinId="5"/>
    <cellStyle name="Percent [1]" xfId="1031" xr:uid="{00000000-0005-0000-0000-00000E040000}"/>
    <cellStyle name="Percent [1] 2" xfId="1032" xr:uid="{00000000-0005-0000-0000-00000F040000}"/>
    <cellStyle name="Percent [1] 2 2" xfId="1033" xr:uid="{00000000-0005-0000-0000-000010040000}"/>
    <cellStyle name="Percent [2]" xfId="1034" xr:uid="{00000000-0005-0000-0000-000011040000}"/>
    <cellStyle name="Percent [2] 2" xfId="1035" xr:uid="{00000000-0005-0000-0000-000012040000}"/>
    <cellStyle name="Percent 1d" xfId="1036" xr:uid="{00000000-0005-0000-0000-000013040000}"/>
    <cellStyle name="Percent 2" xfId="1037" xr:uid="{00000000-0005-0000-0000-000014040000}"/>
    <cellStyle name="Percent 2 2" xfId="1038" xr:uid="{00000000-0005-0000-0000-000015040000}"/>
    <cellStyle name="Percent 2 2 2" xfId="1039" xr:uid="{00000000-0005-0000-0000-000016040000}"/>
    <cellStyle name="Percent 2 2 2 2" xfId="1040" xr:uid="{00000000-0005-0000-0000-000017040000}"/>
    <cellStyle name="Percent 2 2 3" xfId="1041" xr:uid="{00000000-0005-0000-0000-000018040000}"/>
    <cellStyle name="Percent 2 2 4" xfId="1042" xr:uid="{00000000-0005-0000-0000-000019040000}"/>
    <cellStyle name="Percent 2 3" xfId="1043" xr:uid="{00000000-0005-0000-0000-00001A040000}"/>
    <cellStyle name="Percent 2 3 2" xfId="1044" xr:uid="{00000000-0005-0000-0000-00001B040000}"/>
    <cellStyle name="Percent 2 4" xfId="1045" xr:uid="{00000000-0005-0000-0000-00001C040000}"/>
    <cellStyle name="Percent 2 5" xfId="1046" xr:uid="{00000000-0005-0000-0000-00001D040000}"/>
    <cellStyle name="Percent 3" xfId="1047" xr:uid="{00000000-0005-0000-0000-00001E040000}"/>
    <cellStyle name="Percent 3 2" xfId="1048" xr:uid="{00000000-0005-0000-0000-00001F040000}"/>
    <cellStyle name="Percent 3 2 2" xfId="1049" xr:uid="{00000000-0005-0000-0000-000020040000}"/>
    <cellStyle name="Percent 3 2 2 2" xfId="1050" xr:uid="{00000000-0005-0000-0000-000021040000}"/>
    <cellStyle name="Percent 3 2 2 2 2" xfId="1051" xr:uid="{00000000-0005-0000-0000-000022040000}"/>
    <cellStyle name="Percent 3 2 2 3" xfId="1052" xr:uid="{00000000-0005-0000-0000-000023040000}"/>
    <cellStyle name="Percent 3 2 3" xfId="1053" xr:uid="{00000000-0005-0000-0000-000024040000}"/>
    <cellStyle name="Percent 3 2 4" xfId="1054" xr:uid="{00000000-0005-0000-0000-000025040000}"/>
    <cellStyle name="Percent 3 2 4 2" xfId="1055" xr:uid="{00000000-0005-0000-0000-000026040000}"/>
    <cellStyle name="Percent 3 2 5" xfId="1056" xr:uid="{00000000-0005-0000-0000-000027040000}"/>
    <cellStyle name="Percent 3 3" xfId="1057" xr:uid="{00000000-0005-0000-0000-000028040000}"/>
    <cellStyle name="Percent 3 3 2" xfId="1058" xr:uid="{00000000-0005-0000-0000-000029040000}"/>
    <cellStyle name="Percent 3 3 2 2" xfId="1059" xr:uid="{00000000-0005-0000-0000-00002A040000}"/>
    <cellStyle name="Percent 3 3 3" xfId="1060" xr:uid="{00000000-0005-0000-0000-00002B040000}"/>
    <cellStyle name="Percent 3 4" xfId="1061" xr:uid="{00000000-0005-0000-0000-00002C040000}"/>
    <cellStyle name="Percent 3 4 2" xfId="1062" xr:uid="{00000000-0005-0000-0000-00002D040000}"/>
    <cellStyle name="Percent 3 5" xfId="1063" xr:uid="{00000000-0005-0000-0000-00002E040000}"/>
    <cellStyle name="Percent 3 6" xfId="1064" xr:uid="{00000000-0005-0000-0000-00002F040000}"/>
    <cellStyle name="Percent 4" xfId="1065" xr:uid="{00000000-0005-0000-0000-000030040000}"/>
    <cellStyle name="Percent 4 2" xfId="1066" xr:uid="{00000000-0005-0000-0000-000031040000}"/>
    <cellStyle name="Percent 4 3" xfId="1067" xr:uid="{00000000-0005-0000-0000-000032040000}"/>
    <cellStyle name="Percent 4 3 2" xfId="1068" xr:uid="{00000000-0005-0000-0000-000033040000}"/>
    <cellStyle name="Percent 4 4" xfId="1069" xr:uid="{00000000-0005-0000-0000-000034040000}"/>
    <cellStyle name="Percent 5" xfId="1070" xr:uid="{00000000-0005-0000-0000-000035040000}"/>
    <cellStyle name="Percent Comma" xfId="1071" xr:uid="{00000000-0005-0000-0000-000036040000}"/>
    <cellStyle name="Percent Hard" xfId="1072" xr:uid="{00000000-0005-0000-0000-000037040000}"/>
    <cellStyle name="Percent Hard 2" xfId="1073" xr:uid="{00000000-0005-0000-0000-000038040000}"/>
    <cellStyle name="Percent*" xfId="1074" xr:uid="{00000000-0005-0000-0000-000039040000}"/>
    <cellStyle name="Percent1" xfId="1075" xr:uid="{00000000-0005-0000-0000-00003A040000}"/>
    <cellStyle name="percentage" xfId="1076" xr:uid="{00000000-0005-0000-0000-00003B040000}"/>
    <cellStyle name="percentage 2" xfId="1077" xr:uid="{00000000-0005-0000-0000-00003C040000}"/>
    <cellStyle name="PercentChange" xfId="1078" xr:uid="{00000000-0005-0000-0000-00003D040000}"/>
    <cellStyle name="PercentERR" xfId="1079" xr:uid="{00000000-0005-0000-0000-00003E040000}"/>
    <cellStyle name="PercentPresentation" xfId="1080" xr:uid="{00000000-0005-0000-0000-00003F040000}"/>
    <cellStyle name="Perlong" xfId="1081" xr:uid="{00000000-0005-0000-0000-000040040000}"/>
    <cellStyle name="POPS" xfId="1082" xr:uid="{00000000-0005-0000-0000-000041040000}"/>
    <cellStyle name="POPS 2" xfId="1083" xr:uid="{00000000-0005-0000-0000-000042040000}"/>
    <cellStyle name="pound" xfId="1084" xr:uid="{00000000-0005-0000-0000-000043040000}"/>
    <cellStyle name="PresentationZero" xfId="1085" xr:uid="{00000000-0005-0000-0000-000044040000}"/>
    <cellStyle name="PresentationZero 2" xfId="1086" xr:uid="{00000000-0005-0000-0000-000045040000}"/>
    <cellStyle name="price" xfId="1087" xr:uid="{00000000-0005-0000-0000-000046040000}"/>
    <cellStyle name="PROJECT" xfId="1088" xr:uid="{00000000-0005-0000-0000-000047040000}"/>
    <cellStyle name="PROJECT R" xfId="1089" xr:uid="{00000000-0005-0000-0000-000048040000}"/>
    <cellStyle name="PROJECT_Bayer_Financials_8.10.01" xfId="1090" xr:uid="{00000000-0005-0000-0000-000049040000}"/>
    <cellStyle name="ProtectedDates" xfId="1091" xr:uid="{00000000-0005-0000-0000-00004A040000}"/>
    <cellStyle name="Right" xfId="1092" xr:uid="{00000000-0005-0000-0000-00004B040000}"/>
    <cellStyle name="SectionHeading" xfId="1093" xr:uid="{00000000-0005-0000-0000-00004C040000}"/>
    <cellStyle name="SectionHeading 2" xfId="1094" xr:uid="{00000000-0005-0000-0000-00004D040000}"/>
    <cellStyle name="Share" xfId="1095" xr:uid="{00000000-0005-0000-0000-00004E040000}"/>
    <cellStyle name="Subtotal_left" xfId="1096" xr:uid="{00000000-0005-0000-0000-00004F040000}"/>
    <cellStyle name="Table Head" xfId="1097" xr:uid="{00000000-0005-0000-0000-000050040000}"/>
    <cellStyle name="Table Head Aligned" xfId="1098" xr:uid="{00000000-0005-0000-0000-000051040000}"/>
    <cellStyle name="Table Head Aligned 2" xfId="1099" xr:uid="{00000000-0005-0000-0000-000052040000}"/>
    <cellStyle name="Table Head Aligned 2 2" xfId="1201" xr:uid="{D9754398-5B20-4CD1-99A4-BC9AD6FDE7EE}"/>
    <cellStyle name="Table Head Aligned 3" xfId="1200" xr:uid="{D7FEDFF5-519C-4070-B89B-CE3B6938BB5B}"/>
    <cellStyle name="Table Head Blue" xfId="1100" xr:uid="{00000000-0005-0000-0000-000053040000}"/>
    <cellStyle name="Table Head Green" xfId="1101" xr:uid="{00000000-0005-0000-0000-000054040000}"/>
    <cellStyle name="Table Head Green 2" xfId="1102" xr:uid="{00000000-0005-0000-0000-000055040000}"/>
    <cellStyle name="Table Head Green 2 2" xfId="1203" xr:uid="{025B6C2A-F02E-499E-A708-CF27689BFBA9}"/>
    <cellStyle name="Table Head Green 3" xfId="1202" xr:uid="{67390891-1393-445A-8301-0E5320226619}"/>
    <cellStyle name="Table Title" xfId="1103" xr:uid="{00000000-0005-0000-0000-000056040000}"/>
    <cellStyle name="Table Units" xfId="1104" xr:uid="{00000000-0005-0000-0000-000057040000}"/>
    <cellStyle name="Table Units 2" xfId="1204" xr:uid="{5C389F1B-C6D9-4EA1-BE91-B64F4B808A72}"/>
    <cellStyle name="Title Left" xfId="1105" xr:uid="{00000000-0005-0000-0000-000058040000}"/>
    <cellStyle name="Title Right" xfId="1106" xr:uid="{00000000-0005-0000-0000-000059040000}"/>
    <cellStyle name="title1" xfId="1107" xr:uid="{00000000-0005-0000-0000-00005A040000}"/>
    <cellStyle name="title2" xfId="1108" xr:uid="{00000000-0005-0000-0000-00005B040000}"/>
    <cellStyle name="Titles" xfId="1109" xr:uid="{00000000-0005-0000-0000-00005C040000}"/>
    <cellStyle name="Top Line" xfId="1110" xr:uid="{00000000-0005-0000-0000-00005D040000}"/>
    <cellStyle name="Top Line 2" xfId="1111" xr:uid="{00000000-0005-0000-0000-00005E040000}"/>
    <cellStyle name="Top Line 2 2" xfId="1206" xr:uid="{6028AFF1-E3F9-48CF-9BDC-BB579E99AA07}"/>
    <cellStyle name="Top Line 3" xfId="1112" xr:uid="{00000000-0005-0000-0000-00005F040000}"/>
    <cellStyle name="Top Line 3 2" xfId="1207" xr:uid="{84C84E42-6ED9-4A2F-95F6-F08BE71A9850}"/>
    <cellStyle name="Top Line 4" xfId="1205" xr:uid="{AC295056-7AB8-4163-B6CA-C3EB474DED51}"/>
    <cellStyle name="Total Bold" xfId="1113" xr:uid="{00000000-0005-0000-0000-000060040000}"/>
    <cellStyle name="Worksheet Title" xfId="1114" xr:uid="{00000000-0005-0000-0000-000061040000}"/>
    <cellStyle name="xstyle" xfId="1115" xr:uid="{00000000-0005-0000-0000-000062040000}"/>
  </cellStyles>
  <dxfs count="1">
    <dxf>
      <font>
        <color rgb="FF9C0006"/>
      </font>
      <fill>
        <patternFill>
          <bgColor rgb="FFFFC7CE"/>
        </patternFill>
      </fill>
    </dxf>
  </dxfs>
  <tableStyles count="0" defaultTableStyle="TableStyleMedium2" defaultPivotStyle="PivotStyleLight16"/>
  <colors>
    <mruColors>
      <color rgb="FF0000FF"/>
      <color rgb="FFC0C0C0"/>
      <color rgb="FF193B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v>ADP</c:v>
          </c:tx>
          <c:spPr>
            <a:solidFill>
              <a:schemeClr val="accent2"/>
            </a:solidFill>
            <a:ln>
              <a:noFill/>
            </a:ln>
            <a:effectLst/>
          </c:spPr>
          <c:invertIfNegative val="0"/>
          <c:cat>
            <c:strRef>
              <c:f>SOTP!$F$99:$T$99</c:f>
              <c:strCache>
                <c:ptCount val="15"/>
                <c:pt idx="0">
                  <c:v>2030E</c:v>
                </c:pt>
                <c:pt idx="1">
                  <c:v>2031E</c:v>
                </c:pt>
                <c:pt idx="2">
                  <c:v>2032E</c:v>
                </c:pt>
                <c:pt idx="3">
                  <c:v>2033E</c:v>
                </c:pt>
                <c:pt idx="4">
                  <c:v>2034E</c:v>
                </c:pt>
                <c:pt idx="5">
                  <c:v>2035E</c:v>
                </c:pt>
                <c:pt idx="6">
                  <c:v>2036E</c:v>
                </c:pt>
                <c:pt idx="7">
                  <c:v>2037E</c:v>
                </c:pt>
                <c:pt idx="8">
                  <c:v>2038E</c:v>
                </c:pt>
                <c:pt idx="9">
                  <c:v>2039E</c:v>
                </c:pt>
                <c:pt idx="10">
                  <c:v>2040E</c:v>
                </c:pt>
                <c:pt idx="11">
                  <c:v>2041E</c:v>
                </c:pt>
                <c:pt idx="12">
                  <c:v>2042E</c:v>
                </c:pt>
                <c:pt idx="13">
                  <c:v>2043E</c:v>
                </c:pt>
                <c:pt idx="14">
                  <c:v>2044E</c:v>
                </c:pt>
              </c:strCache>
            </c:strRef>
          </c:cat>
          <c:val>
            <c:numRef>
              <c:f>SOTP!$F$100:$T$100</c:f>
              <c:numCache>
                <c:formatCode>#,##0.0</c:formatCode>
                <c:ptCount val="15"/>
                <c:pt idx="0">
                  <c:v>0</c:v>
                </c:pt>
                <c:pt idx="1">
                  <c:v>0</c:v>
                </c:pt>
                <c:pt idx="2">
                  <c:v>100</c:v>
                </c:pt>
                <c:pt idx="3">
                  <c:v>250</c:v>
                </c:pt>
                <c:pt idx="4">
                  <c:v>450</c:v>
                </c:pt>
                <c:pt idx="5">
                  <c:v>650</c:v>
                </c:pt>
                <c:pt idx="6">
                  <c:v>825</c:v>
                </c:pt>
                <c:pt idx="7">
                  <c:v>950</c:v>
                </c:pt>
                <c:pt idx="8">
                  <c:v>1050</c:v>
                </c:pt>
                <c:pt idx="9">
                  <c:v>1125</c:v>
                </c:pt>
                <c:pt idx="10">
                  <c:v>1181.25</c:v>
                </c:pt>
                <c:pt idx="11">
                  <c:v>1240.3125</c:v>
                </c:pt>
                <c:pt idx="12">
                  <c:v>1289.925</c:v>
                </c:pt>
                <c:pt idx="13">
                  <c:v>1328.62275</c:v>
                </c:pt>
                <c:pt idx="14">
                  <c:v>1368.4814325</c:v>
                </c:pt>
              </c:numCache>
            </c:numRef>
          </c:val>
          <c:extLst>
            <c:ext xmlns:c16="http://schemas.microsoft.com/office/drawing/2014/chart" uri="{C3380CC4-5D6E-409C-BE32-E72D297353CC}">
              <c16:uniqueId val="{00000003-A567-40EE-BACB-9C5DD0D83ACD}"/>
            </c:ext>
          </c:extLst>
        </c:ser>
        <c:ser>
          <c:idx val="0"/>
          <c:order val="1"/>
          <c:tx>
            <c:v>Schizophrenia</c:v>
          </c:tx>
          <c:spPr>
            <a:solidFill>
              <a:schemeClr val="accent1"/>
            </a:solidFill>
            <a:ln>
              <a:noFill/>
            </a:ln>
            <a:effectLst/>
          </c:spPr>
          <c:invertIfNegative val="0"/>
          <c:cat>
            <c:strRef>
              <c:f>SOTP!$F$99:$T$99</c:f>
              <c:strCache>
                <c:ptCount val="15"/>
                <c:pt idx="0">
                  <c:v>2030E</c:v>
                </c:pt>
                <c:pt idx="1">
                  <c:v>2031E</c:v>
                </c:pt>
                <c:pt idx="2">
                  <c:v>2032E</c:v>
                </c:pt>
                <c:pt idx="3">
                  <c:v>2033E</c:v>
                </c:pt>
                <c:pt idx="4">
                  <c:v>2034E</c:v>
                </c:pt>
                <c:pt idx="5">
                  <c:v>2035E</c:v>
                </c:pt>
                <c:pt idx="6">
                  <c:v>2036E</c:v>
                </c:pt>
                <c:pt idx="7">
                  <c:v>2037E</c:v>
                </c:pt>
                <c:pt idx="8">
                  <c:v>2038E</c:v>
                </c:pt>
                <c:pt idx="9">
                  <c:v>2039E</c:v>
                </c:pt>
                <c:pt idx="10">
                  <c:v>2040E</c:v>
                </c:pt>
                <c:pt idx="11">
                  <c:v>2041E</c:v>
                </c:pt>
                <c:pt idx="12">
                  <c:v>2042E</c:v>
                </c:pt>
                <c:pt idx="13">
                  <c:v>2043E</c:v>
                </c:pt>
                <c:pt idx="14">
                  <c:v>2044E</c:v>
                </c:pt>
              </c:strCache>
            </c:strRef>
          </c:cat>
          <c:val>
            <c:numRef>
              <c:f>SOTP!$F$69:$T$69</c:f>
              <c:numCache>
                <c:formatCode>#,##0.0</c:formatCode>
                <c:ptCount val="15"/>
                <c:pt idx="0">
                  <c:v>55</c:v>
                </c:pt>
                <c:pt idx="1">
                  <c:v>200</c:v>
                </c:pt>
                <c:pt idx="2">
                  <c:v>350</c:v>
                </c:pt>
                <c:pt idx="3">
                  <c:v>525</c:v>
                </c:pt>
                <c:pt idx="4">
                  <c:v>625</c:v>
                </c:pt>
                <c:pt idx="5">
                  <c:v>700.00000000000011</c:v>
                </c:pt>
                <c:pt idx="6">
                  <c:v>770.00000000000023</c:v>
                </c:pt>
                <c:pt idx="7">
                  <c:v>831.60000000000025</c:v>
                </c:pt>
                <c:pt idx="8">
                  <c:v>881.49600000000032</c:v>
                </c:pt>
                <c:pt idx="9">
                  <c:v>925.57080000000042</c:v>
                </c:pt>
                <c:pt idx="10">
                  <c:v>962.59363200000041</c:v>
                </c:pt>
                <c:pt idx="11">
                  <c:v>991.47144096000045</c:v>
                </c:pt>
                <c:pt idx="12">
                  <c:v>1011.3008697792005</c:v>
                </c:pt>
                <c:pt idx="13">
                  <c:v>1011.3008697792005</c:v>
                </c:pt>
                <c:pt idx="14">
                  <c:v>1011.3008697792005</c:v>
                </c:pt>
              </c:numCache>
            </c:numRef>
          </c:val>
          <c:extLst>
            <c:ext xmlns:c16="http://schemas.microsoft.com/office/drawing/2014/chart" uri="{C3380CC4-5D6E-409C-BE32-E72D297353CC}">
              <c16:uniqueId val="{00000002-A567-40EE-BACB-9C5DD0D83ACD}"/>
            </c:ext>
          </c:extLst>
        </c:ser>
        <c:dLbls>
          <c:showLegendKey val="0"/>
          <c:showVal val="0"/>
          <c:showCatName val="0"/>
          <c:showSerName val="0"/>
          <c:showPercent val="0"/>
          <c:showBubbleSize val="0"/>
        </c:dLbls>
        <c:gapWidth val="219"/>
        <c:overlap val="100"/>
        <c:axId val="83692847"/>
        <c:axId val="83677007"/>
      </c:barChart>
      <c:catAx>
        <c:axId val="83692847"/>
        <c:scaling>
          <c:orientation val="minMax"/>
        </c:scaling>
        <c:delete val="0"/>
        <c:axPos val="b"/>
        <c:title>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77007"/>
        <c:crosses val="autoZero"/>
        <c:auto val="1"/>
        <c:lblAlgn val="ctr"/>
        <c:lblOffset val="100"/>
        <c:noMultiLvlLbl val="0"/>
      </c:catAx>
      <c:valAx>
        <c:axId val="83677007"/>
        <c:scaling>
          <c:orientation val="minMax"/>
        </c:scaling>
        <c:delete val="0"/>
        <c:axPos val="l"/>
        <c:majorGridlines>
          <c:spPr>
            <a:ln w="9525" cap="flat" cmpd="sng" algn="ctr">
              <a:solidFill>
                <a:schemeClr val="tx1">
                  <a:lumMod val="15000"/>
                  <a:lumOff val="85000"/>
                </a:schemeClr>
              </a:solidFill>
              <a:prstDash val="solid"/>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a:t>Sales</a:t>
                </a:r>
                <a:r>
                  <a:rPr lang="en-US" baseline="0"/>
                  <a:t> ($M)</a:t>
                </a:r>
                <a:endParaRPr lang="en-US"/>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0.0"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92847"/>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149767</xdr:colOff>
      <xdr:row>1</xdr:row>
      <xdr:rowOff>65888</xdr:rowOff>
    </xdr:from>
    <xdr:to>
      <xdr:col>10</xdr:col>
      <xdr:colOff>120639</xdr:colOff>
      <xdr:row>6</xdr:row>
      <xdr:rowOff>97216</xdr:rowOff>
    </xdr:to>
    <xdr:pic>
      <xdr:nvPicPr>
        <xdr:cNvPr id="2" name="Picture 1">
          <a:extLst>
            <a:ext uri="{FF2B5EF4-FFF2-40B4-BE49-F238E27FC236}">
              <a16:creationId xmlns:a16="http://schemas.microsoft.com/office/drawing/2014/main" id="{02A64A44-ACFF-4A3B-9C95-21A81E7A8CB2}"/>
            </a:ext>
          </a:extLst>
        </xdr:cNvPr>
        <xdr:cNvPicPr>
          <a:picLocks noChangeAspect="1"/>
        </xdr:cNvPicPr>
      </xdr:nvPicPr>
      <xdr:blipFill>
        <a:blip xmlns:r="http://schemas.openxmlformats.org/officeDocument/2006/relationships" r:embed="rId1"/>
        <a:stretch>
          <a:fillRect/>
        </a:stretch>
      </xdr:blipFill>
      <xdr:spPr>
        <a:xfrm>
          <a:off x="5401217" y="230988"/>
          <a:ext cx="3050622" cy="825078"/>
        </a:xfrm>
        <a:prstGeom prst="rect">
          <a:avLst/>
        </a:prstGeom>
      </xdr:spPr>
    </xdr:pic>
    <xdr:clientData/>
  </xdr:twoCellAnchor>
  <xdr:twoCellAnchor editAs="oneCell">
    <xdr:from>
      <xdr:col>5</xdr:col>
      <xdr:colOff>149767</xdr:colOff>
      <xdr:row>1</xdr:row>
      <xdr:rowOff>65888</xdr:rowOff>
    </xdr:from>
    <xdr:to>
      <xdr:col>10</xdr:col>
      <xdr:colOff>120639</xdr:colOff>
      <xdr:row>6</xdr:row>
      <xdr:rowOff>97216</xdr:rowOff>
    </xdr:to>
    <xdr:pic>
      <xdr:nvPicPr>
        <xdr:cNvPr id="3" name="Picture 2">
          <a:extLst>
            <a:ext uri="{FF2B5EF4-FFF2-40B4-BE49-F238E27FC236}">
              <a16:creationId xmlns:a16="http://schemas.microsoft.com/office/drawing/2014/main" id="{9B619270-F92B-48F1-B277-AC384569BF7D}"/>
            </a:ext>
          </a:extLst>
        </xdr:cNvPr>
        <xdr:cNvPicPr>
          <a:picLocks noChangeAspect="1"/>
        </xdr:cNvPicPr>
      </xdr:nvPicPr>
      <xdr:blipFill>
        <a:blip xmlns:r="http://schemas.openxmlformats.org/officeDocument/2006/relationships" r:embed="rId1"/>
        <a:stretch>
          <a:fillRect/>
        </a:stretch>
      </xdr:blipFill>
      <xdr:spPr>
        <a:xfrm>
          <a:off x="5401217" y="230988"/>
          <a:ext cx="3050622" cy="825078"/>
        </a:xfrm>
        <a:prstGeom prst="rect">
          <a:avLst/>
        </a:prstGeom>
      </xdr:spPr>
    </xdr:pic>
    <xdr:clientData/>
  </xdr:twoCellAnchor>
  <xdr:twoCellAnchor editAs="oneCell">
    <xdr:from>
      <xdr:col>5</xdr:col>
      <xdr:colOff>149767</xdr:colOff>
      <xdr:row>1</xdr:row>
      <xdr:rowOff>65888</xdr:rowOff>
    </xdr:from>
    <xdr:to>
      <xdr:col>10</xdr:col>
      <xdr:colOff>120639</xdr:colOff>
      <xdr:row>6</xdr:row>
      <xdr:rowOff>97216</xdr:rowOff>
    </xdr:to>
    <xdr:pic>
      <xdr:nvPicPr>
        <xdr:cNvPr id="4" name="Picture 3">
          <a:extLst>
            <a:ext uri="{FF2B5EF4-FFF2-40B4-BE49-F238E27FC236}">
              <a16:creationId xmlns:a16="http://schemas.microsoft.com/office/drawing/2014/main" id="{5CCE1389-B32B-409C-84E4-BDAEC39D893E}"/>
            </a:ext>
          </a:extLst>
        </xdr:cNvPr>
        <xdr:cNvPicPr>
          <a:picLocks noChangeAspect="1"/>
        </xdr:cNvPicPr>
      </xdr:nvPicPr>
      <xdr:blipFill>
        <a:blip xmlns:r="http://schemas.openxmlformats.org/officeDocument/2006/relationships" r:embed="rId1"/>
        <a:stretch>
          <a:fillRect/>
        </a:stretch>
      </xdr:blipFill>
      <xdr:spPr>
        <a:xfrm>
          <a:off x="5401217" y="230988"/>
          <a:ext cx="3050622" cy="8250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25</xdr:col>
      <xdr:colOff>0</xdr:colOff>
      <xdr:row>62</xdr:row>
      <xdr:rowOff>109105</xdr:rowOff>
    </xdr:from>
    <xdr:to>
      <xdr:col>34</xdr:col>
      <xdr:colOff>86590</xdr:colOff>
      <xdr:row>89</xdr:row>
      <xdr:rowOff>57726</xdr:rowOff>
    </xdr:to>
    <xdr:graphicFrame macro="">
      <xdr:nvGraphicFramePr>
        <xdr:cNvPr id="2" name="Chart 1">
          <a:extLst>
            <a:ext uri="{FF2B5EF4-FFF2-40B4-BE49-F238E27FC236}">
              <a16:creationId xmlns:a16="http://schemas.microsoft.com/office/drawing/2014/main" id="{7BFE4B4F-8722-32FB-5F19-CBAE6C847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basma.radwan@leerink.com" TargetMode="External"/><Relationship Id="rId1" Type="http://schemas.openxmlformats.org/officeDocument/2006/relationships/hyperlink" Target="mailto:marc.goodman@leerink.com"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ec.gov/Archives/edgar/data/1770069/000119312525231829/d90027ds1a.htm" TargetMode="External"/><Relationship Id="rId1" Type="http://schemas.openxmlformats.org/officeDocument/2006/relationships/hyperlink" Target="https://www.sec.gov/Archives/edgar/data/1770069/000119312525231829/d90027ds1a.ht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
  <sheetViews>
    <sheetView workbookViewId="0"/>
  </sheetViews>
  <sheetFormatPr defaultRowHeight="14.5"/>
  <sheetData>
    <row r="1" spans="1:2">
      <c r="B1" t="s">
        <v>130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DAC4-C03B-4FA4-B103-FB76E1C972E2}">
  <dimension ref="A1:P42"/>
  <sheetViews>
    <sheetView showGridLines="0" zoomScaleNormal="100" workbookViewId="0">
      <selection activeCell="B13" sqref="B13"/>
    </sheetView>
  </sheetViews>
  <sheetFormatPr defaultColWidth="8.7265625" defaultRowHeight="14.5"/>
  <cols>
    <col min="1" max="1" width="23.81640625" style="621" customWidth="1"/>
    <col min="2" max="2" width="12" style="621" customWidth="1"/>
    <col min="3" max="3" width="6.1796875" style="621" bestFit="1" customWidth="1"/>
    <col min="4" max="4" width="4" style="621" customWidth="1"/>
    <col min="5" max="5" width="29.1796875" style="621" customWidth="1"/>
    <col min="6" max="6" width="9.1796875" style="621" customWidth="1"/>
    <col min="7" max="16384" width="8.7265625" style="621"/>
  </cols>
  <sheetData>
    <row r="1" spans="1:12" s="584" customFormat="1" ht="13">
      <c r="A1" s="535"/>
      <c r="B1" s="536"/>
      <c r="C1" s="536"/>
      <c r="D1" s="536"/>
      <c r="E1" s="536"/>
      <c r="F1" s="536"/>
      <c r="G1" s="536"/>
      <c r="H1" s="537"/>
      <c r="I1" s="536"/>
      <c r="J1" s="536"/>
      <c r="K1" s="536"/>
      <c r="L1" s="536"/>
    </row>
    <row r="2" spans="1:12" s="584" customFormat="1" ht="12.5">
      <c r="A2" s="538"/>
      <c r="B2" s="536"/>
      <c r="C2" s="536"/>
      <c r="D2" s="536"/>
      <c r="E2" s="539"/>
      <c r="F2" s="539"/>
      <c r="G2" s="539"/>
      <c r="H2" s="536"/>
      <c r="I2" s="536"/>
      <c r="J2" s="536"/>
      <c r="K2" s="536"/>
      <c r="L2" s="536"/>
    </row>
    <row r="3" spans="1:12" s="584" customFormat="1" ht="12.5">
      <c r="A3" s="536"/>
      <c r="B3" s="536"/>
      <c r="C3" s="536"/>
      <c r="D3" s="536"/>
      <c r="E3" s="536"/>
      <c r="F3" s="536"/>
      <c r="G3" s="536"/>
      <c r="H3" s="536"/>
      <c r="I3" s="536"/>
      <c r="J3" s="536"/>
      <c r="K3" s="536"/>
      <c r="L3" s="536"/>
    </row>
    <row r="4" spans="1:12" s="584" customFormat="1" ht="12.5">
      <c r="A4" s="536"/>
      <c r="B4" s="536"/>
      <c r="C4" s="536"/>
      <c r="D4" s="536"/>
      <c r="E4" s="536"/>
      <c r="F4" s="536"/>
      <c r="G4" s="536"/>
      <c r="H4" s="536"/>
      <c r="I4" s="536"/>
      <c r="J4" s="536"/>
      <c r="K4" s="536"/>
      <c r="L4" s="536"/>
    </row>
    <row r="5" spans="1:12" s="584" customFormat="1" ht="12.5">
      <c r="A5" s="536"/>
      <c r="B5" s="536"/>
      <c r="C5" s="536"/>
      <c r="D5" s="536"/>
      <c r="E5" s="536"/>
      <c r="F5" s="536"/>
      <c r="G5" s="536"/>
      <c r="H5" s="536"/>
      <c r="I5" s="536"/>
      <c r="J5" s="536"/>
      <c r="K5" s="536"/>
      <c r="L5" s="536"/>
    </row>
    <row r="6" spans="1:12" s="584" customFormat="1" ht="12.5">
      <c r="A6" s="536"/>
      <c r="B6" s="536"/>
      <c r="C6" s="536"/>
      <c r="D6" s="536"/>
      <c r="E6" s="536"/>
      <c r="F6" s="536"/>
      <c r="G6" s="536"/>
      <c r="H6" s="536"/>
      <c r="I6" s="536"/>
      <c r="J6" s="536"/>
      <c r="K6" s="536"/>
      <c r="L6" s="536"/>
    </row>
    <row r="7" spans="1:12" s="584" customFormat="1" ht="12.5">
      <c r="A7" s="536"/>
      <c r="B7" s="536"/>
      <c r="C7" s="536"/>
      <c r="D7" s="536"/>
      <c r="E7" s="536"/>
      <c r="F7" s="536"/>
      <c r="G7" s="536"/>
      <c r="H7" s="540"/>
      <c r="I7" s="536"/>
      <c r="J7" s="536"/>
      <c r="K7" s="536"/>
      <c r="L7" s="536"/>
    </row>
    <row r="8" spans="1:12" s="584" customFormat="1" ht="12.5">
      <c r="A8" s="536"/>
      <c r="B8" s="536"/>
      <c r="C8" s="536"/>
      <c r="D8" s="536"/>
      <c r="E8" s="536"/>
      <c r="F8" s="536"/>
      <c r="G8" s="536"/>
      <c r="H8" s="536"/>
      <c r="I8" s="536"/>
      <c r="J8" s="536"/>
      <c r="K8" s="536"/>
      <c r="L8" s="536"/>
    </row>
    <row r="9" spans="1:12" s="584" customFormat="1" ht="44.5">
      <c r="A9" s="541" t="s">
        <v>359</v>
      </c>
      <c r="B9" s="542"/>
      <c r="C9" s="542"/>
      <c r="D9" s="542"/>
      <c r="E9" s="542"/>
      <c r="F9" s="542"/>
      <c r="G9" s="542"/>
      <c r="H9" s="542"/>
      <c r="I9" s="542"/>
      <c r="J9" s="542"/>
      <c r="K9" s="542"/>
      <c r="L9" s="542"/>
    </row>
    <row r="10" spans="1:12" s="584" customFormat="1" ht="12.5">
      <c r="A10" s="542"/>
      <c r="B10" s="542"/>
      <c r="C10" s="542"/>
      <c r="D10" s="542"/>
      <c r="E10" s="542"/>
      <c r="F10" s="542"/>
      <c r="G10" s="542"/>
      <c r="H10" s="542"/>
      <c r="I10" s="542"/>
      <c r="J10" s="542"/>
      <c r="K10" s="542"/>
      <c r="L10" s="542"/>
    </row>
    <row r="11" spans="1:12" s="584" customFormat="1" ht="14">
      <c r="A11" s="543" t="s">
        <v>396</v>
      </c>
      <c r="B11" s="542"/>
      <c r="C11" s="542"/>
      <c r="D11" s="542"/>
      <c r="E11" s="542"/>
      <c r="F11" s="542"/>
      <c r="G11" s="542"/>
      <c r="H11" s="542"/>
      <c r="I11" s="542"/>
      <c r="J11" s="542"/>
      <c r="K11" s="542"/>
      <c r="L11" s="542"/>
    </row>
    <row r="12" spans="1:12" s="584" customFormat="1" ht="14">
      <c r="A12" s="544" t="s">
        <v>397</v>
      </c>
      <c r="B12" s="545">
        <v>46108</v>
      </c>
      <c r="C12" s="542"/>
      <c r="D12" s="542"/>
      <c r="E12" s="542"/>
      <c r="F12" s="542"/>
      <c r="G12" s="542"/>
      <c r="H12" s="542"/>
      <c r="I12" s="542"/>
      <c r="J12" s="542"/>
      <c r="K12" s="542"/>
      <c r="L12" s="542"/>
    </row>
    <row r="13" spans="1:12" s="584" customFormat="1" ht="14">
      <c r="A13" s="543"/>
      <c r="B13" s="542"/>
      <c r="C13" s="542"/>
      <c r="D13" s="542"/>
      <c r="E13" s="542"/>
      <c r="F13" s="542"/>
      <c r="G13" s="542"/>
      <c r="H13" s="542"/>
      <c r="I13" s="542"/>
      <c r="J13" s="542"/>
      <c r="K13" s="542"/>
      <c r="L13" s="542"/>
    </row>
    <row r="14" spans="1:12" s="584" customFormat="1" ht="14">
      <c r="A14" s="546" t="s">
        <v>398</v>
      </c>
      <c r="B14" s="542"/>
      <c r="C14" s="542"/>
      <c r="D14" s="542"/>
      <c r="E14" s="542"/>
      <c r="F14" s="542"/>
      <c r="G14" s="542"/>
      <c r="H14" s="542"/>
      <c r="I14" s="542"/>
      <c r="J14" s="542"/>
      <c r="K14" s="542"/>
      <c r="L14" s="542"/>
    </row>
    <row r="15" spans="1:12" s="584" customFormat="1" ht="14">
      <c r="A15" s="547" t="s">
        <v>399</v>
      </c>
      <c r="B15" s="542"/>
      <c r="C15" s="542"/>
      <c r="D15" s="542"/>
      <c r="E15" s="542"/>
      <c r="F15" s="542"/>
      <c r="G15" s="542"/>
      <c r="H15" s="542"/>
      <c r="I15" s="542"/>
      <c r="J15" s="542"/>
      <c r="K15" s="542"/>
      <c r="L15" s="542"/>
    </row>
    <row r="16" spans="1:12" s="584" customFormat="1" ht="14">
      <c r="A16" s="619" t="s">
        <v>400</v>
      </c>
      <c r="B16" s="542"/>
      <c r="C16" s="542"/>
      <c r="D16" s="542"/>
      <c r="E16" s="542"/>
      <c r="F16" s="542"/>
      <c r="G16" s="542"/>
      <c r="H16" s="542"/>
      <c r="I16" s="542"/>
      <c r="J16" s="542"/>
      <c r="K16" s="542"/>
      <c r="L16" s="542"/>
    </row>
    <row r="17" spans="1:15" s="584" customFormat="1" ht="14">
      <c r="A17" s="619"/>
      <c r="B17" s="542"/>
      <c r="C17" s="542"/>
      <c r="D17" s="542"/>
      <c r="E17" s="542"/>
      <c r="F17" s="542"/>
      <c r="G17" s="542"/>
      <c r="H17" s="542"/>
      <c r="I17" s="542"/>
      <c r="J17" s="542"/>
      <c r="K17" s="542"/>
      <c r="L17" s="542"/>
      <c r="M17" s="536"/>
      <c r="N17" s="536"/>
      <c r="O17" s="536"/>
    </row>
    <row r="18" spans="1:15" s="584" customFormat="1" ht="14">
      <c r="A18" s="546" t="s">
        <v>401</v>
      </c>
      <c r="B18" s="542"/>
      <c r="C18" s="542"/>
      <c r="D18" s="542"/>
      <c r="E18" s="542"/>
      <c r="F18" s="542"/>
      <c r="G18" s="542"/>
      <c r="H18" s="542"/>
      <c r="I18" s="542"/>
      <c r="J18" s="542"/>
      <c r="K18" s="542"/>
      <c r="L18" s="542"/>
      <c r="M18" s="536"/>
      <c r="N18" s="536"/>
      <c r="O18" s="536"/>
    </row>
    <row r="19" spans="1:15" s="584" customFormat="1" ht="14">
      <c r="A19" s="547" t="s">
        <v>402</v>
      </c>
      <c r="B19" s="542"/>
      <c r="C19" s="542"/>
      <c r="D19" s="542"/>
      <c r="E19" s="542"/>
      <c r="F19" s="542"/>
      <c r="G19" s="542"/>
      <c r="H19" s="542"/>
      <c r="I19" s="542"/>
      <c r="J19" s="542"/>
      <c r="K19" s="542"/>
      <c r="L19" s="542"/>
      <c r="M19" s="536"/>
      <c r="N19" s="536"/>
      <c r="O19" s="536"/>
    </row>
    <row r="20" spans="1:15" s="584" customFormat="1" ht="14">
      <c r="A20" s="619" t="s">
        <v>403</v>
      </c>
      <c r="B20" s="542"/>
      <c r="C20" s="542"/>
      <c r="D20" s="542"/>
      <c r="E20" s="542"/>
      <c r="F20" s="542"/>
      <c r="G20" s="542"/>
      <c r="H20" s="542"/>
      <c r="I20" s="542"/>
      <c r="J20" s="542"/>
      <c r="K20" s="542"/>
      <c r="L20" s="542"/>
      <c r="M20" s="536"/>
      <c r="N20" s="536"/>
      <c r="O20" s="536"/>
    </row>
    <row r="21" spans="1:15" s="584" customFormat="1" ht="14">
      <c r="A21" s="619"/>
      <c r="B21" s="542"/>
      <c r="C21" s="542"/>
      <c r="D21" s="542"/>
      <c r="E21" s="542"/>
      <c r="F21" s="542"/>
      <c r="G21" s="542"/>
      <c r="H21" s="542"/>
      <c r="I21" s="542"/>
      <c r="J21" s="542"/>
      <c r="K21" s="542"/>
      <c r="L21" s="542"/>
      <c r="M21" s="536"/>
      <c r="N21" s="536"/>
      <c r="O21" s="536"/>
    </row>
    <row r="22" spans="1:15" s="584" customFormat="1" ht="14">
      <c r="A22" s="546" t="s">
        <v>404</v>
      </c>
      <c r="B22" s="542"/>
      <c r="C22" s="542"/>
      <c r="D22" s="542"/>
      <c r="E22" s="542"/>
      <c r="F22" s="542"/>
      <c r="G22" s="542"/>
      <c r="H22" s="542"/>
      <c r="I22" s="542"/>
      <c r="J22" s="542"/>
      <c r="K22" s="542"/>
      <c r="L22" s="542"/>
      <c r="M22" s="536"/>
      <c r="N22" s="536"/>
      <c r="O22" s="536"/>
    </row>
    <row r="23" spans="1:15" s="584" customFormat="1" ht="14">
      <c r="A23" s="547" t="s">
        <v>405</v>
      </c>
      <c r="B23" s="542"/>
      <c r="C23" s="542"/>
      <c r="D23" s="542"/>
      <c r="E23" s="542"/>
      <c r="F23" s="542"/>
      <c r="G23" s="542"/>
      <c r="H23" s="542"/>
      <c r="I23" s="542"/>
      <c r="J23" s="542"/>
      <c r="K23" s="542"/>
      <c r="L23" s="542"/>
      <c r="M23" s="536"/>
      <c r="N23" s="536"/>
      <c r="O23" s="536"/>
    </row>
    <row r="24" spans="1:15" s="584" customFormat="1" ht="14">
      <c r="A24" s="619" t="s">
        <v>406</v>
      </c>
      <c r="B24" s="542"/>
      <c r="C24" s="542"/>
      <c r="D24" s="542"/>
      <c r="E24" s="542"/>
      <c r="F24" s="542"/>
      <c r="G24" s="542"/>
      <c r="H24" s="542"/>
      <c r="I24" s="542"/>
      <c r="J24" s="542"/>
      <c r="K24" s="542"/>
      <c r="L24" s="542"/>
      <c r="M24" s="536"/>
      <c r="N24" s="536"/>
      <c r="O24" s="536"/>
    </row>
    <row r="25" spans="1:15" s="584" customFormat="1" ht="14">
      <c r="A25" s="619"/>
      <c r="B25" s="542"/>
      <c r="C25" s="542"/>
      <c r="D25" s="542"/>
      <c r="E25" s="542"/>
      <c r="F25" s="542"/>
      <c r="G25" s="542"/>
      <c r="H25" s="542"/>
      <c r="I25" s="542"/>
      <c r="J25" s="542"/>
      <c r="K25" s="542"/>
      <c r="L25" s="542"/>
      <c r="M25" s="536"/>
      <c r="N25" s="536"/>
      <c r="O25" s="536"/>
    </row>
    <row r="26" spans="1:15" s="560" customFormat="1" ht="15.5">
      <c r="A26" s="548" t="s">
        <v>407</v>
      </c>
      <c r="B26" s="549"/>
      <c r="C26" s="549"/>
      <c r="D26" s="549"/>
      <c r="E26" s="549"/>
      <c r="F26" s="549"/>
      <c r="G26" s="550"/>
      <c r="H26" s="551"/>
      <c r="I26" s="551"/>
      <c r="J26" s="551"/>
      <c r="K26" s="551"/>
      <c r="L26" s="551"/>
      <c r="M26" s="552"/>
      <c r="N26" s="552"/>
      <c r="O26" s="552"/>
    </row>
    <row r="27" spans="1:15" s="560" customFormat="1" ht="14">
      <c r="A27" s="635" t="s">
        <v>408</v>
      </c>
      <c r="B27" s="635"/>
      <c r="C27" s="635"/>
      <c r="D27" s="635"/>
      <c r="E27" s="635"/>
      <c r="F27" s="635"/>
      <c r="G27" s="635"/>
      <c r="H27" s="635"/>
      <c r="I27" s="635"/>
      <c r="J27" s="635"/>
      <c r="K27" s="635"/>
      <c r="L27" s="635"/>
      <c r="M27" s="636"/>
      <c r="N27" s="636"/>
      <c r="O27" s="636"/>
    </row>
    <row r="28" spans="1:15" s="560" customFormat="1" ht="13">
      <c r="A28" s="554"/>
      <c r="B28" s="554"/>
      <c r="C28" s="554"/>
      <c r="D28" s="554"/>
      <c r="E28" s="554"/>
      <c r="F28" s="554"/>
      <c r="G28" s="554"/>
      <c r="H28" s="554"/>
      <c r="I28" s="554"/>
      <c r="J28" s="554"/>
      <c r="K28" s="554"/>
      <c r="L28" s="554"/>
      <c r="M28" s="553"/>
      <c r="N28" s="553"/>
      <c r="O28" s="553"/>
    </row>
    <row r="29" spans="1:15" s="560" customFormat="1">
      <c r="A29" s="555" t="s">
        <v>432</v>
      </c>
      <c r="B29" s="556"/>
      <c r="C29" s="556"/>
      <c r="D29" s="556"/>
      <c r="E29" s="556"/>
      <c r="F29" s="557"/>
      <c r="G29" s="557"/>
      <c r="H29" s="558"/>
      <c r="I29" s="558"/>
      <c r="J29" s="558"/>
      <c r="K29" s="558"/>
      <c r="L29" s="558"/>
      <c r="M29" s="559"/>
      <c r="N29" s="559"/>
      <c r="O29" s="559"/>
    </row>
    <row r="30" spans="1:15" s="560" customFormat="1">
      <c r="A30" s="561"/>
      <c r="B30" s="562"/>
      <c r="C30" s="563"/>
      <c r="D30" s="564"/>
      <c r="E30" s="561" t="s">
        <v>409</v>
      </c>
      <c r="F30" s="565"/>
      <c r="G30" s="566"/>
      <c r="H30" s="558"/>
      <c r="I30" s="558"/>
      <c r="J30" s="558"/>
      <c r="K30" s="558"/>
      <c r="L30" s="558"/>
      <c r="M30" s="559"/>
      <c r="N30" s="559"/>
      <c r="O30" s="559"/>
    </row>
    <row r="31" spans="1:15" s="560" customFormat="1" ht="14">
      <c r="A31" s="567" t="s">
        <v>410</v>
      </c>
      <c r="B31" s="568" t="s">
        <v>411</v>
      </c>
      <c r="C31" s="569" t="s">
        <v>412</v>
      </c>
      <c r="D31" s="570"/>
      <c r="E31" s="571" t="s">
        <v>413</v>
      </c>
      <c r="F31" s="568" t="s">
        <v>411</v>
      </c>
      <c r="G31" s="569" t="s">
        <v>412</v>
      </c>
      <c r="H31" s="558"/>
      <c r="I31" s="558"/>
      <c r="J31" s="558"/>
      <c r="K31" s="558"/>
      <c r="L31" s="558"/>
      <c r="M31" s="559"/>
      <c r="N31" s="559"/>
      <c r="O31" s="559"/>
    </row>
    <row r="32" spans="1:15" s="560" customFormat="1" ht="14">
      <c r="A32" s="572" t="s">
        <v>414</v>
      </c>
      <c r="B32" s="573">
        <v>222</v>
      </c>
      <c r="C32" s="574">
        <v>0.76600000000000001</v>
      </c>
      <c r="D32" s="570"/>
      <c r="E32" s="575" t="s">
        <v>414</v>
      </c>
      <c r="F32" s="573">
        <v>122</v>
      </c>
      <c r="G32" s="576">
        <v>0.55000000000000004</v>
      </c>
      <c r="H32" s="558"/>
      <c r="I32" s="558"/>
      <c r="J32" s="558"/>
      <c r="K32" s="558"/>
      <c r="L32" s="558"/>
      <c r="M32" s="559"/>
      <c r="N32" s="559"/>
      <c r="O32" s="559"/>
    </row>
    <row r="33" spans="1:16" s="560" customFormat="1" ht="28">
      <c r="A33" s="572" t="s">
        <v>415</v>
      </c>
      <c r="B33" s="577">
        <v>66</v>
      </c>
      <c r="C33" s="576">
        <v>0.22800000000000001</v>
      </c>
      <c r="D33" s="570"/>
      <c r="E33" s="572" t="s">
        <v>415</v>
      </c>
      <c r="F33" s="577">
        <v>15</v>
      </c>
      <c r="G33" s="578">
        <v>0.22700000000000001</v>
      </c>
      <c r="H33" s="558"/>
      <c r="I33" s="558"/>
      <c r="J33" s="558"/>
      <c r="K33" s="558"/>
      <c r="L33" s="558"/>
      <c r="M33" s="559"/>
      <c r="N33" s="559"/>
      <c r="O33" s="559"/>
    </row>
    <row r="34" spans="1:16" s="560" customFormat="1" ht="14">
      <c r="A34" s="572" t="s">
        <v>416</v>
      </c>
      <c r="B34" s="573">
        <v>2</v>
      </c>
      <c r="C34" s="579">
        <v>7.0000000000000001E-3</v>
      </c>
      <c r="D34" s="580"/>
      <c r="E34" s="575" t="s">
        <v>416</v>
      </c>
      <c r="F34" s="573">
        <v>0</v>
      </c>
      <c r="G34" s="578">
        <v>0</v>
      </c>
      <c r="H34" s="558"/>
      <c r="I34" s="558"/>
      <c r="J34" s="558"/>
      <c r="K34" s="558"/>
      <c r="L34" s="558"/>
      <c r="M34" s="559"/>
      <c r="N34" s="559"/>
      <c r="O34" s="559"/>
    </row>
    <row r="35" spans="1:16" s="560" customFormat="1" ht="13">
      <c r="A35" s="554"/>
      <c r="B35" s="554"/>
      <c r="C35" s="554"/>
      <c r="D35" s="554"/>
      <c r="E35" s="554"/>
      <c r="F35" s="554"/>
      <c r="G35" s="554"/>
      <c r="H35" s="554"/>
      <c r="I35" s="554"/>
      <c r="J35" s="554"/>
      <c r="K35" s="554"/>
      <c r="L35" s="554"/>
      <c r="M35" s="553"/>
      <c r="N35" s="553"/>
      <c r="O35" s="553"/>
      <c r="P35" s="552"/>
    </row>
    <row r="36" spans="1:16" s="584" customFormat="1" ht="12.5">
      <c r="A36" s="581"/>
      <c r="B36" s="581"/>
      <c r="C36" s="581"/>
      <c r="D36" s="581"/>
      <c r="E36" s="581"/>
      <c r="F36" s="581"/>
      <c r="G36" s="581"/>
      <c r="H36" s="581"/>
      <c r="I36" s="581"/>
      <c r="J36" s="581"/>
      <c r="K36" s="581"/>
      <c r="L36" s="581"/>
      <c r="M36" s="582"/>
      <c r="N36" s="582"/>
      <c r="O36" s="583"/>
      <c r="P36" s="583"/>
    </row>
    <row r="37" spans="1:16" s="584" customFormat="1" ht="14">
      <c r="A37" s="585" t="s">
        <v>417</v>
      </c>
      <c r="B37" s="586"/>
      <c r="C37" s="586"/>
      <c r="D37" s="586"/>
      <c r="E37" s="586"/>
      <c r="F37" s="586"/>
      <c r="G37" s="587"/>
      <c r="H37" s="588"/>
      <c r="I37" s="588"/>
      <c r="J37" s="588"/>
      <c r="K37" s="588"/>
      <c r="L37" s="588"/>
      <c r="M37" s="589"/>
      <c r="N37" s="589"/>
    </row>
    <row r="38" spans="1:16" s="584" customFormat="1" ht="14">
      <c r="A38" s="637" t="s">
        <v>418</v>
      </c>
      <c r="B38" s="637"/>
      <c r="C38" s="637"/>
      <c r="D38" s="637"/>
      <c r="E38" s="637"/>
      <c r="F38" s="637"/>
      <c r="G38" s="637"/>
      <c r="H38" s="637"/>
      <c r="I38" s="637"/>
      <c r="J38" s="637"/>
      <c r="K38" s="637"/>
      <c r="L38" s="588"/>
      <c r="M38" s="589"/>
      <c r="N38" s="589"/>
    </row>
    <row r="39" spans="1:16" s="593" customFormat="1" ht="18">
      <c r="A39" s="590" t="s">
        <v>419</v>
      </c>
      <c r="B39" s="590"/>
      <c r="C39" s="590"/>
      <c r="D39" s="590"/>
      <c r="E39" s="590"/>
      <c r="F39" s="590"/>
      <c r="G39" s="591"/>
      <c r="H39" s="591"/>
      <c r="I39" s="591"/>
      <c r="J39" s="591"/>
      <c r="K39" s="591"/>
      <c r="L39" s="591"/>
      <c r="M39" s="592"/>
      <c r="N39" s="592"/>
    </row>
    <row r="40" spans="1:16" s="593" customFormat="1" ht="18">
      <c r="A40" s="590"/>
      <c r="B40" s="590"/>
      <c r="C40" s="590"/>
      <c r="D40" s="590"/>
      <c r="E40" s="590"/>
      <c r="F40" s="590"/>
      <c r="G40" s="591"/>
      <c r="H40" s="591"/>
      <c r="I40" s="591"/>
      <c r="J40" s="591"/>
      <c r="K40" s="591"/>
      <c r="L40" s="591"/>
      <c r="M40" s="592"/>
      <c r="N40" s="592"/>
    </row>
    <row r="41" spans="1:16" s="560" customFormat="1" ht="14">
      <c r="A41" s="637" t="s">
        <v>420</v>
      </c>
      <c r="B41" s="637"/>
      <c r="C41" s="637"/>
      <c r="D41" s="637"/>
      <c r="E41" s="637"/>
      <c r="F41" s="637"/>
      <c r="G41" s="637"/>
      <c r="H41" s="637"/>
      <c r="I41" s="637"/>
      <c r="J41" s="637"/>
      <c r="K41" s="637"/>
      <c r="L41" s="637"/>
      <c r="M41" s="594"/>
      <c r="N41" s="594"/>
    </row>
    <row r="42" spans="1:16">
      <c r="A42" s="638" t="s">
        <v>433</v>
      </c>
      <c r="B42" s="638"/>
      <c r="C42" s="638"/>
      <c r="D42" s="638"/>
      <c r="E42" s="638"/>
      <c r="F42" s="638"/>
      <c r="G42" s="638"/>
      <c r="H42" s="638"/>
      <c r="I42" s="638"/>
      <c r="J42" s="638"/>
      <c r="K42" s="638"/>
      <c r="L42" s="638"/>
      <c r="M42" s="620"/>
      <c r="N42" s="620"/>
      <c r="O42" s="620"/>
      <c r="P42" s="620"/>
    </row>
  </sheetData>
  <mergeCells count="5">
    <mergeCell ref="A27:L27"/>
    <mergeCell ref="M27:O27"/>
    <mergeCell ref="A38:K38"/>
    <mergeCell ref="A41:L41"/>
    <mergeCell ref="A42:L42"/>
  </mergeCells>
  <hyperlinks>
    <hyperlink ref="A16" r:id="rId1" xr:uid="{485CB0B6-6100-4295-8EE7-2E45C8E11C78}"/>
    <hyperlink ref="A24" r:id="rId2" xr:uid="{93C7458B-A8B6-43A4-8764-9A6C7896E8B8}"/>
  </hyperlinks>
  <pageMargins left="0.75" right="0.75" top="1" bottom="1" header="0.5" footer="0.5"/>
  <pageSetup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zoomScale="115" zoomScaleNormal="115" workbookViewId="0">
      <selection activeCell="D6" sqref="D6"/>
    </sheetView>
  </sheetViews>
  <sheetFormatPr defaultColWidth="9.1796875" defaultRowHeight="14.5"/>
  <cols>
    <col min="1" max="1" width="21.453125" customWidth="1"/>
    <col min="2" max="2" width="20.1796875" customWidth="1"/>
    <col min="3" max="3" width="37.7265625" bestFit="1" customWidth="1"/>
    <col min="4" max="4" width="69" customWidth="1"/>
    <col min="5" max="5" width="23" customWidth="1"/>
    <col min="6" max="6" width="3" customWidth="1"/>
    <col min="7" max="7" width="48.7265625" bestFit="1" customWidth="1"/>
  </cols>
  <sheetData>
    <row r="1" spans="1:7">
      <c r="A1" s="1" t="s">
        <v>274</v>
      </c>
    </row>
    <row r="2" spans="1:7" ht="15" thickBot="1"/>
    <row r="3" spans="1:7" ht="15" thickBot="1">
      <c r="A3" s="2" t="s">
        <v>72</v>
      </c>
      <c r="B3" s="3" t="s">
        <v>73</v>
      </c>
      <c r="C3" s="3" t="s">
        <v>269</v>
      </c>
      <c r="D3" s="3" t="s">
        <v>74</v>
      </c>
      <c r="E3" s="24" t="s">
        <v>149</v>
      </c>
      <c r="F3" s="1"/>
      <c r="G3" s="1"/>
    </row>
    <row r="4" spans="1:7">
      <c r="A4" t="s">
        <v>253</v>
      </c>
      <c r="B4" t="s">
        <v>361</v>
      </c>
      <c r="C4" t="s">
        <v>345</v>
      </c>
      <c r="D4" t="s">
        <v>431</v>
      </c>
    </row>
    <row r="5" spans="1:7">
      <c r="A5" t="s">
        <v>255</v>
      </c>
      <c r="B5" t="s">
        <v>361</v>
      </c>
      <c r="C5" t="s">
        <v>430</v>
      </c>
      <c r="D5" t="s">
        <v>431</v>
      </c>
    </row>
    <row r="6" spans="1:7">
      <c r="A6" s="27" t="s">
        <v>267</v>
      </c>
    </row>
  </sheetData>
  <phoneticPr fontId="17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DDB0-ACE3-4482-B1C4-B165565F3972}">
  <dimension ref="A1:M67"/>
  <sheetViews>
    <sheetView showGridLines="0" showWhiteSpace="0" view="pageBreakPreview" zoomScale="80" zoomScaleNormal="100" zoomScaleSheetLayoutView="80" zoomScalePageLayoutView="66" workbookViewId="0">
      <selection activeCell="E5" sqref="E5"/>
    </sheetView>
  </sheetViews>
  <sheetFormatPr defaultRowHeight="14.5" outlineLevelRow="1"/>
  <cols>
    <col min="1" max="1" width="22.7265625" customWidth="1"/>
    <col min="2" max="2" width="16" customWidth="1"/>
    <col min="3" max="3" width="22.7265625" customWidth="1"/>
    <col min="4" max="4" width="25.453125" customWidth="1"/>
    <col min="5" max="5" width="31.453125" customWidth="1"/>
    <col min="6" max="6" width="56.54296875" customWidth="1"/>
    <col min="7" max="8" width="22.7265625" customWidth="1"/>
    <col min="9" max="9" width="26" customWidth="1"/>
    <col min="10" max="11" width="22.7265625" customWidth="1"/>
  </cols>
  <sheetData>
    <row r="1" spans="1:13" ht="69.75" customHeight="1">
      <c r="A1" s="292" t="s">
        <v>249</v>
      </c>
      <c r="B1" s="235"/>
      <c r="C1" s="235"/>
      <c r="D1" s="235"/>
      <c r="E1" s="235"/>
      <c r="F1" s="235"/>
      <c r="G1" s="235"/>
      <c r="H1" s="235"/>
      <c r="I1" s="235"/>
      <c r="J1" s="235"/>
      <c r="K1" s="235"/>
    </row>
    <row r="2" spans="1:13" ht="99" customHeight="1">
      <c r="A2" s="293" t="s">
        <v>157</v>
      </c>
      <c r="B2" s="293" t="s">
        <v>158</v>
      </c>
      <c r="C2" s="293" t="s">
        <v>159</v>
      </c>
      <c r="D2" s="293" t="s">
        <v>160</v>
      </c>
      <c r="E2" s="293" t="s">
        <v>161</v>
      </c>
      <c r="F2" s="293" t="s">
        <v>162</v>
      </c>
      <c r="G2" s="293" t="s">
        <v>163</v>
      </c>
      <c r="H2" s="293" t="s">
        <v>164</v>
      </c>
      <c r="I2" s="293" t="s">
        <v>165</v>
      </c>
      <c r="J2" s="293" t="s">
        <v>166</v>
      </c>
      <c r="K2" s="293" t="s">
        <v>250</v>
      </c>
      <c r="L2" s="236"/>
      <c r="M2" s="236"/>
    </row>
    <row r="3" spans="1:13" s="294" customFormat="1" ht="41.25" customHeight="1">
      <c r="A3" s="295" t="s">
        <v>359</v>
      </c>
      <c r="B3" s="296"/>
      <c r="C3" s="324" t="s">
        <v>361</v>
      </c>
      <c r="D3" s="238" t="s">
        <v>345</v>
      </c>
      <c r="E3" s="296" t="s">
        <v>192</v>
      </c>
      <c r="F3" s="324" t="s">
        <v>363</v>
      </c>
      <c r="G3" s="298" t="s">
        <v>253</v>
      </c>
      <c r="H3" s="299"/>
      <c r="I3" s="298" t="s">
        <v>168</v>
      </c>
      <c r="J3" s="300"/>
      <c r="K3" s="300"/>
    </row>
    <row r="4" spans="1:13" s="294" customFormat="1" ht="41.25" customHeight="1">
      <c r="A4" s="295" t="s">
        <v>359</v>
      </c>
      <c r="B4" s="296"/>
      <c r="C4" s="324" t="s">
        <v>361</v>
      </c>
      <c r="D4" s="238" t="s">
        <v>364</v>
      </c>
      <c r="E4" s="296" t="s">
        <v>192</v>
      </c>
      <c r="F4" s="324" t="s">
        <v>363</v>
      </c>
      <c r="G4" s="298" t="s">
        <v>255</v>
      </c>
      <c r="H4" s="299"/>
      <c r="I4" s="298" t="s">
        <v>168</v>
      </c>
      <c r="J4" s="300"/>
      <c r="K4" s="300"/>
    </row>
    <row r="5" spans="1:13" s="294" customFormat="1" ht="41.25" customHeight="1">
      <c r="A5" s="295"/>
      <c r="B5" s="296"/>
      <c r="C5" s="325"/>
      <c r="D5" s="326"/>
      <c r="E5" s="296"/>
      <c r="F5" s="325"/>
      <c r="G5" s="298"/>
      <c r="H5" s="299"/>
      <c r="I5" s="298"/>
      <c r="J5" s="300"/>
      <c r="K5" s="300"/>
    </row>
    <row r="6" spans="1:13" s="294" customFormat="1" ht="41.25" customHeight="1">
      <c r="A6" s="295"/>
      <c r="B6" s="296"/>
      <c r="C6" s="297"/>
      <c r="D6" s="296"/>
      <c r="E6" s="296"/>
      <c r="F6" s="297"/>
      <c r="G6" s="298"/>
      <c r="H6" s="299"/>
      <c r="I6" s="298"/>
      <c r="J6" s="300"/>
      <c r="K6" s="300"/>
    </row>
    <row r="7" spans="1:13" s="294" customFormat="1" ht="41.25" customHeight="1">
      <c r="A7" s="295"/>
      <c r="B7" s="296"/>
      <c r="C7" s="297"/>
      <c r="D7" s="296"/>
      <c r="E7" s="296"/>
      <c r="F7" s="297"/>
      <c r="G7" s="298"/>
      <c r="H7" s="299"/>
      <c r="I7" s="298"/>
      <c r="J7" s="300"/>
      <c r="K7" s="300"/>
    </row>
    <row r="8" spans="1:13" s="294" customFormat="1" ht="41.25" customHeight="1">
      <c r="A8" s="295"/>
      <c r="B8" s="296"/>
      <c r="C8" s="297"/>
      <c r="D8" s="296"/>
      <c r="E8" s="296"/>
      <c r="F8" s="297"/>
      <c r="G8" s="298"/>
      <c r="H8" s="299"/>
      <c r="I8" s="298"/>
      <c r="J8" s="300"/>
      <c r="K8" s="300"/>
    </row>
    <row r="9" spans="1:13" s="294" customFormat="1" ht="41.25" customHeight="1">
      <c r="A9" s="295"/>
      <c r="B9" s="296"/>
      <c r="C9" s="297"/>
      <c r="D9" s="296"/>
      <c r="E9" s="296"/>
      <c r="F9" s="297"/>
      <c r="G9" s="298"/>
      <c r="H9" s="299"/>
      <c r="I9" s="298"/>
      <c r="J9" s="300"/>
      <c r="K9" s="300"/>
    </row>
    <row r="10" spans="1:13" s="294" customFormat="1" ht="41.25" customHeight="1">
      <c r="A10" s="295"/>
      <c r="B10" s="296"/>
      <c r="C10" s="297"/>
      <c r="D10" s="296"/>
      <c r="E10" s="296"/>
      <c r="F10" s="297"/>
      <c r="G10" s="298"/>
      <c r="H10" s="299"/>
      <c r="I10" s="298"/>
      <c r="J10" s="300"/>
      <c r="K10" s="300"/>
    </row>
    <row r="11" spans="1:13" s="294" customFormat="1" ht="41.25" customHeight="1">
      <c r="A11" s="295"/>
      <c r="B11" s="296"/>
      <c r="C11" s="297"/>
      <c r="D11" s="296"/>
      <c r="E11" s="296"/>
      <c r="F11" s="297"/>
      <c r="G11" s="298"/>
      <c r="H11" s="299"/>
      <c r="I11" s="298"/>
      <c r="J11" s="300"/>
      <c r="K11" s="300"/>
    </row>
    <row r="12" spans="1:13" s="294" customFormat="1" ht="41.25" customHeight="1">
      <c r="A12" s="295"/>
      <c r="B12" s="296"/>
      <c r="C12" s="297"/>
      <c r="D12" s="296"/>
      <c r="E12" s="296"/>
      <c r="F12" s="297"/>
      <c r="G12" s="298"/>
      <c r="H12" s="299"/>
      <c r="I12" s="298"/>
      <c r="J12" s="300"/>
      <c r="K12" s="300"/>
    </row>
    <row r="13" spans="1:13" s="294" customFormat="1" ht="41.25" customHeight="1">
      <c r="A13" s="295"/>
      <c r="B13" s="296"/>
      <c r="C13" s="297"/>
      <c r="D13" s="296"/>
      <c r="E13" s="296"/>
      <c r="F13" s="297"/>
      <c r="G13" s="298"/>
      <c r="H13" s="299"/>
      <c r="I13" s="298"/>
      <c r="J13" s="300"/>
      <c r="K13" s="300"/>
    </row>
    <row r="14" spans="1:13" s="294" customFormat="1" ht="41.25" customHeight="1">
      <c r="A14" s="295"/>
      <c r="B14" s="296"/>
      <c r="C14" s="297"/>
      <c r="D14" s="296"/>
      <c r="E14" s="296"/>
      <c r="F14" s="297"/>
      <c r="G14" s="298"/>
      <c r="H14" s="299"/>
      <c r="I14" s="298"/>
      <c r="J14" s="300"/>
      <c r="K14" s="300"/>
    </row>
    <row r="15" spans="1:13" s="294" customFormat="1" ht="41.25" customHeight="1">
      <c r="A15" s="295"/>
      <c r="B15" s="296"/>
      <c r="C15" s="297"/>
      <c r="D15" s="296"/>
      <c r="E15" s="296"/>
      <c r="F15" s="297"/>
      <c r="G15" s="298"/>
      <c r="H15" s="299"/>
      <c r="I15" s="298"/>
      <c r="J15" s="300"/>
      <c r="K15" s="300"/>
    </row>
    <row r="16" spans="1:13" s="294" customFormat="1" ht="41.25" customHeight="1">
      <c r="A16" s="295"/>
      <c r="B16" s="296"/>
      <c r="C16" s="297"/>
      <c r="D16" s="296"/>
      <c r="E16" s="296"/>
      <c r="F16" s="297"/>
      <c r="G16" s="298"/>
      <c r="H16" s="299"/>
      <c r="I16" s="298"/>
      <c r="J16" s="300"/>
      <c r="K16" s="300"/>
    </row>
    <row r="17" spans="1:11" s="294" customFormat="1" ht="41.25" customHeight="1">
      <c r="A17" s="295"/>
      <c r="B17" s="296"/>
      <c r="C17" s="297"/>
      <c r="D17" s="296"/>
      <c r="E17" s="296"/>
      <c r="F17" s="297"/>
      <c r="G17" s="298"/>
      <c r="H17" s="299"/>
      <c r="I17" s="298"/>
      <c r="J17" s="300"/>
      <c r="K17" s="300"/>
    </row>
    <row r="18" spans="1:11" s="294" customFormat="1" ht="41.25" customHeight="1">
      <c r="A18" s="295"/>
      <c r="B18" s="296"/>
      <c r="C18" s="297"/>
      <c r="D18" s="296"/>
      <c r="E18" s="296"/>
      <c r="F18" s="297"/>
      <c r="G18" s="298"/>
      <c r="H18" s="299"/>
      <c r="I18" s="298"/>
      <c r="J18" s="300"/>
      <c r="K18" s="300"/>
    </row>
    <row r="19" spans="1:11" s="294" customFormat="1" ht="41.25" customHeight="1">
      <c r="A19" s="295"/>
      <c r="B19" s="296"/>
      <c r="C19" s="297"/>
      <c r="D19" s="296"/>
      <c r="E19" s="296"/>
      <c r="F19" s="297"/>
      <c r="G19" s="298"/>
      <c r="H19" s="299"/>
      <c r="I19" s="298"/>
      <c r="J19" s="300"/>
      <c r="K19" s="300"/>
    </row>
    <row r="20" spans="1:11" s="294" customFormat="1" ht="41.25" customHeight="1">
      <c r="A20" s="295"/>
      <c r="B20" s="296"/>
      <c r="C20" s="297"/>
      <c r="D20" s="296"/>
      <c r="E20" s="296"/>
      <c r="F20" s="297"/>
      <c r="G20" s="298"/>
      <c r="H20" s="299"/>
      <c r="I20" s="298"/>
      <c r="J20" s="300"/>
      <c r="K20" s="300"/>
    </row>
    <row r="21" spans="1:11" s="294" customFormat="1" ht="41.25" customHeight="1">
      <c r="A21" s="295"/>
      <c r="B21" s="296"/>
      <c r="C21" s="297"/>
      <c r="D21" s="296"/>
      <c r="E21" s="296"/>
      <c r="F21" s="297"/>
      <c r="G21" s="298"/>
      <c r="H21" s="299"/>
      <c r="I21" s="298"/>
      <c r="J21" s="300"/>
      <c r="K21" s="300"/>
    </row>
    <row r="22" spans="1:11" s="294" customFormat="1" ht="41.25" customHeight="1">
      <c r="A22" s="295"/>
      <c r="B22" s="296"/>
      <c r="C22" s="297"/>
      <c r="D22" s="296"/>
      <c r="E22" s="296"/>
      <c r="F22" s="297"/>
      <c r="G22" s="298"/>
      <c r="H22" s="299"/>
      <c r="I22" s="298"/>
      <c r="J22" s="300"/>
      <c r="K22" s="300"/>
    </row>
    <row r="23" spans="1:11" s="294" customFormat="1" ht="41.25" customHeight="1">
      <c r="A23" s="295"/>
      <c r="B23" s="296"/>
      <c r="C23" s="297"/>
      <c r="D23" s="296"/>
      <c r="E23" s="296"/>
      <c r="F23" s="297"/>
      <c r="G23" s="298"/>
      <c r="H23" s="299"/>
      <c r="I23" s="298"/>
      <c r="J23" s="300"/>
      <c r="K23" s="300"/>
    </row>
    <row r="24" spans="1:11" ht="41.25" customHeight="1">
      <c r="A24" s="237"/>
      <c r="B24" s="238"/>
      <c r="C24" s="239"/>
      <c r="D24" s="238"/>
      <c r="E24" s="238"/>
      <c r="F24" s="239"/>
      <c r="G24" s="240"/>
      <c r="H24" s="242"/>
      <c r="I24" s="240"/>
      <c r="J24" s="241"/>
      <c r="K24" s="241"/>
    </row>
    <row r="25" spans="1:11" ht="41.25" customHeight="1">
      <c r="A25" s="237"/>
      <c r="B25" s="238"/>
      <c r="C25" s="239"/>
      <c r="D25" s="238"/>
      <c r="E25" s="238"/>
      <c r="F25" s="239"/>
      <c r="G25" s="240"/>
      <c r="H25" s="242"/>
      <c r="I25" s="240"/>
      <c r="J25" s="241"/>
      <c r="K25" s="241"/>
    </row>
    <row r="26" spans="1:11" ht="17.5">
      <c r="A26" s="301" t="s">
        <v>251</v>
      </c>
      <c r="B26" s="243"/>
      <c r="C26" s="243"/>
      <c r="D26" s="244"/>
      <c r="E26" s="238"/>
      <c r="F26" s="239"/>
      <c r="G26" s="240"/>
      <c r="H26" s="242"/>
      <c r="I26" s="240"/>
      <c r="J26" s="241"/>
      <c r="K26" s="241"/>
    </row>
    <row r="27" spans="1:11" outlineLevel="1"/>
    <row r="28" spans="1:11" outlineLevel="1"/>
    <row r="29" spans="1:11" ht="26" outlineLevel="1">
      <c r="A29" s="245" t="s">
        <v>161</v>
      </c>
      <c r="B29" s="245" t="s">
        <v>173</v>
      </c>
      <c r="C29" s="245" t="s">
        <v>174</v>
      </c>
      <c r="D29" s="245" t="s">
        <v>250</v>
      </c>
    </row>
    <row r="30" spans="1:11" outlineLevel="1">
      <c r="A30" t="s">
        <v>175</v>
      </c>
      <c r="B30" s="236" t="s">
        <v>187</v>
      </c>
      <c r="C30" s="236" t="s">
        <v>168</v>
      </c>
      <c r="D30" s="236" t="s">
        <v>176</v>
      </c>
    </row>
    <row r="31" spans="1:11" outlineLevel="1">
      <c r="A31" t="s">
        <v>177</v>
      </c>
      <c r="B31" s="236" t="s">
        <v>189</v>
      </c>
      <c r="C31" s="236" t="s">
        <v>178</v>
      </c>
      <c r="D31" s="236" t="s">
        <v>179</v>
      </c>
    </row>
    <row r="32" spans="1:11" outlineLevel="1">
      <c r="A32" t="s">
        <v>180</v>
      </c>
      <c r="B32" s="236" t="s">
        <v>190</v>
      </c>
      <c r="C32" s="236" t="s">
        <v>170</v>
      </c>
      <c r="D32" s="236" t="s">
        <v>181</v>
      </c>
    </row>
    <row r="33" spans="1:4" outlineLevel="1">
      <c r="A33" t="s">
        <v>182</v>
      </c>
      <c r="B33" s="236" t="s">
        <v>191</v>
      </c>
      <c r="C33" s="236"/>
      <c r="D33" s="236" t="s">
        <v>183</v>
      </c>
    </row>
    <row r="34" spans="1:4" outlineLevel="1">
      <c r="A34" t="s">
        <v>184</v>
      </c>
      <c r="B34" s="236" t="s">
        <v>193</v>
      </c>
      <c r="C34" s="236"/>
      <c r="D34" s="236" t="s">
        <v>185</v>
      </c>
    </row>
    <row r="35" spans="1:4" outlineLevel="1">
      <c r="A35" s="236" t="s">
        <v>186</v>
      </c>
      <c r="B35" s="236" t="s">
        <v>195</v>
      </c>
      <c r="C35" s="236"/>
      <c r="D35" s="235"/>
    </row>
    <row r="36" spans="1:4" outlineLevel="1">
      <c r="A36" s="236" t="s">
        <v>188</v>
      </c>
      <c r="B36" s="236" t="s">
        <v>252</v>
      </c>
      <c r="C36" s="236"/>
      <c r="D36" s="235"/>
    </row>
    <row r="37" spans="1:4" outlineLevel="1">
      <c r="A37" s="236" t="s">
        <v>169</v>
      </c>
      <c r="B37" s="236" t="s">
        <v>253</v>
      </c>
      <c r="C37" s="236"/>
      <c r="D37" s="235"/>
    </row>
    <row r="38" spans="1:4" outlineLevel="1">
      <c r="A38" s="236" t="s">
        <v>172</v>
      </c>
      <c r="B38" s="236" t="s">
        <v>254</v>
      </c>
      <c r="C38" s="236"/>
      <c r="D38" s="235"/>
    </row>
    <row r="39" spans="1:4" outlineLevel="1">
      <c r="A39" s="236" t="s">
        <v>192</v>
      </c>
      <c r="B39" s="236" t="s">
        <v>255</v>
      </c>
      <c r="C39" s="236"/>
      <c r="D39" s="235"/>
    </row>
    <row r="40" spans="1:4" outlineLevel="1">
      <c r="A40" s="236" t="s">
        <v>194</v>
      </c>
      <c r="B40" s="236" t="s">
        <v>256</v>
      </c>
      <c r="C40" s="236"/>
      <c r="D40" s="235"/>
    </row>
    <row r="41" spans="1:4" outlineLevel="1">
      <c r="A41" s="236" t="s">
        <v>196</v>
      </c>
      <c r="B41" s="236" t="s">
        <v>257</v>
      </c>
      <c r="C41" s="236"/>
      <c r="D41" s="235"/>
    </row>
    <row r="42" spans="1:4" outlineLevel="1">
      <c r="A42" s="236" t="s">
        <v>171</v>
      </c>
      <c r="B42" s="236" t="s">
        <v>209</v>
      </c>
      <c r="C42" s="236"/>
      <c r="D42" s="235"/>
    </row>
    <row r="43" spans="1:4" outlineLevel="1">
      <c r="A43" s="236" t="s">
        <v>197</v>
      </c>
      <c r="B43" s="236" t="s">
        <v>211</v>
      </c>
      <c r="C43" s="236"/>
      <c r="D43" s="235"/>
    </row>
    <row r="44" spans="1:4" outlineLevel="1">
      <c r="A44" s="236" t="s">
        <v>198</v>
      </c>
      <c r="B44" s="236" t="s">
        <v>213</v>
      </c>
      <c r="C44" s="236"/>
      <c r="D44" s="235"/>
    </row>
    <row r="45" spans="1:4" outlineLevel="1">
      <c r="A45" s="236" t="s">
        <v>199</v>
      </c>
      <c r="B45" s="236" t="s">
        <v>214</v>
      </c>
      <c r="C45" s="236"/>
      <c r="D45" s="235"/>
    </row>
    <row r="46" spans="1:4" outlineLevel="1">
      <c r="A46" s="236" t="s">
        <v>200</v>
      </c>
      <c r="B46" s="236" t="s">
        <v>216</v>
      </c>
      <c r="C46" s="236"/>
      <c r="D46" s="235"/>
    </row>
    <row r="47" spans="1:4" outlineLevel="1">
      <c r="A47" s="236" t="s">
        <v>202</v>
      </c>
      <c r="B47" s="236" t="s">
        <v>218</v>
      </c>
      <c r="C47" s="236"/>
      <c r="D47" s="235"/>
    </row>
    <row r="48" spans="1:4" outlineLevel="1">
      <c r="A48" s="236" t="s">
        <v>204</v>
      </c>
      <c r="B48" s="236" t="s">
        <v>220</v>
      </c>
      <c r="C48" s="236"/>
      <c r="D48" s="235"/>
    </row>
    <row r="49" spans="1:4" outlineLevel="1">
      <c r="A49" s="236" t="s">
        <v>206</v>
      </c>
      <c r="B49" s="236" t="s">
        <v>222</v>
      </c>
      <c r="C49" s="236"/>
      <c r="D49" s="235"/>
    </row>
    <row r="50" spans="1:4" outlineLevel="1">
      <c r="A50" s="236" t="s">
        <v>208</v>
      </c>
      <c r="B50" s="236" t="s">
        <v>224</v>
      </c>
      <c r="C50" s="236"/>
      <c r="D50" s="235"/>
    </row>
    <row r="51" spans="1:4" outlineLevel="1">
      <c r="A51" s="236" t="s">
        <v>210</v>
      </c>
      <c r="B51" s="236" t="s">
        <v>226</v>
      </c>
      <c r="C51" s="236"/>
      <c r="D51" s="235"/>
    </row>
    <row r="52" spans="1:4" outlineLevel="1">
      <c r="A52" s="236" t="s">
        <v>212</v>
      </c>
      <c r="B52" s="236" t="s">
        <v>228</v>
      </c>
      <c r="C52" s="236"/>
      <c r="D52" s="235"/>
    </row>
    <row r="53" spans="1:4" outlineLevel="1">
      <c r="A53" s="236" t="s">
        <v>167</v>
      </c>
      <c r="B53" s="236" t="s">
        <v>258</v>
      </c>
      <c r="C53" s="236"/>
      <c r="D53" s="235"/>
    </row>
    <row r="54" spans="1:4" outlineLevel="1">
      <c r="A54" s="236" t="s">
        <v>215</v>
      </c>
      <c r="B54" s="236" t="s">
        <v>259</v>
      </c>
      <c r="C54" s="236"/>
      <c r="D54" s="235"/>
    </row>
    <row r="55" spans="1:4" outlineLevel="1">
      <c r="A55" s="236" t="s">
        <v>217</v>
      </c>
      <c r="B55" s="236" t="s">
        <v>260</v>
      </c>
      <c r="C55" s="236"/>
      <c r="D55" s="235"/>
    </row>
    <row r="56" spans="1:4" outlineLevel="1">
      <c r="A56" s="236" t="s">
        <v>219</v>
      </c>
      <c r="B56" s="236" t="s">
        <v>261</v>
      </c>
      <c r="C56" s="236"/>
      <c r="D56" s="246"/>
    </row>
    <row r="57" spans="1:4" outlineLevel="1">
      <c r="A57" s="236" t="s">
        <v>221</v>
      </c>
      <c r="B57" s="247" t="s">
        <v>262</v>
      </c>
      <c r="C57" s="236"/>
      <c r="D57" s="246"/>
    </row>
    <row r="58" spans="1:4" outlineLevel="1">
      <c r="A58" s="236" t="s">
        <v>223</v>
      </c>
      <c r="B58" s="247" t="s">
        <v>263</v>
      </c>
      <c r="C58" s="236"/>
      <c r="D58" s="246"/>
    </row>
    <row r="59" spans="1:4" outlineLevel="1">
      <c r="A59" s="236" t="s">
        <v>225</v>
      </c>
      <c r="B59" s="247" t="s">
        <v>264</v>
      </c>
      <c r="C59" s="236"/>
      <c r="D59" s="246"/>
    </row>
    <row r="60" spans="1:4" outlineLevel="1">
      <c r="A60" s="236" t="s">
        <v>227</v>
      </c>
      <c r="B60" s="247" t="s">
        <v>265</v>
      </c>
      <c r="C60" s="236"/>
      <c r="D60" s="246"/>
    </row>
    <row r="61" spans="1:4" outlineLevel="1">
      <c r="A61" s="236" t="s">
        <v>229</v>
      </c>
      <c r="B61" s="247" t="s">
        <v>266</v>
      </c>
      <c r="C61" s="236"/>
      <c r="D61" s="246"/>
    </row>
    <row r="62" spans="1:4" outlineLevel="1">
      <c r="A62" s="236" t="s">
        <v>230</v>
      </c>
      <c r="B62" s="247">
        <v>2023</v>
      </c>
      <c r="C62" s="236"/>
      <c r="D62" s="246"/>
    </row>
    <row r="63" spans="1:4" outlineLevel="1">
      <c r="A63" s="236" t="s">
        <v>231</v>
      </c>
      <c r="B63" s="247">
        <v>2024</v>
      </c>
    </row>
    <row r="64" spans="1:4" outlineLevel="1">
      <c r="A64" s="236" t="s">
        <v>232</v>
      </c>
      <c r="B64" s="247">
        <v>2025</v>
      </c>
    </row>
    <row r="65" spans="1:2" outlineLevel="1">
      <c r="A65" s="236" t="s">
        <v>233</v>
      </c>
      <c r="B65" s="247">
        <v>2026</v>
      </c>
    </row>
    <row r="66" spans="1:2" outlineLevel="1">
      <c r="A66" s="236" t="s">
        <v>234</v>
      </c>
      <c r="B66" s="247">
        <v>2027</v>
      </c>
    </row>
    <row r="67" spans="1:2" outlineLevel="1">
      <c r="A67" s="236" t="s">
        <v>235</v>
      </c>
      <c r="B67" s="247">
        <v>2028</v>
      </c>
    </row>
  </sheetData>
  <dataValidations count="5">
    <dataValidation type="list" allowBlank="1" showInputMessage="1" showErrorMessage="1" sqref="E30:E1048576 K30:K1048576 I30:I1048576 G30:G1048576" xr:uid="{372B7351-653F-45BD-8F8A-754246031564}">
      <formula1>#REF!</formula1>
    </dataValidation>
    <dataValidation type="list" allowBlank="1" showInputMessage="1" showErrorMessage="1" sqref="K3:K25" xr:uid="{97F1E811-B92A-489A-8F15-5B3DEBDC890C}">
      <formula1>$D$30:$D$34</formula1>
    </dataValidation>
    <dataValidation type="list" allowBlank="1" showInputMessage="1" showErrorMessage="1" sqref="I3:I25" xr:uid="{9D95E7F7-3F5F-4BF9-9F8A-6B918793C1FE}">
      <formula1>$C$30:$C$32</formula1>
    </dataValidation>
    <dataValidation type="list" allowBlank="1" showInputMessage="1" showErrorMessage="1" sqref="G3:G25" xr:uid="{D84B6492-3BCF-4C96-A6C8-50B9E5910BE7}">
      <formula1>$B$30:$B$67</formula1>
    </dataValidation>
    <dataValidation type="list" allowBlank="1" showInputMessage="1" showErrorMessage="1" sqref="E3:E25" xr:uid="{8799A559-773F-4E06-8F80-A7DAE3CE9BD4}">
      <formula1>$A$30:$A$67</formula1>
    </dataValidation>
  </dataValidations>
  <pageMargins left="0.3" right="0.36" top="0.75" bottom="0.75" header="0.3" footer="0.3"/>
  <pageSetup scale="43"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R74"/>
  <sheetViews>
    <sheetView zoomScaleNormal="100" workbookViewId="0">
      <pane xSplit="1" ySplit="3" topLeftCell="P15" activePane="bottomRight" state="frozen"/>
      <selection activeCell="W52" sqref="W52"/>
      <selection pane="topRight" activeCell="W52" sqref="W52"/>
      <selection pane="bottomLeft" activeCell="W52" sqref="W52"/>
      <selection pane="bottomRight" activeCell="AA31" sqref="AA31"/>
    </sheetView>
  </sheetViews>
  <sheetFormatPr defaultRowHeight="14.5" outlineLevelRow="1" outlineLevelCol="1"/>
  <cols>
    <col min="1" max="1" width="33.81640625" customWidth="1"/>
    <col min="2" max="5" width="9.26953125" hidden="1" customWidth="1" outlineLevel="1"/>
    <col min="6" max="6" width="9.26953125" hidden="1" customWidth="1" collapsed="1"/>
    <col min="7" max="10" width="9.1796875" hidden="1" customWidth="1" outlineLevel="1"/>
    <col min="11" max="11" width="0" hidden="1" customWidth="1" collapsed="1"/>
    <col min="12" max="15" width="8.7265625" hidden="1" customWidth="1" outlineLevel="1"/>
    <col min="16" max="16" width="9.1796875" customWidth="1" collapsed="1"/>
    <col min="17" max="21" width="9.1796875" customWidth="1"/>
    <col min="22" max="25" width="9.1796875" customWidth="1" outlineLevel="1"/>
    <col min="26" max="30" width="9.1796875" customWidth="1"/>
    <col min="31" max="35" width="9.1796875" hidden="1" customWidth="1" outlineLevel="1"/>
    <col min="36" max="36" width="9.1796875" collapsed="1"/>
  </cols>
  <sheetData>
    <row r="1" spans="1:35">
      <c r="A1" s="1" t="s">
        <v>271</v>
      </c>
      <c r="B1" s="86"/>
      <c r="C1" s="86"/>
      <c r="D1" s="86"/>
      <c r="E1" s="86"/>
      <c r="F1" s="86"/>
      <c r="G1" s="86"/>
      <c r="H1" s="86"/>
      <c r="I1" s="86"/>
      <c r="J1" s="86"/>
      <c r="K1" s="86"/>
      <c r="L1" s="86"/>
      <c r="M1" s="86"/>
      <c r="N1" s="86"/>
      <c r="O1" s="86"/>
    </row>
    <row r="2" spans="1:35" ht="15" thickBot="1">
      <c r="A2" s="260" t="s">
        <v>133</v>
      </c>
    </row>
    <row r="3" spans="1:35" ht="15" thickBot="1">
      <c r="A3" s="46"/>
      <c r="B3" s="132" t="s">
        <v>201</v>
      </c>
      <c r="C3" s="132" t="s">
        <v>203</v>
      </c>
      <c r="D3" s="132" t="s">
        <v>205</v>
      </c>
      <c r="E3" s="132" t="s">
        <v>207</v>
      </c>
      <c r="F3" s="54">
        <v>2022</v>
      </c>
      <c r="G3" s="132" t="s">
        <v>209</v>
      </c>
      <c r="H3" s="132" t="s">
        <v>211</v>
      </c>
      <c r="I3" s="132" t="s">
        <v>213</v>
      </c>
      <c r="J3" s="132" t="s">
        <v>214</v>
      </c>
      <c r="K3" s="54">
        <v>2023</v>
      </c>
      <c r="L3" s="158" t="s">
        <v>216</v>
      </c>
      <c r="M3" s="159" t="s">
        <v>218</v>
      </c>
      <c r="N3" s="159" t="s">
        <v>220</v>
      </c>
      <c r="O3" s="159" t="s">
        <v>222</v>
      </c>
      <c r="P3" s="54">
        <v>2024</v>
      </c>
      <c r="Q3" s="159" t="s">
        <v>224</v>
      </c>
      <c r="R3" s="159" t="s">
        <v>226</v>
      </c>
      <c r="S3" s="159" t="s">
        <v>228</v>
      </c>
      <c r="T3" s="159" t="s">
        <v>258</v>
      </c>
      <c r="U3" s="54">
        <v>2025</v>
      </c>
      <c r="V3" s="26" t="s">
        <v>426</v>
      </c>
      <c r="W3" s="132" t="s">
        <v>427</v>
      </c>
      <c r="X3" s="132" t="s">
        <v>428</v>
      </c>
      <c r="Y3" s="4" t="s">
        <v>429</v>
      </c>
      <c r="Z3" s="54" t="s">
        <v>2</v>
      </c>
      <c r="AA3" s="4" t="s">
        <v>3</v>
      </c>
      <c r="AB3" s="132" t="s">
        <v>4</v>
      </c>
      <c r="AC3" s="54" t="s">
        <v>5</v>
      </c>
      <c r="AD3" s="4" t="s">
        <v>6</v>
      </c>
      <c r="AE3" s="54" t="s">
        <v>103</v>
      </c>
      <c r="AF3" s="54" t="s">
        <v>104</v>
      </c>
      <c r="AG3" s="54" t="s">
        <v>105</v>
      </c>
      <c r="AH3" s="54" t="s">
        <v>106</v>
      </c>
      <c r="AI3" s="54" t="s">
        <v>107</v>
      </c>
    </row>
    <row r="4" spans="1:35" ht="5.15" customHeight="1">
      <c r="A4" s="7"/>
      <c r="B4" s="62"/>
      <c r="C4" s="62"/>
      <c r="D4" s="62"/>
      <c r="E4" s="62"/>
      <c r="F4" s="55"/>
      <c r="G4" s="62"/>
      <c r="H4" s="62"/>
      <c r="I4" s="62"/>
      <c r="J4" s="62"/>
      <c r="K4" s="72"/>
      <c r="L4" s="130"/>
      <c r="M4" s="62"/>
      <c r="N4" s="62"/>
      <c r="O4" s="62"/>
      <c r="P4" s="55"/>
      <c r="Q4" s="62"/>
      <c r="R4" s="62"/>
      <c r="S4" s="62"/>
      <c r="T4" s="62"/>
      <c r="U4" s="68"/>
      <c r="V4" s="72"/>
      <c r="W4" s="8"/>
      <c r="X4" s="8"/>
      <c r="Y4" s="114"/>
      <c r="Z4" s="68"/>
      <c r="AA4" s="114"/>
      <c r="AB4" s="62"/>
      <c r="AC4" s="68"/>
      <c r="AD4" s="55"/>
      <c r="AE4" s="68"/>
      <c r="AF4" s="68"/>
      <c r="AG4" s="68"/>
      <c r="AH4" s="68"/>
      <c r="AI4" s="68"/>
    </row>
    <row r="5" spans="1:35" hidden="1" outlineLevel="1">
      <c r="A5" t="s">
        <v>152</v>
      </c>
      <c r="B5" s="19"/>
      <c r="C5" s="19"/>
      <c r="D5" s="19"/>
      <c r="E5" s="19"/>
      <c r="F5" s="56"/>
      <c r="G5" s="19">
        <v>0</v>
      </c>
      <c r="H5" s="19">
        <v>0</v>
      </c>
      <c r="I5" s="19">
        <v>0</v>
      </c>
      <c r="J5" s="19">
        <v>0</v>
      </c>
      <c r="K5" s="73">
        <f>SUM(G5:J5)</f>
        <v>0</v>
      </c>
      <c r="L5" s="73"/>
      <c r="M5" s="19"/>
      <c r="N5" s="19"/>
      <c r="O5" s="19"/>
      <c r="P5" s="56">
        <v>0</v>
      </c>
      <c r="Q5" s="19"/>
      <c r="R5" s="19"/>
      <c r="S5" s="19"/>
      <c r="T5" s="19"/>
      <c r="U5" s="56">
        <f>REVENUES!F20</f>
        <v>0</v>
      </c>
      <c r="V5" s="73"/>
      <c r="W5" s="19"/>
      <c r="X5" s="19"/>
      <c r="Y5" s="83"/>
      <c r="Z5" s="56">
        <f>REVENUES!K20</f>
        <v>0</v>
      </c>
      <c r="AA5" s="83">
        <f>REVENUES!L20</f>
        <v>0</v>
      </c>
      <c r="AB5" s="19">
        <f>REVENUES!M20</f>
        <v>0</v>
      </c>
      <c r="AC5" s="56">
        <f>REVENUES!N20</f>
        <v>0</v>
      </c>
      <c r="AD5" s="56">
        <f>REVENUES!O20</f>
        <v>55</v>
      </c>
      <c r="AE5" s="56">
        <f>REVENUES!P20</f>
        <v>318.42567372011837</v>
      </c>
      <c r="AF5" s="56">
        <f>REVENUES!Q20</f>
        <v>823.41391309059122</v>
      </c>
      <c r="AG5" s="56">
        <f>REVENUES!R20</f>
        <v>1429.1278222564431</v>
      </c>
      <c r="AH5" s="56">
        <f>REVENUES!S20</f>
        <v>1900.0252570991611</v>
      </c>
      <c r="AI5" s="56">
        <f>REVENUES!T20</f>
        <v>2361.6665958864191</v>
      </c>
    </row>
    <row r="6" spans="1:35" hidden="1" outlineLevel="1">
      <c r="A6" t="s">
        <v>147</v>
      </c>
      <c r="B6" s="19"/>
      <c r="C6" s="19"/>
      <c r="D6" s="19"/>
      <c r="E6" s="19"/>
      <c r="F6" s="56"/>
      <c r="G6" s="19">
        <v>0</v>
      </c>
      <c r="H6" s="19">
        <v>0</v>
      </c>
      <c r="I6" s="19">
        <v>0</v>
      </c>
      <c r="J6" s="19">
        <v>0</v>
      </c>
      <c r="K6" s="73">
        <f t="shared" ref="K6:K7" si="0">SUM(G6:J6)</f>
        <v>0</v>
      </c>
      <c r="L6" s="73"/>
      <c r="M6" s="19"/>
      <c r="N6" s="19"/>
      <c r="O6" s="19"/>
      <c r="P6" s="56">
        <v>0</v>
      </c>
      <c r="Q6" s="19"/>
      <c r="R6" s="19"/>
      <c r="S6" s="19"/>
      <c r="T6" s="19"/>
      <c r="U6" s="56">
        <f>REVENUES!F26</f>
        <v>0</v>
      </c>
      <c r="V6" s="73"/>
      <c r="W6" s="19"/>
      <c r="X6" s="19"/>
      <c r="Y6" s="83"/>
      <c r="Z6" s="56">
        <f>REVENUES!K26</f>
        <v>0</v>
      </c>
      <c r="AA6" s="83">
        <f>REVENUES!L26</f>
        <v>0</v>
      </c>
      <c r="AB6" s="19">
        <f>REVENUES!M26</f>
        <v>0</v>
      </c>
      <c r="AC6" s="56">
        <f>REVENUES!N26</f>
        <v>0</v>
      </c>
      <c r="AD6" s="56">
        <f>REVENUES!O26</f>
        <v>0</v>
      </c>
      <c r="AE6" s="56">
        <f>REVENUES!P26</f>
        <v>0</v>
      </c>
      <c r="AF6" s="56">
        <f>REVENUES!Q26</f>
        <v>0</v>
      </c>
      <c r="AG6" s="56">
        <f>REVENUES!R26</f>
        <v>0</v>
      </c>
      <c r="AH6" s="56">
        <f>REVENUES!S26</f>
        <v>0</v>
      </c>
      <c r="AI6" s="56">
        <f>REVENUES!T26</f>
        <v>0</v>
      </c>
    </row>
    <row r="7" spans="1:35" s="1" customFormat="1" ht="15" collapsed="1" thickBot="1">
      <c r="A7" s="21" t="s">
        <v>90</v>
      </c>
      <c r="B7" s="19"/>
      <c r="C7" s="19"/>
      <c r="D7" s="19"/>
      <c r="E7" s="19"/>
      <c r="F7" s="56"/>
      <c r="G7" s="19">
        <v>0</v>
      </c>
      <c r="H7" s="19">
        <v>0</v>
      </c>
      <c r="I7" s="19">
        <v>0</v>
      </c>
      <c r="J7" s="19">
        <v>0</v>
      </c>
      <c r="K7" s="73">
        <f t="shared" si="0"/>
        <v>0</v>
      </c>
      <c r="L7" s="341">
        <v>0</v>
      </c>
      <c r="M7" s="335">
        <v>0</v>
      </c>
      <c r="N7" s="335">
        <v>0</v>
      </c>
      <c r="O7" s="335">
        <v>0</v>
      </c>
      <c r="P7" s="443">
        <v>0</v>
      </c>
      <c r="Q7" s="335">
        <v>0</v>
      </c>
      <c r="R7" s="335">
        <v>0</v>
      </c>
      <c r="S7" s="335">
        <v>0</v>
      </c>
      <c r="T7" s="335">
        <v>0</v>
      </c>
      <c r="U7" s="443">
        <f t="shared" ref="U7:AD7" si="1">U5+U6</f>
        <v>0</v>
      </c>
      <c r="V7" s="617">
        <v>0</v>
      </c>
      <c r="W7" s="610">
        <v>0</v>
      </c>
      <c r="X7" s="610">
        <v>0</v>
      </c>
      <c r="Y7" s="618">
        <v>0</v>
      </c>
      <c r="Z7" s="443">
        <f t="shared" si="1"/>
        <v>0</v>
      </c>
      <c r="AA7" s="287">
        <f t="shared" si="1"/>
        <v>0</v>
      </c>
      <c r="AB7" s="335">
        <f t="shared" si="1"/>
        <v>0</v>
      </c>
      <c r="AC7" s="443">
        <f t="shared" si="1"/>
        <v>0</v>
      </c>
      <c r="AD7" s="443">
        <f t="shared" si="1"/>
        <v>55</v>
      </c>
      <c r="AE7" s="443">
        <f t="shared" ref="AE7:AI7" si="2">AE5+AE6</f>
        <v>318.42567372011837</v>
      </c>
      <c r="AF7" s="443">
        <f t="shared" si="2"/>
        <v>823.41391309059122</v>
      </c>
      <c r="AG7" s="443">
        <f t="shared" si="2"/>
        <v>1429.1278222564431</v>
      </c>
      <c r="AH7" s="443">
        <f t="shared" si="2"/>
        <v>1900.0252570991611</v>
      </c>
      <c r="AI7" s="443">
        <f t="shared" si="2"/>
        <v>2361.6665958864191</v>
      </c>
    </row>
    <row r="8" spans="1:35" s="1" customFormat="1" ht="15" thickBot="1">
      <c r="A8" s="107" t="s">
        <v>129</v>
      </c>
      <c r="B8" s="310"/>
      <c r="C8" s="310"/>
      <c r="D8" s="310"/>
      <c r="E8" s="310"/>
      <c r="F8" s="311"/>
      <c r="G8" s="416"/>
      <c r="H8" s="344"/>
      <c r="I8" s="344"/>
      <c r="J8" s="344"/>
      <c r="K8" s="311"/>
      <c r="L8" s="436"/>
      <c r="M8" s="436"/>
      <c r="N8" s="436"/>
      <c r="O8" s="436"/>
      <c r="P8" s="311"/>
      <c r="Q8" s="436"/>
      <c r="R8" s="436"/>
      <c r="S8" s="436"/>
      <c r="T8" s="436"/>
      <c r="U8" s="311"/>
      <c r="V8" s="614"/>
      <c r="W8" s="310"/>
      <c r="X8" s="310"/>
      <c r="Y8" s="421"/>
      <c r="Z8" s="311"/>
      <c r="AA8" s="421"/>
      <c r="AB8" s="512"/>
      <c r="AC8" s="442"/>
      <c r="AD8" s="442"/>
      <c r="AE8" s="442"/>
      <c r="AF8" s="442"/>
      <c r="AG8" s="442"/>
      <c r="AH8" s="442"/>
      <c r="AI8" s="442"/>
    </row>
    <row r="9" spans="1:35" ht="15" customHeight="1">
      <c r="A9" s="7" t="s">
        <v>27</v>
      </c>
      <c r="B9" s="19"/>
      <c r="C9" s="19"/>
      <c r="D9" s="19"/>
      <c r="E9" s="19"/>
      <c r="F9" s="56"/>
      <c r="G9" s="345">
        <v>0</v>
      </c>
      <c r="H9" s="346">
        <v>0</v>
      </c>
      <c r="I9" s="346">
        <v>0</v>
      </c>
      <c r="J9" s="346">
        <v>0</v>
      </c>
      <c r="K9" s="262">
        <f>EXPENSES!K85</f>
        <v>0</v>
      </c>
      <c r="L9" s="529">
        <v>0</v>
      </c>
      <c r="M9" s="530">
        <v>0</v>
      </c>
      <c r="N9" s="530">
        <v>0</v>
      </c>
      <c r="O9" s="530">
        <v>0</v>
      </c>
      <c r="P9" s="261">
        <v>0</v>
      </c>
      <c r="Q9" s="529">
        <v>0</v>
      </c>
      <c r="R9" s="530">
        <v>0</v>
      </c>
      <c r="S9" s="530">
        <v>0</v>
      </c>
      <c r="T9" s="530">
        <v>0</v>
      </c>
      <c r="U9" s="261">
        <v>0</v>
      </c>
      <c r="V9" s="61">
        <v>0</v>
      </c>
      <c r="W9" s="9">
        <v>0</v>
      </c>
      <c r="X9" s="9">
        <v>0</v>
      </c>
      <c r="Y9" s="9">
        <v>0</v>
      </c>
      <c r="Z9" s="262">
        <f>EXPENSES!Z85</f>
        <v>0</v>
      </c>
      <c r="AA9" s="102">
        <f>EXPENSES!AA85</f>
        <v>0</v>
      </c>
      <c r="AB9" s="346">
        <f>EXPENSES!AB85</f>
        <v>0</v>
      </c>
      <c r="AC9" s="262">
        <f>EXPENSES!AC85</f>
        <v>0</v>
      </c>
      <c r="AD9" s="56">
        <f>EXPENSES!AD85</f>
        <v>1.65</v>
      </c>
      <c r="AE9" s="56">
        <f>EXPENSES!AE85</f>
        <v>13.105540423207103</v>
      </c>
      <c r="AF9" s="56">
        <f>EXPENSES!AF85</f>
        <v>35.904834785435469</v>
      </c>
      <c r="AG9" s="56">
        <f>EXPENSES!AG85</f>
        <v>62.497669335386583</v>
      </c>
      <c r="AH9" s="56">
        <f>EXPENSES!AH85</f>
        <v>81.751515425949663</v>
      </c>
      <c r="AI9" s="56">
        <f>EXPENSES!AI85</f>
        <v>101.19999575318514</v>
      </c>
    </row>
    <row r="10" spans="1:35" ht="15" customHeight="1">
      <c r="A10" s="7" t="s">
        <v>28</v>
      </c>
      <c r="B10" s="5"/>
      <c r="C10" s="5"/>
      <c r="D10" s="5"/>
      <c r="E10" s="5"/>
      <c r="F10" s="48"/>
      <c r="G10" s="60">
        <v>0</v>
      </c>
      <c r="H10" s="5">
        <v>0</v>
      </c>
      <c r="I10" s="5">
        <v>0</v>
      </c>
      <c r="J10" s="5">
        <v>0</v>
      </c>
      <c r="K10" s="48">
        <f>K7-K9</f>
        <v>0</v>
      </c>
      <c r="L10" s="60">
        <f t="shared" ref="L10:AD10" si="3">L7-L9</f>
        <v>0</v>
      </c>
      <c r="M10" s="5">
        <f t="shared" si="3"/>
        <v>0</v>
      </c>
      <c r="N10" s="5">
        <f t="shared" si="3"/>
        <v>0</v>
      </c>
      <c r="O10" s="5">
        <f t="shared" si="3"/>
        <v>0</v>
      </c>
      <c r="P10" s="48">
        <f t="shared" si="3"/>
        <v>0</v>
      </c>
      <c r="Q10" s="5">
        <f t="shared" ref="Q10:U10" si="4">Q7-Q9</f>
        <v>0</v>
      </c>
      <c r="R10" s="5">
        <f t="shared" si="4"/>
        <v>0</v>
      </c>
      <c r="S10" s="5">
        <f t="shared" si="4"/>
        <v>0</v>
      </c>
      <c r="T10" s="5">
        <f t="shared" si="4"/>
        <v>0</v>
      </c>
      <c r="U10" s="48">
        <f t="shared" si="4"/>
        <v>0</v>
      </c>
      <c r="V10" s="5">
        <f t="shared" ref="V10:Y10" si="5">V7-V9</f>
        <v>0</v>
      </c>
      <c r="W10" s="5">
        <f t="shared" si="5"/>
        <v>0</v>
      </c>
      <c r="X10" s="5">
        <f t="shared" si="5"/>
        <v>0</v>
      </c>
      <c r="Y10" s="5">
        <f t="shared" si="5"/>
        <v>0</v>
      </c>
      <c r="Z10" s="48">
        <f t="shared" si="3"/>
        <v>0</v>
      </c>
      <c r="AA10" s="10">
        <f t="shared" si="3"/>
        <v>0</v>
      </c>
      <c r="AB10" s="5">
        <f t="shared" si="3"/>
        <v>0</v>
      </c>
      <c r="AC10" s="48">
        <f t="shared" si="3"/>
        <v>0</v>
      </c>
      <c r="AD10" s="48">
        <f t="shared" si="3"/>
        <v>53.35</v>
      </c>
      <c r="AE10" s="48">
        <f t="shared" ref="AE10:AI10" si="6">AE7-AE9</f>
        <v>305.32013329691125</v>
      </c>
      <c r="AF10" s="48">
        <f t="shared" si="6"/>
        <v>787.50907830515575</v>
      </c>
      <c r="AG10" s="48">
        <f t="shared" si="6"/>
        <v>1366.6301529210566</v>
      </c>
      <c r="AH10" s="48">
        <f t="shared" si="6"/>
        <v>1818.2737416732114</v>
      </c>
      <c r="AI10" s="48">
        <f t="shared" si="6"/>
        <v>2260.4666001332339</v>
      </c>
    </row>
    <row r="11" spans="1:35" ht="5.15" customHeight="1">
      <c r="A11" s="7"/>
      <c r="B11" s="5"/>
      <c r="C11" s="5"/>
      <c r="D11" s="5"/>
      <c r="E11" s="5"/>
      <c r="F11" s="48"/>
      <c r="G11" s="60"/>
      <c r="H11" s="5"/>
      <c r="I11" s="5"/>
      <c r="J11" s="5"/>
      <c r="K11" s="48"/>
      <c r="L11" s="60"/>
      <c r="M11" s="5"/>
      <c r="N11" s="5"/>
      <c r="O11" s="5"/>
      <c r="P11" s="48"/>
      <c r="Q11" s="5"/>
      <c r="R11" s="5"/>
      <c r="S11" s="5"/>
      <c r="T11" s="5"/>
      <c r="U11" s="48"/>
      <c r="V11" s="5"/>
      <c r="W11" s="5"/>
      <c r="X11" s="5"/>
      <c r="Y11" s="5"/>
      <c r="Z11" s="48"/>
      <c r="AA11" s="10"/>
      <c r="AB11" s="5"/>
      <c r="AC11" s="48"/>
      <c r="AD11" s="48"/>
      <c r="AE11" s="48"/>
      <c r="AF11" s="48"/>
      <c r="AG11" s="48"/>
      <c r="AH11" s="48"/>
      <c r="AI11" s="48"/>
    </row>
    <row r="12" spans="1:35">
      <c r="A12" s="7" t="s">
        <v>29</v>
      </c>
      <c r="B12" s="19"/>
      <c r="C12" s="19"/>
      <c r="D12" s="19"/>
      <c r="E12" s="19"/>
      <c r="F12" s="56"/>
      <c r="G12" s="73"/>
      <c r="H12" s="19"/>
      <c r="I12" s="19"/>
      <c r="J12" s="19"/>
      <c r="K12" s="49">
        <v>7.6070000000000002</v>
      </c>
      <c r="L12" s="117">
        <v>3.5</v>
      </c>
      <c r="M12" s="19">
        <f>8.287-L12</f>
        <v>4.7870000000000008</v>
      </c>
      <c r="N12" s="9">
        <v>4.08</v>
      </c>
      <c r="O12" s="19">
        <f>P12-L12-M12-N12</f>
        <v>2.0559999999999992</v>
      </c>
      <c r="P12" s="49">
        <v>14.423</v>
      </c>
      <c r="Q12" s="64">
        <v>3.5</v>
      </c>
      <c r="R12" s="9">
        <f>7.573-Q12</f>
        <v>4.0730000000000004</v>
      </c>
      <c r="S12" s="9">
        <v>4.4039999999999999</v>
      </c>
      <c r="T12" s="19">
        <f>U12-Q12-R12-S12</f>
        <v>18.757000000000001</v>
      </c>
      <c r="U12" s="49">
        <v>30.734000000000002</v>
      </c>
      <c r="V12" s="73">
        <f>EXPENSES!V67</f>
        <v>6.5</v>
      </c>
      <c r="W12" s="19">
        <f>EXPENSES!W67</f>
        <v>6.6</v>
      </c>
      <c r="X12" s="19">
        <f>EXPENSES!X67</f>
        <v>7.2</v>
      </c>
      <c r="Y12" s="83">
        <f>EXPENSES!Y67</f>
        <v>7.5</v>
      </c>
      <c r="Z12" s="56">
        <f>EXPENSES!Z67</f>
        <v>27.8</v>
      </c>
      <c r="AA12" s="83">
        <f>EXPENSES!AA67</f>
        <v>29.19</v>
      </c>
      <c r="AB12" s="19">
        <f>EXPENSES!AB67</f>
        <v>30.649500000000003</v>
      </c>
      <c r="AC12" s="56">
        <f>EXPENSES!AC67</f>
        <v>36.415575000000011</v>
      </c>
      <c r="AD12" s="56">
        <f>EXPENSES!AD67</f>
        <v>193.23635375000001</v>
      </c>
      <c r="AE12" s="56">
        <f>EXPENSES!AE67</f>
        <v>278.12317143749999</v>
      </c>
      <c r="AF12" s="56">
        <f>EXPENSES!AF67</f>
        <v>461.20670500937501</v>
      </c>
      <c r="AG12" s="56">
        <f>EXPENSES!AG67</f>
        <v>476.39615065890627</v>
      </c>
      <c r="AH12" s="56">
        <f>EXPENSES!AH67</f>
        <v>492.10894190288593</v>
      </c>
      <c r="AI12" s="56">
        <f>EXPENSES!AI67</f>
        <v>508.36416222039566</v>
      </c>
    </row>
    <row r="13" spans="1:35">
      <c r="A13" s="7" t="s">
        <v>30</v>
      </c>
      <c r="B13" s="19"/>
      <c r="C13" s="19"/>
      <c r="D13" s="19"/>
      <c r="E13" s="19"/>
      <c r="F13" s="56"/>
      <c r="G13" s="73"/>
      <c r="H13" s="19"/>
      <c r="I13" s="19"/>
      <c r="J13" s="19"/>
      <c r="K13" s="49">
        <v>49.674999999999997</v>
      </c>
      <c r="L13" s="117">
        <v>14</v>
      </c>
      <c r="M13" s="19">
        <f>30.989-L13</f>
        <v>16.989000000000001</v>
      </c>
      <c r="N13" s="9">
        <v>16.814</v>
      </c>
      <c r="O13" s="19">
        <f>P13-L13-M13-N13</f>
        <v>20.719999999999992</v>
      </c>
      <c r="P13" s="49">
        <v>68.522999999999996</v>
      </c>
      <c r="Q13" s="64">
        <v>22</v>
      </c>
      <c r="R13" s="9">
        <f>46.633-Q13</f>
        <v>24.633000000000003</v>
      </c>
      <c r="S13" s="9">
        <v>27.094000000000001</v>
      </c>
      <c r="T13" s="19">
        <f>U13-Q13-R13-S13</f>
        <v>64.621999999999986</v>
      </c>
      <c r="U13" s="49">
        <v>138.34899999999999</v>
      </c>
      <c r="V13" s="73">
        <f>EXPENSES!V22</f>
        <v>31.25</v>
      </c>
      <c r="W13" s="19">
        <f>EXPENSES!W22</f>
        <v>33.25</v>
      </c>
      <c r="X13" s="19">
        <f>EXPENSES!X22</f>
        <v>37.25</v>
      </c>
      <c r="Y13" s="83">
        <f>EXPENSES!Y22</f>
        <v>43.25</v>
      </c>
      <c r="Z13" s="56">
        <f>EXPENSES!Z22</f>
        <v>145</v>
      </c>
      <c r="AA13" s="83">
        <f>EXPENSES!AA22</f>
        <v>175</v>
      </c>
      <c r="AB13" s="19">
        <f>EXPENSES!AB22</f>
        <v>225.03200000000001</v>
      </c>
      <c r="AC13" s="56">
        <f>EXPENSES!AC22</f>
        <v>214.99706</v>
      </c>
      <c r="AD13" s="56">
        <f>EXPENSES!AD22</f>
        <v>194.99627680000003</v>
      </c>
      <c r="AE13" s="56">
        <f>EXPENSES!AE22</f>
        <v>151.13078535400001</v>
      </c>
      <c r="AF13" s="56">
        <f>EXPENSES!AF22</f>
        <v>82.301760177120002</v>
      </c>
      <c r="AG13" s="56">
        <f>EXPENSES!AG22</f>
        <v>64.510416808058608</v>
      </c>
      <c r="AH13" s="56">
        <f>EXPENSES!AH22</f>
        <v>56.758013329206612</v>
      </c>
      <c r="AI13" s="56">
        <f>EXPENSES!AI22</f>
        <v>57.986753729082814</v>
      </c>
    </row>
    <row r="14" spans="1:35" ht="5.15" customHeight="1">
      <c r="A14" s="7"/>
      <c r="B14" s="5"/>
      <c r="C14" s="5"/>
      <c r="D14" s="5"/>
      <c r="E14" s="5"/>
      <c r="F14" s="48"/>
      <c r="G14" s="60"/>
      <c r="H14" s="5"/>
      <c r="I14" s="5"/>
      <c r="J14" s="5"/>
      <c r="K14" s="48"/>
      <c r="L14" s="60"/>
      <c r="M14" s="5"/>
      <c r="N14" s="5"/>
      <c r="O14" s="5"/>
      <c r="P14" s="48"/>
      <c r="Q14" s="5"/>
      <c r="R14" s="5"/>
      <c r="S14" s="5"/>
      <c r="T14" s="5"/>
      <c r="U14" s="48"/>
      <c r="V14" s="60"/>
      <c r="W14" s="5"/>
      <c r="X14" s="5"/>
      <c r="Y14" s="10"/>
      <c r="Z14" s="48"/>
      <c r="AA14" s="10"/>
      <c r="AB14" s="5"/>
      <c r="AC14" s="48"/>
      <c r="AD14" s="48"/>
      <c r="AE14" s="48"/>
      <c r="AF14" s="48"/>
      <c r="AG14" s="48"/>
      <c r="AH14" s="48"/>
      <c r="AI14" s="48"/>
    </row>
    <row r="15" spans="1:35">
      <c r="A15" s="7" t="s">
        <v>71</v>
      </c>
      <c r="B15" s="19"/>
      <c r="C15" s="19"/>
      <c r="D15" s="19"/>
      <c r="E15" s="19"/>
      <c r="F15" s="56"/>
      <c r="G15" s="73"/>
      <c r="H15" s="19"/>
      <c r="I15" s="19"/>
      <c r="J15" s="19"/>
      <c r="K15" s="56">
        <f t="shared" ref="K15:AD15" si="7">K12+K13</f>
        <v>57.281999999999996</v>
      </c>
      <c r="L15" s="73">
        <f>L12+L13</f>
        <v>17.5</v>
      </c>
      <c r="M15" s="19">
        <f t="shared" ref="M15:O15" si="8">M12+M13</f>
        <v>21.776000000000003</v>
      </c>
      <c r="N15" s="19">
        <f t="shared" si="8"/>
        <v>20.893999999999998</v>
      </c>
      <c r="O15" s="19">
        <f t="shared" si="8"/>
        <v>22.775999999999989</v>
      </c>
      <c r="P15" s="56">
        <f>P12+P13</f>
        <v>82.945999999999998</v>
      </c>
      <c r="Q15" s="19">
        <f>Q12+Q13</f>
        <v>25.5</v>
      </c>
      <c r="R15" s="19">
        <f>R12+R13</f>
        <v>28.706000000000003</v>
      </c>
      <c r="S15" s="19">
        <f t="shared" ref="S15:T15" si="9">S12+S13</f>
        <v>31.498000000000001</v>
      </c>
      <c r="T15" s="19">
        <f t="shared" si="9"/>
        <v>83.378999999999991</v>
      </c>
      <c r="U15" s="56">
        <f t="shared" si="7"/>
        <v>169.083</v>
      </c>
      <c r="V15" s="19">
        <f>V12+V13</f>
        <v>37.75</v>
      </c>
      <c r="W15" s="19">
        <f>W12+W13</f>
        <v>39.85</v>
      </c>
      <c r="X15" s="19">
        <f t="shared" ref="X15:Y15" si="10">X12+X13</f>
        <v>44.45</v>
      </c>
      <c r="Y15" s="19">
        <f t="shared" si="10"/>
        <v>50.75</v>
      </c>
      <c r="Z15" s="56">
        <f t="shared" si="7"/>
        <v>172.8</v>
      </c>
      <c r="AA15" s="83">
        <f t="shared" si="7"/>
        <v>204.19</v>
      </c>
      <c r="AB15" s="19">
        <f t="shared" si="7"/>
        <v>255.68150000000003</v>
      </c>
      <c r="AC15" s="56">
        <f t="shared" si="7"/>
        <v>251.41263500000002</v>
      </c>
      <c r="AD15" s="56">
        <f t="shared" si="7"/>
        <v>388.23263055000007</v>
      </c>
      <c r="AE15" s="56">
        <f t="shared" ref="AE15:AI15" si="11">AE12+AE13</f>
        <v>429.2539567915</v>
      </c>
      <c r="AF15" s="56">
        <f t="shared" si="11"/>
        <v>543.50846518649496</v>
      </c>
      <c r="AG15" s="56">
        <f t="shared" si="11"/>
        <v>540.90656746696482</v>
      </c>
      <c r="AH15" s="56">
        <f t="shared" si="11"/>
        <v>548.86695523209255</v>
      </c>
      <c r="AI15" s="56">
        <f t="shared" si="11"/>
        <v>566.35091594947846</v>
      </c>
    </row>
    <row r="16" spans="1:35" ht="5.15" customHeight="1">
      <c r="A16" s="7"/>
      <c r="B16" s="5"/>
      <c r="C16" s="5"/>
      <c r="D16" s="5"/>
      <c r="E16" s="5"/>
      <c r="F16" s="48"/>
      <c r="G16" s="60"/>
      <c r="H16" s="5"/>
      <c r="I16" s="5"/>
      <c r="J16" s="5"/>
      <c r="K16" s="48"/>
      <c r="L16" s="60"/>
      <c r="M16" s="5"/>
      <c r="N16" s="5"/>
      <c r="O16" s="5"/>
      <c r="P16" s="48"/>
      <c r="Q16" s="5"/>
      <c r="R16" s="5"/>
      <c r="S16" s="5"/>
      <c r="T16" s="5"/>
      <c r="U16" s="48"/>
      <c r="V16" s="5"/>
      <c r="W16" s="5"/>
      <c r="X16" s="5"/>
      <c r="Y16" s="5"/>
      <c r="Z16" s="48"/>
      <c r="AA16" s="10"/>
      <c r="AB16" s="5"/>
      <c r="AC16" s="48"/>
      <c r="AD16" s="48"/>
      <c r="AE16" s="48"/>
      <c r="AF16" s="48"/>
      <c r="AG16" s="48"/>
      <c r="AH16" s="48"/>
      <c r="AI16" s="48"/>
    </row>
    <row r="17" spans="1:44">
      <c r="A17" s="7" t="s">
        <v>31</v>
      </c>
      <c r="B17" s="5"/>
      <c r="C17" s="5"/>
      <c r="D17" s="5"/>
      <c r="E17" s="5"/>
      <c r="F17" s="48"/>
      <c r="G17" s="60"/>
      <c r="H17" s="5"/>
      <c r="I17" s="5"/>
      <c r="J17" s="5"/>
      <c r="K17" s="48">
        <f t="shared" ref="K17:AD17" si="12">K10-K12-K13</f>
        <v>-57.281999999999996</v>
      </c>
      <c r="L17" s="60">
        <f t="shared" ref="L17:O17" si="13">L10-L12-L13</f>
        <v>-17.5</v>
      </c>
      <c r="M17" s="5">
        <f t="shared" si="13"/>
        <v>-21.776000000000003</v>
      </c>
      <c r="N17" s="5">
        <f t="shared" si="13"/>
        <v>-20.893999999999998</v>
      </c>
      <c r="O17" s="5">
        <f t="shared" si="13"/>
        <v>-22.775999999999989</v>
      </c>
      <c r="P17" s="48">
        <f t="shared" si="12"/>
        <v>-82.945999999999998</v>
      </c>
      <c r="Q17" s="5">
        <f t="shared" si="12"/>
        <v>-25.5</v>
      </c>
      <c r="R17" s="5">
        <f t="shared" si="12"/>
        <v>-28.706000000000003</v>
      </c>
      <c r="S17" s="5">
        <f t="shared" si="12"/>
        <v>-31.498000000000001</v>
      </c>
      <c r="T17" s="5">
        <f t="shared" si="12"/>
        <v>-83.378999999999991</v>
      </c>
      <c r="U17" s="48">
        <f>U10-U12-U13</f>
        <v>-169.083</v>
      </c>
      <c r="V17" s="5">
        <f t="shared" ref="V17:Y17" si="14">V10-V12-V13</f>
        <v>-37.75</v>
      </c>
      <c r="W17" s="5">
        <f t="shared" si="14"/>
        <v>-39.85</v>
      </c>
      <c r="X17" s="5">
        <f t="shared" si="14"/>
        <v>-44.45</v>
      </c>
      <c r="Y17" s="5">
        <f t="shared" si="14"/>
        <v>-50.75</v>
      </c>
      <c r="Z17" s="48">
        <f t="shared" si="12"/>
        <v>-172.8</v>
      </c>
      <c r="AA17" s="10">
        <f t="shared" si="12"/>
        <v>-204.19</v>
      </c>
      <c r="AB17" s="5">
        <f t="shared" si="12"/>
        <v>-255.68150000000003</v>
      </c>
      <c r="AC17" s="48">
        <f t="shared" si="12"/>
        <v>-251.41263500000002</v>
      </c>
      <c r="AD17" s="48">
        <f t="shared" si="12"/>
        <v>-334.88263055000004</v>
      </c>
      <c r="AE17" s="48">
        <f t="shared" ref="AE17:AI17" si="15">AE10-AE12-AE13</f>
        <v>-123.93382349458875</v>
      </c>
      <c r="AF17" s="48">
        <f t="shared" si="15"/>
        <v>244.00061311866074</v>
      </c>
      <c r="AG17" s="48">
        <f t="shared" si="15"/>
        <v>825.72358545409179</v>
      </c>
      <c r="AH17" s="48">
        <f t="shared" si="15"/>
        <v>1269.4067864411188</v>
      </c>
      <c r="AI17" s="48">
        <f t="shared" si="15"/>
        <v>1694.1156841837553</v>
      </c>
    </row>
    <row r="18" spans="1:44" ht="5.15" customHeight="1">
      <c r="A18" s="7"/>
      <c r="B18" s="5"/>
      <c r="C18" s="5"/>
      <c r="D18" s="5"/>
      <c r="E18" s="5"/>
      <c r="F18" s="48"/>
      <c r="G18" s="60"/>
      <c r="H18" s="5"/>
      <c r="I18" s="5"/>
      <c r="J18" s="5"/>
      <c r="K18" s="48"/>
      <c r="L18" s="60"/>
      <c r="M18" s="5"/>
      <c r="N18" s="5"/>
      <c r="O18" s="5"/>
      <c r="P18" s="48"/>
      <c r="Q18" s="5"/>
      <c r="R18" s="5"/>
      <c r="S18" s="5"/>
      <c r="T18" s="5"/>
      <c r="U18" s="48"/>
      <c r="V18" s="60"/>
      <c r="W18" s="5"/>
      <c r="X18" s="5"/>
      <c r="Y18" s="10"/>
      <c r="Z18" s="48"/>
      <c r="AA18" s="10"/>
      <c r="AB18" s="5"/>
      <c r="AC18" s="48"/>
      <c r="AD18" s="48"/>
      <c r="AE18" s="48"/>
      <c r="AF18" s="48"/>
      <c r="AG18" s="48"/>
      <c r="AH18" s="48"/>
      <c r="AI18" s="48"/>
    </row>
    <row r="19" spans="1:44" hidden="1" outlineLevel="1">
      <c r="A19" s="7" t="s">
        <v>32</v>
      </c>
      <c r="B19" s="9"/>
      <c r="C19" s="9"/>
      <c r="D19" s="9"/>
      <c r="E19" s="9"/>
      <c r="F19" s="56"/>
      <c r="G19" s="61"/>
      <c r="H19" s="9"/>
      <c r="I19" s="9"/>
      <c r="J19" s="9"/>
      <c r="K19" s="49">
        <v>1.099</v>
      </c>
      <c r="L19" s="117">
        <v>1.2</v>
      </c>
      <c r="M19" s="9">
        <f>2.524-L19</f>
        <v>1.3240000000000001</v>
      </c>
      <c r="N19" s="9">
        <v>1.081</v>
      </c>
      <c r="O19" s="19"/>
      <c r="P19" s="49">
        <v>4.5039999999999996</v>
      </c>
      <c r="Q19" s="64">
        <v>0.5</v>
      </c>
      <c r="R19" s="64">
        <f>1.499-Q19</f>
        <v>0.99900000000000011</v>
      </c>
      <c r="S19" s="9">
        <v>1.5489999999999999</v>
      </c>
      <c r="T19" s="9">
        <v>2.4710000000000001</v>
      </c>
      <c r="U19" s="56">
        <f>SUM(Q19:T19)</f>
        <v>5.5190000000000001</v>
      </c>
      <c r="V19" s="61">
        <v>3.4</v>
      </c>
      <c r="W19" s="9">
        <v>3.2</v>
      </c>
      <c r="X19" s="9">
        <v>2.8</v>
      </c>
      <c r="Y19" s="83">
        <f>Z19-X19-W19-V19</f>
        <v>2.5999999999999992</v>
      </c>
      <c r="Z19" s="56">
        <f>'BALANCE SHEET'!H53</f>
        <v>12</v>
      </c>
      <c r="AA19" s="83">
        <f>'BALANCE SHEET'!I53</f>
        <v>12.5</v>
      </c>
      <c r="AB19" s="19">
        <f>'BALANCE SHEET'!J53</f>
        <v>10</v>
      </c>
      <c r="AC19" s="56">
        <f>'BALANCE SHEET'!K53</f>
        <v>5.5</v>
      </c>
      <c r="AD19" s="56">
        <f>'BALANCE SHEET'!L53</f>
        <v>3.5</v>
      </c>
      <c r="AE19" s="56">
        <f>'BALANCE SHEET'!M53</f>
        <v>0</v>
      </c>
      <c r="AF19" s="56">
        <f>'BALANCE SHEET'!N53</f>
        <v>0</v>
      </c>
      <c r="AG19" s="56">
        <f>'BALANCE SHEET'!O53</f>
        <v>0</v>
      </c>
      <c r="AH19" s="56">
        <f>'BALANCE SHEET'!P53</f>
        <v>0</v>
      </c>
      <c r="AI19" s="56">
        <f>'BALANCE SHEET'!Q53</f>
        <v>0</v>
      </c>
    </row>
    <row r="20" spans="1:44" hidden="1" outlineLevel="1">
      <c r="A20" s="7" t="s">
        <v>33</v>
      </c>
      <c r="B20" s="9"/>
      <c r="C20" s="9"/>
      <c r="D20" s="9"/>
      <c r="E20" s="9"/>
      <c r="F20" s="56"/>
      <c r="G20" s="61"/>
      <c r="H20" s="9"/>
      <c r="I20" s="9"/>
      <c r="J20" s="9"/>
      <c r="K20" s="56">
        <v>0</v>
      </c>
      <c r="L20" s="61"/>
      <c r="M20" s="9"/>
      <c r="N20" s="9"/>
      <c r="O20" s="19"/>
      <c r="P20" s="49">
        <v>0</v>
      </c>
      <c r="Q20" s="9">
        <v>0</v>
      </c>
      <c r="R20" s="9">
        <v>0</v>
      </c>
      <c r="S20" s="9">
        <v>0</v>
      </c>
      <c r="T20" s="9">
        <v>0</v>
      </c>
      <c r="U20" s="56">
        <f>SUM(Q20:T20)</f>
        <v>0</v>
      </c>
      <c r="V20" s="61">
        <v>0</v>
      </c>
      <c r="W20" s="9">
        <v>0</v>
      </c>
      <c r="X20" s="9">
        <v>0</v>
      </c>
      <c r="Y20" s="99">
        <v>0</v>
      </c>
      <c r="Z20" s="49">
        <v>0</v>
      </c>
      <c r="AA20" s="99">
        <v>0</v>
      </c>
      <c r="AB20" s="9">
        <v>0</v>
      </c>
      <c r="AC20" s="49">
        <v>0</v>
      </c>
      <c r="AD20" s="49">
        <v>0</v>
      </c>
      <c r="AE20" s="49">
        <v>0</v>
      </c>
      <c r="AF20" s="49">
        <v>0</v>
      </c>
      <c r="AG20" s="49">
        <v>0</v>
      </c>
      <c r="AH20" s="49">
        <v>0</v>
      </c>
      <c r="AI20" s="49">
        <v>0</v>
      </c>
    </row>
    <row r="21" spans="1:44" hidden="1" outlineLevel="1">
      <c r="A21" s="7" t="s">
        <v>34</v>
      </c>
      <c r="B21" s="9"/>
      <c r="C21" s="9"/>
      <c r="D21" s="9"/>
      <c r="E21" s="9"/>
      <c r="F21" s="252"/>
      <c r="G21" s="61"/>
      <c r="H21" s="9"/>
      <c r="I21" s="9"/>
      <c r="J21" s="9"/>
      <c r="K21" s="49">
        <f>-0.514+0.986+0.002</f>
        <v>0.47399999999999998</v>
      </c>
      <c r="L21" s="117">
        <v>-0.25</v>
      </c>
      <c r="M21" s="9">
        <f>-0.989+0.403</f>
        <v>-0.58599999999999997</v>
      </c>
      <c r="N21" s="9">
        <v>0.79700000000000004</v>
      </c>
      <c r="O21" s="19"/>
      <c r="P21" s="49">
        <f>-0.986+1.848</f>
        <v>0.8620000000000001</v>
      </c>
      <c r="Q21" s="64">
        <v>0.25</v>
      </c>
      <c r="R21" s="9">
        <f>0.522-Q21</f>
        <v>0.27200000000000002</v>
      </c>
      <c r="S21" s="9">
        <v>0.53100000000000003</v>
      </c>
      <c r="T21" s="9">
        <v>1.359</v>
      </c>
      <c r="U21" s="56">
        <f>SUM(Q21:T21)</f>
        <v>2.4119999999999999</v>
      </c>
      <c r="V21" s="61">
        <v>0</v>
      </c>
      <c r="W21" s="9">
        <v>0</v>
      </c>
      <c r="X21" s="9">
        <v>0</v>
      </c>
      <c r="Y21" s="99">
        <v>0</v>
      </c>
      <c r="Z21" s="49">
        <v>0</v>
      </c>
      <c r="AA21" s="99">
        <v>0</v>
      </c>
      <c r="AB21" s="9">
        <v>0</v>
      </c>
      <c r="AC21" s="49">
        <v>0</v>
      </c>
      <c r="AD21" s="49">
        <v>0</v>
      </c>
      <c r="AE21" s="49">
        <v>0</v>
      </c>
      <c r="AF21" s="49">
        <v>0</v>
      </c>
      <c r="AG21" s="49">
        <v>0</v>
      </c>
      <c r="AH21" s="49">
        <v>0</v>
      </c>
      <c r="AI21" s="49">
        <v>0</v>
      </c>
    </row>
    <row r="22" spans="1:44" collapsed="1">
      <c r="A22" s="7" t="s">
        <v>35</v>
      </c>
      <c r="B22" s="5"/>
      <c r="C22" s="5"/>
      <c r="D22" s="5"/>
      <c r="E22" s="5"/>
      <c r="F22" s="48"/>
      <c r="G22" s="60"/>
      <c r="H22" s="5"/>
      <c r="I22" s="5"/>
      <c r="J22" s="5"/>
      <c r="K22" s="49">
        <f t="shared" ref="K22:AD22" si="16">SUM(K19:K21)</f>
        <v>1.573</v>
      </c>
      <c r="L22" s="73">
        <f t="shared" si="16"/>
        <v>0.95</v>
      </c>
      <c r="M22" s="19">
        <f>SUM(M19:M21)</f>
        <v>0.7380000000000001</v>
      </c>
      <c r="N22" s="19">
        <f t="shared" si="16"/>
        <v>1.8780000000000001</v>
      </c>
      <c r="O22" s="19">
        <f t="shared" si="16"/>
        <v>0</v>
      </c>
      <c r="P22" s="49">
        <f t="shared" si="16"/>
        <v>5.3659999999999997</v>
      </c>
      <c r="Q22" s="19">
        <f t="shared" si="16"/>
        <v>0.75</v>
      </c>
      <c r="R22" s="19">
        <f t="shared" si="16"/>
        <v>1.2710000000000001</v>
      </c>
      <c r="S22" s="19">
        <f t="shared" si="16"/>
        <v>2.08</v>
      </c>
      <c r="T22" s="19">
        <f t="shared" si="16"/>
        <v>3.83</v>
      </c>
      <c r="U22" s="48">
        <f t="shared" si="16"/>
        <v>7.931</v>
      </c>
      <c r="V22" s="19">
        <f t="shared" si="16"/>
        <v>3.4</v>
      </c>
      <c r="W22" s="19">
        <f t="shared" si="16"/>
        <v>3.2</v>
      </c>
      <c r="X22" s="19">
        <f t="shared" si="16"/>
        <v>2.8</v>
      </c>
      <c r="Y22" s="19">
        <f t="shared" si="16"/>
        <v>2.5999999999999992</v>
      </c>
      <c r="Z22" s="48">
        <f>V22+W22+X22+Y22</f>
        <v>11.999999999999998</v>
      </c>
      <c r="AA22" s="10">
        <f t="shared" si="16"/>
        <v>12.5</v>
      </c>
      <c r="AB22" s="5">
        <f t="shared" si="16"/>
        <v>10</v>
      </c>
      <c r="AC22" s="48">
        <f t="shared" si="16"/>
        <v>5.5</v>
      </c>
      <c r="AD22" s="48">
        <f t="shared" si="16"/>
        <v>3.5</v>
      </c>
      <c r="AE22" s="48">
        <f t="shared" ref="AE22:AI22" si="17">SUM(AE19:AE21)</f>
        <v>0</v>
      </c>
      <c r="AF22" s="48">
        <f t="shared" si="17"/>
        <v>0</v>
      </c>
      <c r="AG22" s="48">
        <f t="shared" si="17"/>
        <v>0</v>
      </c>
      <c r="AH22" s="48">
        <f t="shared" si="17"/>
        <v>0</v>
      </c>
      <c r="AI22" s="48">
        <f t="shared" si="17"/>
        <v>0</v>
      </c>
    </row>
    <row r="23" spans="1:44" ht="5.15" customHeight="1">
      <c r="A23" s="7"/>
      <c r="B23" s="5"/>
      <c r="C23" s="5"/>
      <c r="D23" s="5"/>
      <c r="E23" s="5"/>
      <c r="F23" s="48"/>
      <c r="G23" s="60"/>
      <c r="H23" s="5"/>
      <c r="I23" s="5"/>
      <c r="J23" s="5"/>
      <c r="K23" s="48"/>
      <c r="L23" s="60"/>
      <c r="M23" s="5"/>
      <c r="N23" s="5"/>
      <c r="O23" s="5"/>
      <c r="P23" s="48"/>
      <c r="Q23" s="5"/>
      <c r="R23" s="5"/>
      <c r="S23" s="5"/>
      <c r="T23" s="5"/>
      <c r="U23" s="48"/>
      <c r="V23" s="60"/>
      <c r="W23" s="5"/>
      <c r="X23" s="5"/>
      <c r="Y23" s="10"/>
      <c r="Z23" s="48"/>
      <c r="AA23" s="10"/>
      <c r="AB23" s="5"/>
      <c r="AC23" s="48"/>
      <c r="AD23" s="48"/>
      <c r="AE23" s="48"/>
      <c r="AF23" s="48"/>
      <c r="AG23" s="48"/>
      <c r="AH23" s="48"/>
      <c r="AI23" s="48"/>
    </row>
    <row r="24" spans="1:44">
      <c r="A24" s="7" t="s">
        <v>36</v>
      </c>
      <c r="B24" s="5"/>
      <c r="C24" s="5"/>
      <c r="D24" s="5"/>
      <c r="E24" s="5"/>
      <c r="F24" s="252"/>
      <c r="G24" s="60"/>
      <c r="H24" s="5"/>
      <c r="I24" s="5"/>
      <c r="J24" s="5"/>
      <c r="K24" s="252">
        <f>K22+K17</f>
        <v>-55.708999999999996</v>
      </c>
      <c r="L24" s="342">
        <f>L17+L22</f>
        <v>-16.55</v>
      </c>
      <c r="M24" s="420">
        <f>M17+M22</f>
        <v>-21.038000000000004</v>
      </c>
      <c r="N24" s="420">
        <f t="shared" ref="N24:O24" si="18">N17+N22</f>
        <v>-19.015999999999998</v>
      </c>
      <c r="O24" s="420">
        <f t="shared" si="18"/>
        <v>-22.775999999999989</v>
      </c>
      <c r="P24" s="48">
        <f>P17+P22</f>
        <v>-77.58</v>
      </c>
      <c r="Q24" s="420">
        <f>Q17+Q22</f>
        <v>-24.75</v>
      </c>
      <c r="R24" s="420">
        <f t="shared" ref="R24:S24" si="19">R17+R22</f>
        <v>-27.435000000000002</v>
      </c>
      <c r="S24" s="420">
        <f t="shared" si="19"/>
        <v>-29.417999999999999</v>
      </c>
      <c r="T24" s="420">
        <f>T17+T22</f>
        <v>-79.548999999999992</v>
      </c>
      <c r="U24" s="48">
        <f>U17+U22</f>
        <v>-161.15199999999999</v>
      </c>
      <c r="V24" s="420">
        <f>V17+V22</f>
        <v>-34.35</v>
      </c>
      <c r="W24" s="420">
        <f t="shared" ref="W24:X24" si="20">W17+W22</f>
        <v>-36.65</v>
      </c>
      <c r="X24" s="420">
        <f t="shared" si="20"/>
        <v>-41.650000000000006</v>
      </c>
      <c r="Y24" s="420">
        <f>Y17+Y22</f>
        <v>-48.15</v>
      </c>
      <c r="Z24" s="48">
        <f>V24+W24+X24+Y24</f>
        <v>-160.80000000000001</v>
      </c>
      <c r="AA24" s="10">
        <f t="shared" ref="AA24:AD24" si="21">AA17+AA22</f>
        <v>-191.69</v>
      </c>
      <c r="AB24" s="5">
        <f t="shared" si="21"/>
        <v>-245.68150000000003</v>
      </c>
      <c r="AC24" s="48">
        <f t="shared" si="21"/>
        <v>-245.91263500000002</v>
      </c>
      <c r="AD24" s="48">
        <f t="shared" si="21"/>
        <v>-331.38263055000004</v>
      </c>
      <c r="AE24" s="48">
        <f t="shared" ref="AE24:AI24" si="22">AE17+AE22</f>
        <v>-123.93382349458875</v>
      </c>
      <c r="AF24" s="48">
        <f t="shared" si="22"/>
        <v>244.00061311866074</v>
      </c>
      <c r="AG24" s="48">
        <f t="shared" si="22"/>
        <v>825.72358545409179</v>
      </c>
      <c r="AH24" s="48">
        <f t="shared" si="22"/>
        <v>1269.4067864411188</v>
      </c>
      <c r="AI24" s="48">
        <f t="shared" si="22"/>
        <v>1694.1156841837553</v>
      </c>
    </row>
    <row r="25" spans="1:44">
      <c r="A25" s="7" t="s">
        <v>37</v>
      </c>
      <c r="B25" s="9"/>
      <c r="C25" s="9"/>
      <c r="D25" s="9"/>
      <c r="E25" s="9"/>
      <c r="F25" s="252"/>
      <c r="G25" s="61"/>
      <c r="H25" s="9"/>
      <c r="I25" s="9"/>
      <c r="J25" s="9"/>
      <c r="K25" s="252">
        <f>SUM(G25:J25)</f>
        <v>0</v>
      </c>
      <c r="L25" s="342">
        <f t="shared" ref="L25" si="23">SUM(H25:K25)</f>
        <v>0</v>
      </c>
      <c r="M25" s="420">
        <f t="shared" ref="M25" si="24">SUM(I25:L25)</f>
        <v>0</v>
      </c>
      <c r="N25" s="420">
        <f t="shared" ref="N25" si="25">SUM(J25:M25)</f>
        <v>0</v>
      </c>
      <c r="O25" s="420">
        <f t="shared" ref="O25" si="26">SUM(K25:N25)</f>
        <v>0</v>
      </c>
      <c r="P25" s="56">
        <f t="shared" ref="P25" si="27">P24*P26</f>
        <v>0</v>
      </c>
      <c r="Q25" s="420">
        <f t="shared" ref="Q25:T25" si="28">SUM(M25:P25)</f>
        <v>0</v>
      </c>
      <c r="R25" s="420">
        <f t="shared" si="28"/>
        <v>0</v>
      </c>
      <c r="S25" s="420">
        <f t="shared" si="28"/>
        <v>0</v>
      </c>
      <c r="T25" s="420">
        <f t="shared" si="28"/>
        <v>0</v>
      </c>
      <c r="U25" s="56">
        <f t="shared" ref="U25:AD25" si="29">U24*U26</f>
        <v>0</v>
      </c>
      <c r="V25" s="73">
        <f t="shared" ref="V25:Y25" si="30">V24*V26</f>
        <v>0</v>
      </c>
      <c r="W25" s="19">
        <f t="shared" si="30"/>
        <v>0</v>
      </c>
      <c r="X25" s="19">
        <f t="shared" si="30"/>
        <v>0</v>
      </c>
      <c r="Y25" s="83">
        <f t="shared" si="30"/>
        <v>0</v>
      </c>
      <c r="Z25" s="48">
        <f>V25+W25+X25+Y25</f>
        <v>0</v>
      </c>
      <c r="AA25" s="83">
        <f t="shared" si="29"/>
        <v>0</v>
      </c>
      <c r="AB25" s="19">
        <f t="shared" si="29"/>
        <v>0</v>
      </c>
      <c r="AC25" s="56">
        <f t="shared" si="29"/>
        <v>0</v>
      </c>
      <c r="AD25" s="56">
        <f t="shared" si="29"/>
        <v>0</v>
      </c>
      <c r="AE25" s="56">
        <f t="shared" ref="AE25:AI25" si="31">AE24*AE26</f>
        <v>0</v>
      </c>
      <c r="AF25" s="56">
        <f t="shared" si="31"/>
        <v>0</v>
      </c>
      <c r="AG25" s="56">
        <f t="shared" si="31"/>
        <v>0</v>
      </c>
      <c r="AH25" s="56">
        <f t="shared" si="31"/>
        <v>0</v>
      </c>
      <c r="AI25" s="56">
        <f t="shared" si="31"/>
        <v>0</v>
      </c>
    </row>
    <row r="26" spans="1:44" ht="15" customHeight="1">
      <c r="A26" s="7" t="s">
        <v>38</v>
      </c>
      <c r="B26" s="265"/>
      <c r="C26" s="265"/>
      <c r="D26" s="265"/>
      <c r="E26" s="265"/>
      <c r="F26" s="59"/>
      <c r="G26" s="343"/>
      <c r="H26" s="265"/>
      <c r="I26" s="265"/>
      <c r="J26" s="265"/>
      <c r="K26" s="439"/>
      <c r="L26" s="343"/>
      <c r="M26" s="15"/>
      <c r="N26" s="15"/>
      <c r="O26" s="15"/>
      <c r="P26" s="69"/>
      <c r="Q26" s="15"/>
      <c r="R26" s="15"/>
      <c r="S26" s="15"/>
      <c r="T26" s="15"/>
      <c r="U26" s="59"/>
      <c r="V26" s="343">
        <f t="shared" ref="V26:Y26" si="32">Q26</f>
        <v>0</v>
      </c>
      <c r="W26" s="265">
        <f t="shared" si="32"/>
        <v>0</v>
      </c>
      <c r="X26" s="265">
        <f t="shared" si="32"/>
        <v>0</v>
      </c>
      <c r="Y26" s="522">
        <f t="shared" si="32"/>
        <v>0</v>
      </c>
      <c r="Z26" s="69">
        <f>Z25/Z24</f>
        <v>0</v>
      </c>
      <c r="AA26" s="522">
        <f t="shared" ref="AA26:AB26" si="33">Z26</f>
        <v>0</v>
      </c>
      <c r="AB26" s="265">
        <f t="shared" si="33"/>
        <v>0</v>
      </c>
      <c r="AC26" s="59">
        <f>AB26</f>
        <v>0</v>
      </c>
      <c r="AD26" s="59">
        <f>AC26</f>
        <v>0</v>
      </c>
      <c r="AE26" s="59">
        <f t="shared" ref="AE26:AG26" si="34">AD26</f>
        <v>0</v>
      </c>
      <c r="AF26" s="59">
        <f t="shared" si="34"/>
        <v>0</v>
      </c>
      <c r="AG26" s="59">
        <f t="shared" si="34"/>
        <v>0</v>
      </c>
      <c r="AH26" s="59">
        <v>0</v>
      </c>
      <c r="AI26" s="59">
        <v>0</v>
      </c>
    </row>
    <row r="27" spans="1:44" ht="15" hidden="1" customHeight="1">
      <c r="A27" s="372" t="s">
        <v>11</v>
      </c>
      <c r="B27" s="5"/>
      <c r="C27" s="5"/>
      <c r="D27" s="5"/>
      <c r="E27" s="5"/>
      <c r="F27" s="48"/>
      <c r="G27" s="60"/>
      <c r="H27" s="5"/>
      <c r="I27" s="5"/>
      <c r="J27" s="5"/>
      <c r="K27" s="48"/>
      <c r="L27" s="60">
        <f>P27/4</f>
        <v>4.0750000000000001E-2</v>
      </c>
      <c r="M27" s="5">
        <f>L27</f>
        <v>4.0750000000000001E-2</v>
      </c>
      <c r="N27" s="5">
        <f>M27</f>
        <v>4.0750000000000001E-2</v>
      </c>
      <c r="O27" s="5">
        <f>P27-SUM(L27:N27)</f>
        <v>4.0750000000000008E-2</v>
      </c>
      <c r="P27" s="48">
        <v>0.16300000000000001</v>
      </c>
      <c r="Q27" s="5"/>
      <c r="R27" s="5"/>
      <c r="S27" s="5"/>
      <c r="T27" s="5"/>
      <c r="U27" s="48"/>
      <c r="V27" s="5"/>
      <c r="W27" s="5"/>
      <c r="X27" s="5"/>
      <c r="Y27" s="5"/>
      <c r="Z27" s="48"/>
      <c r="AA27" s="10"/>
      <c r="AB27" s="5"/>
      <c r="AC27" s="48"/>
      <c r="AD27" s="48"/>
      <c r="AE27" s="48"/>
      <c r="AF27" s="48"/>
      <c r="AG27" s="48"/>
      <c r="AH27" s="48"/>
      <c r="AI27" s="48"/>
    </row>
    <row r="28" spans="1:44" ht="5.5" customHeight="1">
      <c r="A28" s="372"/>
      <c r="B28" s="5"/>
      <c r="C28" s="5"/>
      <c r="D28" s="5"/>
      <c r="E28" s="5"/>
      <c r="F28" s="48"/>
      <c r="G28" s="60"/>
      <c r="H28" s="5"/>
      <c r="I28" s="5"/>
      <c r="J28" s="5"/>
      <c r="K28" s="48"/>
      <c r="L28" s="60"/>
      <c r="M28" s="5"/>
      <c r="N28" s="5"/>
      <c r="O28" s="5"/>
      <c r="P28" s="48"/>
      <c r="Q28" s="5"/>
      <c r="R28" s="5"/>
      <c r="S28" s="5"/>
      <c r="T28" s="5"/>
      <c r="U28" s="48"/>
      <c r="V28" s="5"/>
      <c r="W28" s="5"/>
      <c r="X28" s="5"/>
      <c r="Y28" s="5"/>
      <c r="Z28" s="48"/>
      <c r="AA28" s="10"/>
      <c r="AB28" s="5"/>
      <c r="AC28" s="48"/>
      <c r="AD28" s="48"/>
      <c r="AE28" s="48"/>
      <c r="AF28" s="48"/>
      <c r="AG28" s="48"/>
      <c r="AH28" s="48"/>
      <c r="AI28" s="48"/>
    </row>
    <row r="29" spans="1:44">
      <c r="A29" s="7" t="s">
        <v>39</v>
      </c>
      <c r="B29" s="19"/>
      <c r="C29" s="19"/>
      <c r="D29" s="19"/>
      <c r="E29" s="19"/>
      <c r="F29" s="252"/>
      <c r="G29" s="73"/>
      <c r="H29" s="19"/>
      <c r="I29" s="19"/>
      <c r="J29" s="19"/>
      <c r="K29" s="56">
        <f>K24-K25</f>
        <v>-55.708999999999996</v>
      </c>
      <c r="L29" s="73">
        <f>L24-L25+L27</f>
        <v>-16.509250000000002</v>
      </c>
      <c r="M29" s="19">
        <f t="shared" ref="M29:O29" si="35">M24-M25+M27</f>
        <v>-20.997250000000005</v>
      </c>
      <c r="N29" s="19">
        <f t="shared" si="35"/>
        <v>-18.975249999999999</v>
      </c>
      <c r="O29" s="19">
        <f t="shared" si="35"/>
        <v>-22.73524999999999</v>
      </c>
      <c r="P29" s="56">
        <f>P24-P25+P27</f>
        <v>-77.417000000000002</v>
      </c>
      <c r="Q29" s="19">
        <f t="shared" ref="Q29:AD29" si="36">Q24-Q25</f>
        <v>-24.75</v>
      </c>
      <c r="R29" s="19">
        <f t="shared" si="36"/>
        <v>-27.435000000000002</v>
      </c>
      <c r="S29" s="19">
        <f t="shared" si="36"/>
        <v>-29.417999999999999</v>
      </c>
      <c r="T29" s="19">
        <f>T24-T25</f>
        <v>-79.548999999999992</v>
      </c>
      <c r="U29" s="56">
        <f t="shared" si="36"/>
        <v>-161.15199999999999</v>
      </c>
      <c r="V29" s="19">
        <f t="shared" ref="V29:X29" si="37">V24-V25</f>
        <v>-34.35</v>
      </c>
      <c r="W29" s="19">
        <f t="shared" si="37"/>
        <v>-36.65</v>
      </c>
      <c r="X29" s="19">
        <f t="shared" si="37"/>
        <v>-41.650000000000006</v>
      </c>
      <c r="Y29" s="19">
        <f>Y24-Y25</f>
        <v>-48.15</v>
      </c>
      <c r="Z29" s="48">
        <f>V29+W29+X29+Y29</f>
        <v>-160.80000000000001</v>
      </c>
      <c r="AA29" s="83">
        <f t="shared" si="36"/>
        <v>-191.69</v>
      </c>
      <c r="AB29" s="19">
        <f t="shared" si="36"/>
        <v>-245.68150000000003</v>
      </c>
      <c r="AC29" s="56">
        <f t="shared" si="36"/>
        <v>-245.91263500000002</v>
      </c>
      <c r="AD29" s="56">
        <f t="shared" si="36"/>
        <v>-331.38263055000004</v>
      </c>
      <c r="AE29" s="56">
        <f t="shared" ref="AE29:AI29" si="38">AE24-AE25</f>
        <v>-123.93382349458875</v>
      </c>
      <c r="AF29" s="56">
        <f t="shared" si="38"/>
        <v>244.00061311866074</v>
      </c>
      <c r="AG29" s="56">
        <f t="shared" si="38"/>
        <v>825.72358545409179</v>
      </c>
      <c r="AH29" s="56">
        <f t="shared" si="38"/>
        <v>1269.4067864411188</v>
      </c>
      <c r="AI29" s="56">
        <f t="shared" si="38"/>
        <v>1694.1156841837553</v>
      </c>
    </row>
    <row r="30" spans="1:44" ht="15" thickBot="1">
      <c r="A30" s="52" t="s">
        <v>374</v>
      </c>
      <c r="B30" s="283"/>
      <c r="C30" s="283"/>
      <c r="D30" s="283"/>
      <c r="E30" s="283"/>
      <c r="F30" s="317"/>
      <c r="G30" s="283"/>
      <c r="H30" s="283"/>
      <c r="I30" s="283"/>
      <c r="J30" s="283"/>
      <c r="K30" s="438"/>
      <c r="L30" s="502"/>
      <c r="M30" s="96"/>
      <c r="N30" s="96"/>
      <c r="O30" s="96"/>
      <c r="P30" s="499">
        <v>26.149152000000001</v>
      </c>
      <c r="Q30" s="501">
        <f>P30+0.025</f>
        <v>26.174151999999999</v>
      </c>
      <c r="R30" s="440">
        <f>2*26.202215-Q30</f>
        <v>26.230277999999998</v>
      </c>
      <c r="S30" s="440">
        <f>R30</f>
        <v>26.230277999999998</v>
      </c>
      <c r="T30" s="96">
        <v>32.148977000000002</v>
      </c>
      <c r="U30" s="500">
        <f>AVERAGE(Q30:T30)</f>
        <v>27.695921249999998</v>
      </c>
      <c r="V30" s="502">
        <v>45</v>
      </c>
      <c r="W30" s="440">
        <f>V30+0.1</f>
        <v>45.1</v>
      </c>
      <c r="X30" s="440">
        <f>W30+0.1</f>
        <v>45.2</v>
      </c>
      <c r="Y30" s="523">
        <f>X30+0.1+('CASH FLOW'!E43*0.5)</f>
        <v>50.300000000000004</v>
      </c>
      <c r="Z30" s="500">
        <f>AVERAGE(V30:Y30)</f>
        <v>46.400000000000006</v>
      </c>
      <c r="AA30" s="523">
        <f>Y30+0.3+'CASH FLOW'!F43</f>
        <v>58.933333333333337</v>
      </c>
      <c r="AB30" s="500">
        <f>AA30+0.3+'CASH FLOW'!G43</f>
        <v>59.233333333333334</v>
      </c>
      <c r="AC30" s="500">
        <f>AB30+0.3+'CASH FLOW'!H43</f>
        <v>66.420385674931126</v>
      </c>
      <c r="AD30" s="500">
        <f>AC30+0.3+'CASH FLOW'!I43</f>
        <v>74.546581517655895</v>
      </c>
      <c r="AE30" s="500">
        <f>AD30+0.3+'CASH FLOW'!J43</f>
        <v>74.846581517655892</v>
      </c>
      <c r="AF30" s="500">
        <f>AE30+0.3+'CASH FLOW'!K43</f>
        <v>75.146581517655889</v>
      </c>
      <c r="AG30" s="500">
        <f>AF30+0.3+'CASH FLOW'!L43</f>
        <v>75.446581517655886</v>
      </c>
      <c r="AH30" s="500">
        <f>AG30+0.3+'CASH FLOW'!M43</f>
        <v>75.746581517655883</v>
      </c>
      <c r="AI30" s="500">
        <f>AH30+0.3+'CASH FLOW'!N43</f>
        <v>76.046581517655881</v>
      </c>
    </row>
    <row r="31" spans="1:44" ht="15" thickBot="1">
      <c r="A31" s="13" t="s">
        <v>375</v>
      </c>
      <c r="B31" s="283"/>
      <c r="C31" s="283"/>
      <c r="D31" s="283"/>
      <c r="E31" s="283"/>
      <c r="F31" s="317"/>
      <c r="G31" s="283"/>
      <c r="H31" s="283"/>
      <c r="I31" s="283"/>
      <c r="J31" s="283"/>
      <c r="K31" s="531"/>
      <c r="L31" s="533"/>
      <c r="M31" s="534"/>
      <c r="N31" s="322"/>
      <c r="O31" s="115"/>
      <c r="P31" s="532">
        <f>P29/P30</f>
        <v>-2.9605931389285587</v>
      </c>
      <c r="Q31" s="441">
        <v>-0.95</v>
      </c>
      <c r="R31" s="441">
        <v>-1.05</v>
      </c>
      <c r="S31" s="322">
        <f t="shared" ref="S31:AC31" si="39">S29/S30</f>
        <v>-1.1215283345452915</v>
      </c>
      <c r="T31" s="322">
        <f t="shared" si="39"/>
        <v>-2.4743866655539302</v>
      </c>
      <c r="U31" s="111">
        <f>Q31+R31+S31+T31</f>
        <v>-5.5959150000992217</v>
      </c>
      <c r="V31" s="322">
        <f t="shared" si="39"/>
        <v>-0.76333333333333342</v>
      </c>
      <c r="W31" s="322">
        <f t="shared" si="39"/>
        <v>-0.81263858093126384</v>
      </c>
      <c r="X31" s="322">
        <f t="shared" si="39"/>
        <v>-0.92146017699115046</v>
      </c>
      <c r="Y31" s="322">
        <f t="shared" si="39"/>
        <v>-0.95725646123260422</v>
      </c>
      <c r="Z31" s="111">
        <f>V31+W31+X31+Y31</f>
        <v>-3.4546885524883519</v>
      </c>
      <c r="AA31" s="322">
        <f>AA29/AA30</f>
        <v>-3.2526583710407238</v>
      </c>
      <c r="AB31" s="111">
        <f t="shared" si="39"/>
        <v>-4.1476899268429941</v>
      </c>
      <c r="AC31" s="322">
        <f t="shared" si="39"/>
        <v>-3.7023668637445777</v>
      </c>
      <c r="AD31" s="111">
        <f>AD29/AD30</f>
        <v>-4.4453095474473789</v>
      </c>
      <c r="AE31" s="115">
        <f t="shared" ref="AE31:AI31" si="40">AE29/AE30</f>
        <v>-1.6558381288977566</v>
      </c>
      <c r="AF31" s="111">
        <f t="shared" si="40"/>
        <v>3.2469955145109579</v>
      </c>
      <c r="AG31" s="111">
        <f t="shared" si="40"/>
        <v>10.944479774220881</v>
      </c>
      <c r="AH31" s="111">
        <f t="shared" si="40"/>
        <v>16.758601655775461</v>
      </c>
      <c r="AI31" s="111">
        <f t="shared" si="40"/>
        <v>22.277341734163674</v>
      </c>
      <c r="AR31" s="1"/>
    </row>
    <row r="32" spans="1:44" ht="15" thickBot="1">
      <c r="A32" s="52" t="s">
        <v>378</v>
      </c>
      <c r="B32" s="96"/>
      <c r="C32" s="96"/>
      <c r="D32" s="96"/>
      <c r="E32" s="96"/>
      <c r="F32" s="499"/>
      <c r="G32" s="96"/>
      <c r="H32" s="96"/>
      <c r="I32" s="96"/>
      <c r="J32" s="96"/>
      <c r="K32" s="500"/>
      <c r="L32" s="502"/>
      <c r="M32" s="96"/>
      <c r="N32" s="96"/>
      <c r="O32" s="96"/>
      <c r="P32" s="499"/>
      <c r="Q32" s="501"/>
      <c r="R32" s="440"/>
      <c r="S32" s="440"/>
      <c r="T32" s="440"/>
      <c r="U32" s="500"/>
      <c r="V32" s="96">
        <f>V30+9</f>
        <v>54</v>
      </c>
      <c r="W32" s="96">
        <f t="shared" ref="W32:AD32" si="41">W30+9</f>
        <v>54.1</v>
      </c>
      <c r="X32" s="96">
        <f t="shared" si="41"/>
        <v>54.2</v>
      </c>
      <c r="Y32" s="96">
        <f t="shared" si="41"/>
        <v>59.300000000000004</v>
      </c>
      <c r="Z32" s="317">
        <f t="shared" si="41"/>
        <v>55.400000000000006</v>
      </c>
      <c r="AA32" s="317">
        <f t="shared" si="41"/>
        <v>67.933333333333337</v>
      </c>
      <c r="AB32" s="317">
        <f t="shared" si="41"/>
        <v>68.233333333333334</v>
      </c>
      <c r="AC32" s="317">
        <f t="shared" si="41"/>
        <v>75.420385674931126</v>
      </c>
      <c r="AD32" s="317">
        <f t="shared" si="41"/>
        <v>83.546581517655895</v>
      </c>
      <c r="AE32" s="440">
        <f t="shared" ref="AE32" si="42">AE30+3.87</f>
        <v>78.716581517655897</v>
      </c>
      <c r="AF32" s="438">
        <f t="shared" ref="AF32:AI32" si="43">AF30+11</f>
        <v>86.146581517655889</v>
      </c>
      <c r="AG32" s="438">
        <f t="shared" si="43"/>
        <v>86.446581517655886</v>
      </c>
      <c r="AH32" s="438">
        <f t="shared" si="43"/>
        <v>86.746581517655883</v>
      </c>
      <c r="AI32" s="438">
        <f t="shared" si="43"/>
        <v>87.046581517655881</v>
      </c>
    </row>
    <row r="33" spans="1:43" ht="14.5" customHeight="1" thickBot="1">
      <c r="A33" s="2" t="s">
        <v>98</v>
      </c>
      <c r="B33" s="322"/>
      <c r="C33" s="322"/>
      <c r="D33" s="322"/>
      <c r="E33" s="322"/>
      <c r="F33" s="111"/>
      <c r="G33" s="441"/>
      <c r="H33" s="441"/>
      <c r="I33" s="441"/>
      <c r="J33" s="441"/>
      <c r="K33" s="111"/>
      <c r="L33" s="321"/>
      <c r="M33" s="322"/>
      <c r="N33" s="322"/>
      <c r="O33" s="322"/>
      <c r="P33" s="290"/>
      <c r="Q33" s="360"/>
      <c r="R33" s="360"/>
      <c r="S33" s="322"/>
      <c r="T33" s="322"/>
      <c r="U33" s="111"/>
      <c r="V33" s="322"/>
      <c r="W33" s="322"/>
      <c r="X33" s="322"/>
      <c r="Y33" s="322"/>
      <c r="Z33" s="111"/>
      <c r="AA33" s="322"/>
      <c r="AB33" s="111"/>
      <c r="AC33" s="322"/>
      <c r="AD33" s="111"/>
      <c r="AE33" s="115"/>
      <c r="AF33" s="111">
        <f>AF29/AF32</f>
        <v>2.8323888054530917</v>
      </c>
      <c r="AG33" s="111">
        <f t="shared" ref="AG33:AI33" si="44">AG29/AG32</f>
        <v>9.5518361855112293</v>
      </c>
      <c r="AH33" s="111">
        <f t="shared" si="44"/>
        <v>14.633507905815877</v>
      </c>
      <c r="AI33" s="111">
        <f t="shared" si="44"/>
        <v>19.462173639066268</v>
      </c>
    </row>
    <row r="34" spans="1:43" s="31" customFormat="1" ht="15" hidden="1" thickBot="1">
      <c r="A34" s="503" t="s">
        <v>129</v>
      </c>
      <c r="B34" s="422"/>
      <c r="C34" s="328"/>
      <c r="D34" s="328"/>
      <c r="E34" s="328"/>
      <c r="F34" s="504"/>
      <c r="G34" s="328"/>
      <c r="H34" s="328"/>
      <c r="I34" s="328"/>
      <c r="J34" s="328"/>
      <c r="K34" s="504"/>
      <c r="L34" s="422"/>
      <c r="M34" s="328"/>
      <c r="N34" s="328"/>
      <c r="O34" s="329"/>
      <c r="P34" s="504"/>
      <c r="Q34" s="422"/>
      <c r="R34" s="328"/>
      <c r="S34" s="328"/>
      <c r="T34" s="521" cm="1">
        <f t="array" ref="T34">_xll.FDS("MPLT","FE_ESTIMATE(EPS,MEAN,QTR,2025/4F,NOW,,,'')")</f>
        <v>-1.0633334000000001</v>
      </c>
      <c r="U34" s="104" cm="1">
        <f t="array" ref="U34">_xll.FDS("MPLT-US","FE_ESTIMATE(eps,MEAN,ANN,2025,NOW,,,'')")</f>
        <v>-7.0780000000000003</v>
      </c>
      <c r="V34" s="422"/>
      <c r="W34" s="616"/>
      <c r="X34" s="616"/>
      <c r="Y34" s="329"/>
      <c r="Z34" s="104" cm="1">
        <f t="array" ref="Z34">_xll.FDS("MPLT-US","FE_ESTIMATE(eps,MEAN,ANN,2026,NOW,,,'')")</f>
        <v>-3.6659999999999999</v>
      </c>
      <c r="AA34" s="104" cm="1">
        <f t="array" ref="AA34">_xll.FDS("MPLT-US","FE_ESTIMATE(eps,MEAN,ANN,2027,NOW,,,'')")</f>
        <v>-4.0433335000000001</v>
      </c>
      <c r="AB34" s="104" cm="1">
        <f t="array" ref="AB34">_xll.FDS("MPLT-US","FE_ESTIMATE(eps,MEAN,ANN,2028,NOW,,,'')")</f>
        <v>-4.5149999999999997</v>
      </c>
      <c r="AC34" s="514"/>
      <c r="AD34" s="515"/>
      <c r="AE34" s="112"/>
      <c r="AF34" s="112"/>
      <c r="AG34" s="112"/>
      <c r="AH34" s="112"/>
      <c r="AI34" s="112"/>
      <c r="AJ34"/>
      <c r="AK34"/>
      <c r="AL34"/>
      <c r="AM34"/>
      <c r="AN34"/>
      <c r="AO34"/>
      <c r="AP34"/>
      <c r="AQ34"/>
    </row>
    <row r="35" spans="1:43" ht="12.75" customHeight="1" thickBot="1"/>
    <row r="36" spans="1:43" ht="15" thickBot="1">
      <c r="A36" s="2" t="s">
        <v>41</v>
      </c>
      <c r="B36" s="26" t="str">
        <f t="shared" ref="B36:AC36" si="45">B3</f>
        <v>1Q22</v>
      </c>
      <c r="C36" s="132" t="str">
        <f t="shared" si="45"/>
        <v>2Q22</v>
      </c>
      <c r="D36" s="132" t="str">
        <f t="shared" si="45"/>
        <v>3Q22</v>
      </c>
      <c r="E36" s="4" t="str">
        <f t="shared" si="45"/>
        <v>4Q22</v>
      </c>
      <c r="F36" s="54">
        <f t="shared" si="45"/>
        <v>2022</v>
      </c>
      <c r="G36" s="26" t="str">
        <f t="shared" si="45"/>
        <v>1Q23</v>
      </c>
      <c r="H36" s="132" t="str">
        <f t="shared" si="45"/>
        <v>2Q23</v>
      </c>
      <c r="I36" s="132" t="str">
        <f t="shared" si="45"/>
        <v>3Q23</v>
      </c>
      <c r="J36" s="4" t="str">
        <f t="shared" si="45"/>
        <v>4Q23</v>
      </c>
      <c r="K36" s="26">
        <f t="shared" si="45"/>
        <v>2023</v>
      </c>
      <c r="L36" s="158" t="str">
        <f t="shared" si="45"/>
        <v>1Q24</v>
      </c>
      <c r="M36" s="159" t="str">
        <f t="shared" si="45"/>
        <v>2Q24</v>
      </c>
      <c r="N36" s="159" t="str">
        <f t="shared" si="45"/>
        <v>3Q24</v>
      </c>
      <c r="O36" s="331" t="str">
        <f t="shared" si="45"/>
        <v>4Q24</v>
      </c>
      <c r="P36" s="26">
        <f t="shared" si="45"/>
        <v>2024</v>
      </c>
      <c r="Q36" s="26" t="str">
        <f t="shared" si="45"/>
        <v>1Q25</v>
      </c>
      <c r="R36" s="132" t="str">
        <f t="shared" si="45"/>
        <v>2Q25</v>
      </c>
      <c r="S36" s="132" t="str">
        <f t="shared" si="45"/>
        <v>3Q25</v>
      </c>
      <c r="T36" s="4" t="str">
        <f t="shared" si="45"/>
        <v>4Q25</v>
      </c>
      <c r="U36" s="4">
        <f t="shared" si="45"/>
        <v>2025</v>
      </c>
      <c r="V36" s="26" t="str">
        <f>V3</f>
        <v>1Q26E</v>
      </c>
      <c r="W36" s="132" t="str">
        <f t="shared" ref="W36:Y36" si="46">W3</f>
        <v>2Q26E</v>
      </c>
      <c r="X36" s="132" t="str">
        <f t="shared" si="46"/>
        <v>3Q26E</v>
      </c>
      <c r="Y36" s="4" t="str">
        <f t="shared" si="46"/>
        <v>4Q26E</v>
      </c>
      <c r="Z36" s="54" t="str">
        <f t="shared" si="45"/>
        <v>2026E</v>
      </c>
      <c r="AA36" s="54" t="str">
        <f t="shared" si="45"/>
        <v>2027E</v>
      </c>
      <c r="AB36" s="54" t="str">
        <f t="shared" si="45"/>
        <v>2028E</v>
      </c>
      <c r="AC36" s="54" t="str">
        <f t="shared" si="45"/>
        <v>2029E</v>
      </c>
      <c r="AD36" s="4" t="s">
        <v>6</v>
      </c>
      <c r="AE36" s="4" t="s">
        <v>6</v>
      </c>
      <c r="AF36" s="4" t="s">
        <v>6</v>
      </c>
      <c r="AG36" s="4" t="s">
        <v>6</v>
      </c>
      <c r="AH36" s="4" t="s">
        <v>6</v>
      </c>
      <c r="AI36" s="4" t="s">
        <v>6</v>
      </c>
    </row>
    <row r="37" spans="1:43" ht="5.15" customHeight="1">
      <c r="A37" s="7"/>
      <c r="B37" s="7"/>
      <c r="E37" s="14"/>
      <c r="F37" s="47"/>
      <c r="K37" s="119"/>
      <c r="L37" s="119"/>
      <c r="M37" s="20"/>
      <c r="N37" s="20"/>
      <c r="O37" s="340"/>
      <c r="P37" s="7"/>
      <c r="Q37" s="7"/>
      <c r="T37" s="14"/>
      <c r="U37" s="14"/>
      <c r="V37" s="7"/>
      <c r="Y37" s="14"/>
      <c r="Z37" s="52"/>
      <c r="AA37" s="52"/>
      <c r="AB37" s="52"/>
      <c r="AC37" s="52"/>
      <c r="AD37" s="14"/>
      <c r="AE37" s="14"/>
      <c r="AF37" s="14"/>
      <c r="AG37" s="14"/>
      <c r="AH37" s="14"/>
      <c r="AI37" s="14"/>
    </row>
    <row r="38" spans="1:43">
      <c r="A38" s="7" t="s">
        <v>26</v>
      </c>
      <c r="B38" s="174"/>
      <c r="C38" s="42"/>
      <c r="D38" s="42"/>
      <c r="E38" s="173">
        <v>1</v>
      </c>
      <c r="F38" s="284">
        <v>1</v>
      </c>
      <c r="G38" s="42">
        <v>1</v>
      </c>
      <c r="H38" s="42">
        <v>1</v>
      </c>
      <c r="I38" s="42">
        <v>1</v>
      </c>
      <c r="J38" s="42">
        <v>1</v>
      </c>
      <c r="K38" s="347">
        <v>1</v>
      </c>
      <c r="L38" s="174">
        <v>1</v>
      </c>
      <c r="M38" s="42">
        <v>1</v>
      </c>
      <c r="N38" s="42">
        <v>1</v>
      </c>
      <c r="O38" s="173">
        <v>1</v>
      </c>
      <c r="P38" s="347"/>
      <c r="Q38" s="174"/>
      <c r="R38" s="42"/>
      <c r="S38" s="42"/>
      <c r="T38" s="173"/>
      <c r="U38" s="427"/>
      <c r="V38" s="347"/>
      <c r="W38" s="615"/>
      <c r="X38" s="615"/>
      <c r="Y38" s="427"/>
      <c r="Z38" s="284"/>
      <c r="AA38" s="284"/>
      <c r="AB38" s="284"/>
      <c r="AC38" s="284"/>
      <c r="AD38" s="284">
        <v>1</v>
      </c>
      <c r="AE38" s="284">
        <f t="shared" ref="AE38" si="47">AD38</f>
        <v>1</v>
      </c>
      <c r="AF38" s="284">
        <f t="shared" ref="AF38" si="48">AE38</f>
        <v>1</v>
      </c>
      <c r="AG38" s="284">
        <f t="shared" ref="AG38" si="49">AF38</f>
        <v>1</v>
      </c>
      <c r="AH38" s="284">
        <f t="shared" ref="AH38" si="50">AG38</f>
        <v>1</v>
      </c>
      <c r="AI38" s="284">
        <f t="shared" ref="AI38" si="51">AH38</f>
        <v>1</v>
      </c>
    </row>
    <row r="39" spans="1:43">
      <c r="A39" s="7" t="s">
        <v>27</v>
      </c>
      <c r="B39" s="71"/>
      <c r="C39" s="15"/>
      <c r="D39" s="15"/>
      <c r="E39" s="16"/>
      <c r="F39" s="69"/>
      <c r="G39" s="15"/>
      <c r="H39" s="15"/>
      <c r="I39" s="15"/>
      <c r="J39" s="15"/>
      <c r="K39" s="71"/>
      <c r="L39" s="71"/>
      <c r="M39" s="15"/>
      <c r="N39" s="15"/>
      <c r="O39" s="16"/>
      <c r="P39" s="71"/>
      <c r="Q39" s="71"/>
      <c r="R39" s="15"/>
      <c r="S39" s="15"/>
      <c r="T39" s="16"/>
      <c r="U39" s="16"/>
      <c r="V39" s="71"/>
      <c r="W39" s="15"/>
      <c r="X39" s="15"/>
      <c r="Y39" s="16"/>
      <c r="Z39" s="69"/>
      <c r="AA39" s="69"/>
      <c r="AB39" s="69"/>
      <c r="AC39" s="69"/>
      <c r="AD39" s="16">
        <f t="shared" ref="AD39:AI40" si="52">AD9/AD$7</f>
        <v>0.03</v>
      </c>
      <c r="AE39" s="16">
        <f t="shared" si="52"/>
        <v>4.1157298248275909E-2</v>
      </c>
      <c r="AF39" s="16">
        <f t="shared" si="52"/>
        <v>4.3604843462834775E-2</v>
      </c>
      <c r="AG39" s="16">
        <f t="shared" si="52"/>
        <v>4.3731336247242958E-2</v>
      </c>
      <c r="AH39" s="16">
        <f t="shared" si="52"/>
        <v>4.3026541421224439E-2</v>
      </c>
      <c r="AI39" s="16">
        <f t="shared" si="52"/>
        <v>4.2851093346307462E-2</v>
      </c>
    </row>
    <row r="40" spans="1:43">
      <c r="A40" s="7" t="s">
        <v>42</v>
      </c>
      <c r="B40" s="71"/>
      <c r="C40" s="15"/>
      <c r="D40" s="15"/>
      <c r="E40" s="16"/>
      <c r="F40" s="69"/>
      <c r="G40" s="15"/>
      <c r="H40" s="15"/>
      <c r="I40" s="15"/>
      <c r="J40" s="15"/>
      <c r="K40" s="71"/>
      <c r="L40" s="71"/>
      <c r="M40" s="15"/>
      <c r="N40" s="15"/>
      <c r="O40" s="16"/>
      <c r="P40" s="71"/>
      <c r="Q40" s="71"/>
      <c r="R40" s="15"/>
      <c r="S40" s="15"/>
      <c r="T40" s="16"/>
      <c r="U40" s="16"/>
      <c r="V40" s="71"/>
      <c r="W40" s="15"/>
      <c r="X40" s="15"/>
      <c r="Y40" s="16"/>
      <c r="Z40" s="69"/>
      <c r="AA40" s="69"/>
      <c r="AB40" s="69"/>
      <c r="AC40" s="69"/>
      <c r="AD40" s="16">
        <f t="shared" si="52"/>
        <v>0.97</v>
      </c>
      <c r="AE40" s="16">
        <f t="shared" si="52"/>
        <v>0.95884270175172404</v>
      </c>
      <c r="AF40" s="16">
        <f t="shared" si="52"/>
        <v>0.95639515653716523</v>
      </c>
      <c r="AG40" s="16">
        <f t="shared" si="52"/>
        <v>0.9562686637527571</v>
      </c>
      <c r="AH40" s="16">
        <f t="shared" si="52"/>
        <v>0.95697345857877558</v>
      </c>
      <c r="AI40" s="16">
        <f t="shared" si="52"/>
        <v>0.95714890665369246</v>
      </c>
    </row>
    <row r="41" spans="1:43" ht="5.15" customHeight="1">
      <c r="A41" s="7"/>
      <c r="B41" s="7"/>
      <c r="E41" s="14"/>
      <c r="F41" s="52"/>
      <c r="K41" s="7"/>
      <c r="L41" s="7"/>
      <c r="O41" s="14"/>
      <c r="P41" s="7"/>
      <c r="Q41" s="7"/>
      <c r="T41" s="14"/>
      <c r="U41" s="14"/>
      <c r="V41" s="7"/>
      <c r="Y41" s="14"/>
      <c r="Z41" s="52"/>
      <c r="AA41" s="52"/>
      <c r="AB41" s="52"/>
      <c r="AC41" s="52"/>
      <c r="AD41" s="14"/>
      <c r="AE41" s="14"/>
      <c r="AF41" s="14"/>
      <c r="AG41" s="14"/>
      <c r="AH41" s="14"/>
      <c r="AI41" s="14"/>
    </row>
    <row r="42" spans="1:43">
      <c r="A42" s="7" t="s">
        <v>29</v>
      </c>
      <c r="B42" s="71"/>
      <c r="C42" s="15"/>
      <c r="D42" s="15"/>
      <c r="E42" s="16"/>
      <c r="F42" s="69"/>
      <c r="G42" s="15"/>
      <c r="H42" s="15"/>
      <c r="I42" s="15"/>
      <c r="J42" s="15"/>
      <c r="K42" s="71"/>
      <c r="L42" s="71"/>
      <c r="M42" s="15"/>
      <c r="N42" s="15"/>
      <c r="O42" s="16"/>
      <c r="P42" s="71"/>
      <c r="Q42" s="71"/>
      <c r="R42" s="15"/>
      <c r="S42" s="15"/>
      <c r="T42" s="16"/>
      <c r="U42" s="16"/>
      <c r="V42" s="71"/>
      <c r="W42" s="15"/>
      <c r="X42" s="15"/>
      <c r="Y42" s="16"/>
      <c r="Z42" s="69"/>
      <c r="AA42" s="69"/>
      <c r="AB42" s="69"/>
      <c r="AC42" s="69"/>
      <c r="AD42" s="16"/>
      <c r="AE42" s="16">
        <f t="shared" ref="AE42:AI43" si="53">AE12/AE$7</f>
        <v>0.87343199494007373</v>
      </c>
      <c r="AF42" s="16">
        <f t="shared" si="53"/>
        <v>0.56011526849028781</v>
      </c>
      <c r="AG42" s="16">
        <f t="shared" si="53"/>
        <v>0.33334747476032384</v>
      </c>
      <c r="AH42" s="16">
        <f t="shared" si="53"/>
        <v>0.25900126330647144</v>
      </c>
      <c r="AI42" s="16">
        <f t="shared" si="53"/>
        <v>0.21525653244444867</v>
      </c>
    </row>
    <row r="43" spans="1:43">
      <c r="A43" s="7" t="s">
        <v>30</v>
      </c>
      <c r="B43" s="71"/>
      <c r="C43" s="15"/>
      <c r="D43" s="15"/>
      <c r="E43" s="16"/>
      <c r="F43" s="69"/>
      <c r="G43" s="15"/>
      <c r="H43" s="15"/>
      <c r="I43" s="15"/>
      <c r="J43" s="15"/>
      <c r="K43" s="71"/>
      <c r="L43" s="71"/>
      <c r="M43" s="15"/>
      <c r="N43" s="15"/>
      <c r="O43" s="16"/>
      <c r="P43" s="71"/>
      <c r="Q43" s="71"/>
      <c r="R43" s="15"/>
      <c r="S43" s="15"/>
      <c r="T43" s="16"/>
      <c r="U43" s="16"/>
      <c r="V43" s="71"/>
      <c r="W43" s="15"/>
      <c r="X43" s="15"/>
      <c r="Y43" s="16"/>
      <c r="Z43" s="69"/>
      <c r="AA43" s="69"/>
      <c r="AB43" s="69"/>
      <c r="AC43" s="69"/>
      <c r="AD43" s="16"/>
      <c r="AE43" s="16">
        <f t="shared" si="53"/>
        <v>0.47461871898820907</v>
      </c>
      <c r="AF43" s="16">
        <f t="shared" si="53"/>
        <v>9.9951869732452819E-2</v>
      </c>
      <c r="AG43" s="16">
        <f t="shared" si="53"/>
        <v>4.5139710950559638E-2</v>
      </c>
      <c r="AH43" s="16">
        <f t="shared" si="53"/>
        <v>2.9872241496337354E-2</v>
      </c>
      <c r="AI43" s="16">
        <f t="shared" si="53"/>
        <v>2.4553319181498726E-2</v>
      </c>
    </row>
    <row r="44" spans="1:43" s="1" customFormat="1">
      <c r="A44" s="21" t="s">
        <v>43</v>
      </c>
      <c r="B44" s="175"/>
      <c r="C44" s="177"/>
      <c r="D44" s="177"/>
      <c r="E44" s="126"/>
      <c r="F44" s="125"/>
      <c r="G44" s="177"/>
      <c r="H44" s="177"/>
      <c r="I44" s="177"/>
      <c r="J44" s="177"/>
      <c r="K44" s="175"/>
      <c r="L44" s="175"/>
      <c r="M44" s="177"/>
      <c r="N44" s="177"/>
      <c r="O44" s="126"/>
      <c r="P44" s="175"/>
      <c r="Q44" s="175"/>
      <c r="R44" s="177"/>
      <c r="S44" s="177"/>
      <c r="T44" s="126"/>
      <c r="U44" s="126"/>
      <c r="V44" s="175"/>
      <c r="W44" s="177"/>
      <c r="X44" s="177"/>
      <c r="Y44" s="126"/>
      <c r="Z44" s="125"/>
      <c r="AA44" s="125"/>
      <c r="AB44" s="125"/>
      <c r="AC44" s="125"/>
      <c r="AD44" s="126"/>
      <c r="AE44" s="126">
        <f>AE17/AE$7</f>
        <v>-0.38920801217655876</v>
      </c>
      <c r="AF44" s="126">
        <f>AF17/AF$7</f>
        <v>0.29632801831442457</v>
      </c>
      <c r="AG44" s="126">
        <f>AG17/AG$7</f>
        <v>0.57778147804187363</v>
      </c>
      <c r="AH44" s="126">
        <f>AH17/AH$7</f>
        <v>0.66809995377596676</v>
      </c>
      <c r="AI44" s="126">
        <f>AI17/AI$7</f>
        <v>0.71733905502774509</v>
      </c>
    </row>
    <row r="45" spans="1:43" ht="5.15" customHeight="1">
      <c r="A45" s="7"/>
      <c r="B45" s="71"/>
      <c r="C45" s="15"/>
      <c r="D45" s="15"/>
      <c r="E45" s="16"/>
      <c r="F45" s="69"/>
      <c r="G45" s="15"/>
      <c r="H45" s="15"/>
      <c r="I45" s="15"/>
      <c r="J45" s="15"/>
      <c r="K45" s="71"/>
      <c r="L45" s="71"/>
      <c r="M45" s="15"/>
      <c r="N45" s="15"/>
      <c r="O45" s="16"/>
      <c r="P45" s="71"/>
      <c r="Q45" s="71"/>
      <c r="R45" s="15"/>
      <c r="S45" s="15"/>
      <c r="T45" s="16"/>
      <c r="U45" s="16"/>
      <c r="V45" s="71"/>
      <c r="W45" s="15"/>
      <c r="X45" s="15"/>
      <c r="Y45" s="16"/>
      <c r="Z45" s="69"/>
      <c r="AA45" s="69"/>
      <c r="AB45" s="69"/>
      <c r="AC45" s="69"/>
      <c r="AD45" s="16"/>
      <c r="AE45" s="16"/>
      <c r="AF45" s="16"/>
      <c r="AG45" s="16"/>
      <c r="AH45" s="16"/>
      <c r="AI45" s="16"/>
    </row>
    <row r="46" spans="1:43">
      <c r="A46" s="7" t="s">
        <v>44</v>
      </c>
      <c r="B46" s="71"/>
      <c r="C46" s="15"/>
      <c r="D46" s="15"/>
      <c r="E46" s="16"/>
      <c r="F46" s="69"/>
      <c r="G46" s="15"/>
      <c r="H46" s="15"/>
      <c r="I46" s="15"/>
      <c r="J46" s="15"/>
      <c r="K46" s="71"/>
      <c r="L46" s="71"/>
      <c r="M46" s="15"/>
      <c r="N46" s="15"/>
      <c r="O46" s="16"/>
      <c r="P46" s="71"/>
      <c r="Q46" s="71"/>
      <c r="R46" s="15"/>
      <c r="S46" s="15"/>
      <c r="T46" s="16"/>
      <c r="U46" s="16"/>
      <c r="V46" s="71"/>
      <c r="W46" s="15"/>
      <c r="X46" s="15"/>
      <c r="Y46" s="16"/>
      <c r="Z46" s="69"/>
      <c r="AA46" s="69"/>
      <c r="AB46" s="69"/>
      <c r="AC46" s="69"/>
      <c r="AD46" s="16"/>
      <c r="AE46" s="16">
        <f>AE24/AE$7</f>
        <v>-0.38920801217655876</v>
      </c>
      <c r="AF46" s="16">
        <f>AF24/AF$7</f>
        <v>0.29632801831442457</v>
      </c>
      <c r="AG46" s="16">
        <f>AG24/AG$7</f>
        <v>0.57778147804187363</v>
      </c>
      <c r="AH46" s="16">
        <f>AH24/AH$7</f>
        <v>0.66809995377596676</v>
      </c>
      <c r="AI46" s="16">
        <f>AI24/AI$7</f>
        <v>0.71733905502774509</v>
      </c>
    </row>
    <row r="47" spans="1:43" ht="15" thickBot="1">
      <c r="A47" s="17" t="s">
        <v>45</v>
      </c>
      <c r="B47" s="176"/>
      <c r="C47" s="153"/>
      <c r="D47" s="153"/>
      <c r="E47" s="18"/>
      <c r="F47" s="70"/>
      <c r="G47" s="153"/>
      <c r="H47" s="153"/>
      <c r="I47" s="153"/>
      <c r="J47" s="153"/>
      <c r="K47" s="176"/>
      <c r="L47" s="176"/>
      <c r="M47" s="153"/>
      <c r="N47" s="153"/>
      <c r="O47" s="18"/>
      <c r="P47" s="176"/>
      <c r="Q47" s="176"/>
      <c r="R47" s="153"/>
      <c r="S47" s="153"/>
      <c r="T47" s="18"/>
      <c r="U47" s="18"/>
      <c r="V47" s="176"/>
      <c r="W47" s="153"/>
      <c r="X47" s="153"/>
      <c r="Y47" s="18"/>
      <c r="Z47" s="70"/>
      <c r="AA47" s="70"/>
      <c r="AB47" s="70"/>
      <c r="AC47" s="70"/>
      <c r="AD47" s="70"/>
      <c r="AE47" s="70">
        <f>AE29/AE$7</f>
        <v>-0.38920801217655876</v>
      </c>
      <c r="AF47" s="70">
        <f>AF29/AF$7</f>
        <v>0.29632801831442457</v>
      </c>
      <c r="AG47" s="70">
        <f>AG29/AG$7</f>
        <v>0.57778147804187363</v>
      </c>
      <c r="AH47" s="70">
        <f>AH29/AH$7</f>
        <v>0.66809995377596676</v>
      </c>
      <c r="AI47" s="70">
        <f>AI29/AI$7</f>
        <v>0.71733905502774509</v>
      </c>
    </row>
    <row r="48" spans="1:43" ht="9.75" customHeight="1" thickBot="1"/>
    <row r="49" spans="1:35" ht="15" thickBot="1">
      <c r="A49" s="2" t="s">
        <v>46</v>
      </c>
      <c r="B49" s="26" t="str">
        <f t="shared" ref="B49:AC49" si="54">B36</f>
        <v>1Q22</v>
      </c>
      <c r="C49" s="132" t="str">
        <f t="shared" si="54"/>
        <v>2Q22</v>
      </c>
      <c r="D49" s="132" t="str">
        <f t="shared" si="54"/>
        <v>3Q22</v>
      </c>
      <c r="E49" s="4" t="str">
        <f t="shared" si="54"/>
        <v>4Q22</v>
      </c>
      <c r="F49" s="54">
        <f t="shared" si="54"/>
        <v>2022</v>
      </c>
      <c r="G49" s="26" t="str">
        <f t="shared" si="54"/>
        <v>1Q23</v>
      </c>
      <c r="H49" s="132" t="str">
        <f t="shared" si="54"/>
        <v>2Q23</v>
      </c>
      <c r="I49" s="132" t="str">
        <f t="shared" si="54"/>
        <v>3Q23</v>
      </c>
      <c r="J49" s="4" t="str">
        <f t="shared" si="54"/>
        <v>4Q23</v>
      </c>
      <c r="K49" s="26">
        <f t="shared" si="54"/>
        <v>2023</v>
      </c>
      <c r="L49" s="158" t="str">
        <f>L36</f>
        <v>1Q24</v>
      </c>
      <c r="M49" s="159" t="str">
        <f>M36</f>
        <v>2Q24</v>
      </c>
      <c r="N49" s="159" t="str">
        <f>N36</f>
        <v>3Q24</v>
      </c>
      <c r="O49" s="331" t="str">
        <f>O36</f>
        <v>4Q24</v>
      </c>
      <c r="P49" s="26">
        <f t="shared" si="54"/>
        <v>2024</v>
      </c>
      <c r="Q49" s="26" t="str">
        <f>Q36</f>
        <v>1Q25</v>
      </c>
      <c r="R49" s="132" t="str">
        <f t="shared" ref="R49:T49" si="55">R36</f>
        <v>2Q25</v>
      </c>
      <c r="S49" s="132" t="str">
        <f t="shared" si="55"/>
        <v>3Q25</v>
      </c>
      <c r="T49" s="4" t="str">
        <f t="shared" si="55"/>
        <v>4Q25</v>
      </c>
      <c r="U49" s="4">
        <f t="shared" si="54"/>
        <v>2025</v>
      </c>
      <c r="V49" s="26" t="str">
        <f>V3</f>
        <v>1Q26E</v>
      </c>
      <c r="W49" s="132" t="str">
        <f t="shared" ref="W49:Y49" si="56">W3</f>
        <v>2Q26E</v>
      </c>
      <c r="X49" s="132" t="str">
        <f t="shared" si="56"/>
        <v>3Q26E</v>
      </c>
      <c r="Y49" s="132" t="str">
        <f t="shared" si="56"/>
        <v>4Q26E</v>
      </c>
      <c r="Z49" s="54" t="str">
        <f t="shared" si="54"/>
        <v>2026E</v>
      </c>
      <c r="AA49" s="54" t="str">
        <f t="shared" si="54"/>
        <v>2027E</v>
      </c>
      <c r="AB49" s="54" t="str">
        <f t="shared" si="54"/>
        <v>2028E</v>
      </c>
      <c r="AC49" s="54" t="str">
        <f t="shared" si="54"/>
        <v>2029E</v>
      </c>
      <c r="AD49" s="54" t="s">
        <v>6</v>
      </c>
      <c r="AE49" s="54" t="s">
        <v>6</v>
      </c>
      <c r="AF49" s="54" t="s">
        <v>6</v>
      </c>
      <c r="AG49" s="54" t="s">
        <v>6</v>
      </c>
      <c r="AH49" s="54" t="s">
        <v>6</v>
      </c>
      <c r="AI49" s="54" t="s">
        <v>6</v>
      </c>
    </row>
    <row r="50" spans="1:35" ht="5.25" customHeight="1">
      <c r="B50" s="7"/>
      <c r="F50" s="52"/>
      <c r="G50" s="7"/>
      <c r="K50" s="7"/>
      <c r="L50" s="119"/>
      <c r="M50" s="20"/>
      <c r="N50" s="20"/>
      <c r="O50" s="340"/>
      <c r="P50" s="7"/>
      <c r="Q50" s="7"/>
      <c r="T50" s="14"/>
      <c r="U50" s="14"/>
      <c r="V50" s="119"/>
      <c r="W50" s="20"/>
      <c r="X50" s="20"/>
      <c r="Y50" s="340"/>
      <c r="Z50" s="52"/>
      <c r="AA50" s="52"/>
      <c r="AB50" s="52"/>
      <c r="AC50" s="52"/>
      <c r="AD50" s="52"/>
      <c r="AE50" s="52"/>
      <c r="AF50" s="52"/>
      <c r="AG50" s="52"/>
      <c r="AH50" s="52"/>
      <c r="AI50" s="52"/>
    </row>
    <row r="51" spans="1:35">
      <c r="A51" s="7" t="s">
        <v>26</v>
      </c>
      <c r="B51" s="71"/>
      <c r="C51" s="15"/>
      <c r="D51" s="15"/>
      <c r="E51" s="15"/>
      <c r="F51" s="69"/>
      <c r="G51" s="71"/>
      <c r="H51" s="15"/>
      <c r="I51" s="15"/>
      <c r="J51" s="15"/>
      <c r="K51" s="71"/>
      <c r="L51" s="71"/>
      <c r="M51" s="15"/>
      <c r="N51" s="15"/>
      <c r="O51" s="16"/>
      <c r="P51" s="71"/>
      <c r="Q51" s="71"/>
      <c r="R51" s="15"/>
      <c r="S51" s="15"/>
      <c r="T51" s="16"/>
      <c r="U51" s="16"/>
      <c r="V51" s="71"/>
      <c r="W51" s="15"/>
      <c r="X51" s="15"/>
      <c r="Y51" s="16"/>
      <c r="Z51" s="69"/>
      <c r="AA51" s="69"/>
      <c r="AB51" s="69"/>
      <c r="AC51" s="69"/>
      <c r="AD51" s="69"/>
      <c r="AE51" s="69"/>
      <c r="AF51" s="69"/>
      <c r="AG51" s="69"/>
      <c r="AH51" s="69"/>
      <c r="AI51" s="69"/>
    </row>
    <row r="52" spans="1:35">
      <c r="A52" s="7" t="s">
        <v>27</v>
      </c>
      <c r="B52" s="71"/>
      <c r="C52" s="15"/>
      <c r="D52" s="15"/>
      <c r="E52" s="15"/>
      <c r="F52" s="69"/>
      <c r="G52" s="71"/>
      <c r="H52" s="15"/>
      <c r="I52" s="15"/>
      <c r="J52" s="15"/>
      <c r="K52" s="71"/>
      <c r="L52" s="71"/>
      <c r="M52" s="15"/>
      <c r="N52" s="15"/>
      <c r="O52" s="16"/>
      <c r="P52" s="71"/>
      <c r="Q52" s="71"/>
      <c r="R52" s="15"/>
      <c r="S52" s="15"/>
      <c r="T52" s="16"/>
      <c r="U52" s="16"/>
      <c r="V52" s="71"/>
      <c r="W52" s="15"/>
      <c r="X52" s="15"/>
      <c r="Y52" s="16"/>
      <c r="Z52" s="69"/>
      <c r="AA52" s="69"/>
      <c r="AB52" s="69"/>
      <c r="AC52" s="69"/>
      <c r="AD52" s="69"/>
      <c r="AE52" s="69"/>
      <c r="AF52" s="69"/>
      <c r="AG52" s="69"/>
      <c r="AH52" s="69"/>
      <c r="AI52" s="69"/>
    </row>
    <row r="53" spans="1:35">
      <c r="A53" s="7" t="s">
        <v>28</v>
      </c>
      <c r="B53" s="71"/>
      <c r="C53" s="15"/>
      <c r="D53" s="15"/>
      <c r="E53" s="15"/>
      <c r="F53" s="69"/>
      <c r="G53" s="71"/>
      <c r="H53" s="15"/>
      <c r="I53" s="15"/>
      <c r="J53" s="15"/>
      <c r="K53" s="71"/>
      <c r="L53" s="71"/>
      <c r="M53" s="15"/>
      <c r="N53" s="15"/>
      <c r="O53" s="16"/>
      <c r="P53" s="71"/>
      <c r="Q53" s="71"/>
      <c r="R53" s="15"/>
      <c r="S53" s="15"/>
      <c r="T53" s="16"/>
      <c r="U53" s="16"/>
      <c r="V53" s="71"/>
      <c r="W53" s="15"/>
      <c r="X53" s="15"/>
      <c r="Y53" s="16"/>
      <c r="Z53" s="69"/>
      <c r="AA53" s="69"/>
      <c r="AB53" s="69"/>
      <c r="AC53" s="69"/>
      <c r="AD53" s="69"/>
      <c r="AE53" s="69"/>
      <c r="AF53" s="69"/>
      <c r="AG53" s="69"/>
      <c r="AH53" s="69"/>
      <c r="AI53" s="69"/>
    </row>
    <row r="54" spans="1:35" ht="5.15" customHeight="1">
      <c r="A54" s="7"/>
      <c r="B54" s="7"/>
      <c r="F54" s="52"/>
      <c r="G54" s="7"/>
      <c r="K54" s="7"/>
      <c r="L54" s="7"/>
      <c r="O54" s="14"/>
      <c r="P54" s="7"/>
      <c r="Q54" s="7"/>
      <c r="T54" s="14"/>
      <c r="U54" s="14"/>
      <c r="V54" s="7"/>
      <c r="Y54" s="14"/>
      <c r="Z54" s="52"/>
      <c r="AA54" s="52"/>
      <c r="AB54" s="52"/>
      <c r="AC54" s="52"/>
      <c r="AD54" s="52"/>
      <c r="AE54" s="52"/>
      <c r="AF54" s="52"/>
      <c r="AG54" s="52"/>
      <c r="AH54" s="52"/>
      <c r="AI54" s="52"/>
    </row>
    <row r="55" spans="1:35">
      <c r="A55" s="7" t="s">
        <v>29</v>
      </c>
      <c r="B55" s="71"/>
      <c r="C55" s="15"/>
      <c r="D55" s="15"/>
      <c r="E55" s="15"/>
      <c r="F55" s="69"/>
      <c r="G55" s="71"/>
      <c r="H55" s="15"/>
      <c r="I55" s="15"/>
      <c r="J55" s="15"/>
      <c r="K55" s="71"/>
      <c r="L55" s="71"/>
      <c r="M55" s="15"/>
      <c r="N55" s="15"/>
      <c r="O55" s="16"/>
      <c r="P55" s="71">
        <f>P12/K12-1</f>
        <v>0.89601682660707249</v>
      </c>
      <c r="Q55" s="71"/>
      <c r="R55" s="15"/>
      <c r="S55" s="15"/>
      <c r="T55" s="16"/>
      <c r="U55" s="16">
        <f>U12/P12-1</f>
        <v>1.1309020314775013</v>
      </c>
      <c r="V55" s="71"/>
      <c r="W55" s="15"/>
      <c r="X55" s="15"/>
      <c r="Y55" s="16"/>
      <c r="Z55" s="69">
        <f>Z12/U12-1</f>
        <v>-9.5464306631092621E-2</v>
      </c>
      <c r="AA55" s="69">
        <f t="shared" ref="AA55:AD56" si="57">AA12/Z12-1</f>
        <v>5.0000000000000044E-2</v>
      </c>
      <c r="AB55" s="69">
        <f t="shared" si="57"/>
        <v>5.0000000000000044E-2</v>
      </c>
      <c r="AC55" s="69">
        <f t="shared" si="57"/>
        <v>0.1881294964028779</v>
      </c>
      <c r="AD55" s="69">
        <f t="shared" si="57"/>
        <v>4.3064205013926031</v>
      </c>
      <c r="AE55" s="69">
        <f t="shared" ref="AE55:AE56" si="58">AE12/AD12-1</f>
        <v>0.4392901027170204</v>
      </c>
      <c r="AF55" s="69">
        <f t="shared" ref="AF55:AF56" si="59">AF12/AE12-1</f>
        <v>0.65828220146345373</v>
      </c>
      <c r="AG55" s="69">
        <f t="shared" ref="AG55:AG56" si="60">AG12/AF12-1</f>
        <v>3.2934138824418202E-2</v>
      </c>
      <c r="AH55" s="69">
        <f t="shared" ref="AH55:AH56" si="61">AH12/AG12-1</f>
        <v>3.2982615880181365E-2</v>
      </c>
      <c r="AI55" s="69">
        <f t="shared" ref="AI55:AI56" si="62">AI12/AH12-1</f>
        <v>3.3031751576498625E-2</v>
      </c>
    </row>
    <row r="56" spans="1:35">
      <c r="A56" s="7" t="s">
        <v>30</v>
      </c>
      <c r="B56" s="71"/>
      <c r="C56" s="15"/>
      <c r="D56" s="15"/>
      <c r="E56" s="15"/>
      <c r="F56" s="69"/>
      <c r="G56" s="71"/>
      <c r="H56" s="15"/>
      <c r="I56" s="15"/>
      <c r="J56" s="15"/>
      <c r="K56" s="71"/>
      <c r="L56" s="71"/>
      <c r="M56" s="15"/>
      <c r="N56" s="15"/>
      <c r="O56" s="16"/>
      <c r="P56" s="71">
        <f>P13/K13-1</f>
        <v>0.37942627075993962</v>
      </c>
      <c r="Q56" s="71"/>
      <c r="R56" s="15"/>
      <c r="S56" s="15"/>
      <c r="T56" s="16"/>
      <c r="U56" s="16">
        <f>U13/P13-1</f>
        <v>1.0190155130394172</v>
      </c>
      <c r="V56" s="71"/>
      <c r="W56" s="15"/>
      <c r="X56" s="15"/>
      <c r="Y56" s="16"/>
      <c r="Z56" s="69">
        <f>Z13/U13-1</f>
        <v>4.8074073538659556E-2</v>
      </c>
      <c r="AA56" s="69">
        <f t="shared" si="57"/>
        <v>0.2068965517241379</v>
      </c>
      <c r="AB56" s="69">
        <f t="shared" si="57"/>
        <v>0.28589714285714285</v>
      </c>
      <c r="AC56" s="69">
        <f t="shared" si="57"/>
        <v>-4.459339116214589E-2</v>
      </c>
      <c r="AD56" s="69">
        <f t="shared" si="57"/>
        <v>-9.3028170710799385E-2</v>
      </c>
      <c r="AE56" s="69">
        <f t="shared" si="58"/>
        <v>-0.22495553333559859</v>
      </c>
      <c r="AF56" s="69">
        <f t="shared" si="59"/>
        <v>-0.45542690071820169</v>
      </c>
      <c r="AG56" s="69">
        <f t="shared" si="60"/>
        <v>-0.21617208830981249</v>
      </c>
      <c r="AH56" s="69">
        <f t="shared" si="61"/>
        <v>-0.12017289396715802</v>
      </c>
      <c r="AI56" s="69">
        <f t="shared" si="62"/>
        <v>2.164875632184815E-2</v>
      </c>
    </row>
    <row r="57" spans="1:35">
      <c r="A57" s="7" t="s">
        <v>31</v>
      </c>
      <c r="B57" s="71"/>
      <c r="C57" s="15"/>
      <c r="D57" s="15"/>
      <c r="E57" s="15"/>
      <c r="F57" s="69"/>
      <c r="G57" s="71"/>
      <c r="H57" s="15"/>
      <c r="I57" s="15"/>
      <c r="J57" s="15"/>
      <c r="K57" s="71"/>
      <c r="L57" s="71"/>
      <c r="M57" s="15"/>
      <c r="N57" s="15"/>
      <c r="O57" s="16"/>
      <c r="P57" s="71">
        <f>P17/K17-1</f>
        <v>0.44802904926503961</v>
      </c>
      <c r="Q57" s="71"/>
      <c r="R57" s="15"/>
      <c r="S57" s="15"/>
      <c r="T57" s="16"/>
      <c r="U57" s="16">
        <f>U17/P17-1</f>
        <v>1.0384708123357367</v>
      </c>
      <c r="V57" s="71"/>
      <c r="W57" s="15"/>
      <c r="X57" s="15"/>
      <c r="Y57" s="16"/>
      <c r="Z57" s="69">
        <f>Z17/U17-1</f>
        <v>2.1983286315005124E-2</v>
      </c>
      <c r="AA57" s="69">
        <f>AA17/Z17-1</f>
        <v>0.1816550925925926</v>
      </c>
      <c r="AB57" s="69">
        <f>AB17/AA17-1</f>
        <v>0.25217444536950895</v>
      </c>
      <c r="AC57" s="69">
        <f>AC17/AB17-1</f>
        <v>-1.6696026110610274E-2</v>
      </c>
      <c r="AD57" s="69">
        <f>AD17/AC17-1</f>
        <v>0.33200398042843005</v>
      </c>
      <c r="AE57" s="69">
        <f t="shared" ref="AE57:AI57" si="63">AE17/AD17-1</f>
        <v>-0.62991862763666195</v>
      </c>
      <c r="AF57" s="69">
        <f t="shared" si="63"/>
        <v>-2.9687975908313229</v>
      </c>
      <c r="AG57" s="69">
        <f t="shared" si="63"/>
        <v>2.3841045516247594</v>
      </c>
      <c r="AH57" s="69">
        <f t="shared" si="63"/>
        <v>0.53732654462453255</v>
      </c>
      <c r="AI57" s="69">
        <f t="shared" si="63"/>
        <v>0.33457273293247569</v>
      </c>
    </row>
    <row r="58" spans="1:35" ht="5.15" customHeight="1">
      <c r="A58" s="7"/>
      <c r="B58" s="7"/>
      <c r="F58" s="52"/>
      <c r="G58" s="7"/>
      <c r="K58" s="7"/>
      <c r="L58" s="7"/>
      <c r="O58" s="14"/>
      <c r="P58" s="7"/>
      <c r="Q58" s="7"/>
      <c r="T58" s="14"/>
      <c r="U58" s="14"/>
      <c r="V58" s="7"/>
      <c r="Y58" s="14"/>
      <c r="Z58" s="52"/>
      <c r="AA58" s="52"/>
      <c r="AB58" s="52"/>
      <c r="AC58" s="52"/>
      <c r="AD58" s="52"/>
      <c r="AE58" s="52"/>
      <c r="AF58" s="52"/>
      <c r="AG58" s="52"/>
      <c r="AH58" s="52"/>
      <c r="AI58" s="52"/>
    </row>
    <row r="59" spans="1:35">
      <c r="A59" s="7" t="s">
        <v>36</v>
      </c>
      <c r="B59" s="71"/>
      <c r="C59" s="15"/>
      <c r="D59" s="15"/>
      <c r="E59" s="15"/>
      <c r="F59" s="69"/>
      <c r="G59" s="71"/>
      <c r="H59" s="15"/>
      <c r="I59" s="15"/>
      <c r="J59" s="15"/>
      <c r="K59" s="71"/>
      <c r="L59" s="71"/>
      <c r="M59" s="15"/>
      <c r="N59" s="15"/>
      <c r="O59" s="16"/>
      <c r="P59" s="71">
        <f>P24/K24-1</f>
        <v>0.39259365632124088</v>
      </c>
      <c r="Q59" s="71"/>
      <c r="R59" s="15"/>
      <c r="S59" s="15"/>
      <c r="T59" s="16"/>
      <c r="U59" s="16">
        <f>U24/P24-1</f>
        <v>1.077236401134313</v>
      </c>
      <c r="V59" s="71"/>
      <c r="W59" s="15"/>
      <c r="X59" s="15"/>
      <c r="Y59" s="16"/>
      <c r="Z59" s="69">
        <f>Z24/U24-1</f>
        <v>-2.1842732327241876E-3</v>
      </c>
      <c r="AA59" s="69">
        <f>AA24/Z24-1</f>
        <v>0.19210199004975115</v>
      </c>
      <c r="AB59" s="69">
        <f>AB24/AA24-1</f>
        <v>0.28166049350513878</v>
      </c>
      <c r="AC59" s="69">
        <f>AC24/AB24-1</f>
        <v>9.4079122766665968E-4</v>
      </c>
      <c r="AD59" s="69">
        <f>AD24/AC24-1</f>
        <v>0.34756244041710183</v>
      </c>
      <c r="AE59" s="69">
        <f t="shared" ref="AE59:AI59" si="64">AE24/AD24-1</f>
        <v>-0.62600989892290315</v>
      </c>
      <c r="AF59" s="69">
        <f t="shared" si="64"/>
        <v>-2.9687975908313229</v>
      </c>
      <c r="AG59" s="69">
        <f t="shared" si="64"/>
        <v>2.3841045516247594</v>
      </c>
      <c r="AH59" s="69">
        <f t="shared" si="64"/>
        <v>0.53732654462453255</v>
      </c>
      <c r="AI59" s="69">
        <f t="shared" si="64"/>
        <v>0.33457273293247569</v>
      </c>
    </row>
    <row r="60" spans="1:35" ht="15" thickBot="1">
      <c r="A60" s="17" t="s">
        <v>39</v>
      </c>
      <c r="B60" s="176"/>
      <c r="C60" s="153"/>
      <c r="D60" s="153"/>
      <c r="E60" s="153"/>
      <c r="F60" s="70"/>
      <c r="G60" s="176"/>
      <c r="H60" s="153"/>
      <c r="I60" s="153"/>
      <c r="J60" s="153"/>
      <c r="K60" s="176"/>
      <c r="L60" s="176"/>
      <c r="M60" s="153"/>
      <c r="N60" s="153"/>
      <c r="O60" s="18"/>
      <c r="P60" s="176">
        <f>P29/K29-1</f>
        <v>0.38966773770844942</v>
      </c>
      <c r="Q60" s="176"/>
      <c r="R60" s="153"/>
      <c r="S60" s="153"/>
      <c r="T60" s="18"/>
      <c r="U60" s="18">
        <f>U29/P29-1</f>
        <v>1.081609982303628</v>
      </c>
      <c r="V60" s="176"/>
      <c r="W60" s="153"/>
      <c r="X60" s="153"/>
      <c r="Y60" s="18"/>
      <c r="Z60" s="70">
        <f>Z29/U29-1</f>
        <v>-2.1842732327241876E-3</v>
      </c>
      <c r="AA60" s="70">
        <f>AA29/Z29-1</f>
        <v>0.19210199004975115</v>
      </c>
      <c r="AB60" s="70">
        <f>AB29/AA29-1</f>
        <v>0.28166049350513878</v>
      </c>
      <c r="AC60" s="70">
        <f>AC29/AB29-1</f>
        <v>9.4079122766665968E-4</v>
      </c>
      <c r="AD60" s="70">
        <f>AD29/AC29-1</f>
        <v>0.34756244041710183</v>
      </c>
      <c r="AE60" s="70">
        <f t="shared" ref="AE60:AI60" si="65">AE29/AD29-1</f>
        <v>-0.62600989892290315</v>
      </c>
      <c r="AF60" s="70">
        <f t="shared" si="65"/>
        <v>-2.9687975908313229</v>
      </c>
      <c r="AG60" s="70">
        <f t="shared" si="65"/>
        <v>2.3841045516247594</v>
      </c>
      <c r="AH60" s="70">
        <f t="shared" si="65"/>
        <v>0.53732654462453255</v>
      </c>
      <c r="AI60" s="70">
        <f t="shared" si="65"/>
        <v>0.33457273293247569</v>
      </c>
    </row>
    <row r="62" spans="1:35">
      <c r="A62" s="27" t="s">
        <v>267</v>
      </c>
    </row>
    <row r="66" spans="1:3">
      <c r="C66" t="s">
        <v>341</v>
      </c>
    </row>
    <row r="69" spans="1:3">
      <c r="A69" s="511" t="s">
        <v>353</v>
      </c>
    </row>
    <row r="71" spans="1:3">
      <c r="A71" t="s">
        <v>376</v>
      </c>
    </row>
    <row r="74" spans="1:3">
      <c r="A74" s="511" t="s">
        <v>377</v>
      </c>
    </row>
  </sheetData>
  <hyperlinks>
    <hyperlink ref="A69" r:id="rId1" location="fin90027_3" xr:uid="{A48CCC12-E5D5-458E-AD5B-882054CD709E}"/>
    <hyperlink ref="A74" r:id="rId2" location="fin90027_11" xr:uid="{5E3BC462-8A05-4AB7-9FFD-74BA28311F19}"/>
  </hyperlinks>
  <pageMargins left="0.7" right="0.7" top="0.75" bottom="0.75" header="0.3" footer="0.3"/>
  <pageSetup scale="76" orientation="landscape"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G51"/>
  <sheetViews>
    <sheetView zoomScaleNormal="100" workbookViewId="0">
      <pane xSplit="1" ySplit="3" topLeftCell="B4" activePane="bottomRight" state="frozen"/>
      <selection pane="topRight" activeCell="B1" sqref="B1"/>
      <selection pane="bottomLeft" activeCell="A4" sqref="A4"/>
      <selection pane="bottomRight" activeCell="B9" sqref="B9"/>
    </sheetView>
  </sheetViews>
  <sheetFormatPr defaultRowHeight="14.5" outlineLevelRow="1" outlineLevelCol="1"/>
  <cols>
    <col min="1" max="1" width="48.26953125" customWidth="1"/>
    <col min="2" max="6" width="8.7265625" customWidth="1"/>
    <col min="7" max="10" width="8.7265625" hidden="1" customWidth="1" outlineLevel="1"/>
    <col min="11" max="11" width="8.7265625" customWidth="1" collapsed="1"/>
    <col min="12" max="15" width="8.7265625" customWidth="1"/>
    <col min="16" max="21" width="8.7265625" hidden="1" customWidth="1" outlineLevel="1"/>
    <col min="22" max="22" width="9.1796875" hidden="1" customWidth="1" outlineLevel="1"/>
    <col min="23" max="32" width="8.7265625" hidden="1" customWidth="1" outlineLevel="1"/>
    <col min="33" max="33" width="9.1796875" collapsed="1"/>
  </cols>
  <sheetData>
    <row r="1" spans="1:32">
      <c r="A1" s="1" t="s">
        <v>272</v>
      </c>
    </row>
    <row r="2" spans="1:32" ht="15" thickBot="1">
      <c r="A2" s="260" t="s">
        <v>138</v>
      </c>
      <c r="B2" s="6"/>
      <c r="C2" s="6"/>
      <c r="D2" s="6"/>
      <c r="E2" s="6"/>
      <c r="F2" s="6"/>
      <c r="G2" s="6"/>
      <c r="H2" s="6"/>
      <c r="I2" s="6"/>
      <c r="J2" s="6"/>
      <c r="K2" s="6"/>
      <c r="L2" s="6"/>
      <c r="M2" s="6"/>
      <c r="N2" s="6"/>
      <c r="O2" s="6"/>
      <c r="P2" s="6"/>
      <c r="Q2" s="6"/>
      <c r="R2" s="6"/>
      <c r="S2" s="6"/>
      <c r="T2" s="6"/>
    </row>
    <row r="3" spans="1:32" ht="15" thickBot="1">
      <c r="A3" s="290"/>
      <c r="B3" s="158" t="s">
        <v>224</v>
      </c>
      <c r="C3" s="159" t="s">
        <v>226</v>
      </c>
      <c r="D3" s="159" t="s">
        <v>228</v>
      </c>
      <c r="E3" s="331" t="s">
        <v>258</v>
      </c>
      <c r="F3" s="54">
        <v>2025</v>
      </c>
      <c r="G3" s="26" t="s">
        <v>426</v>
      </c>
      <c r="H3" s="132" t="s">
        <v>427</v>
      </c>
      <c r="I3" s="132" t="s">
        <v>428</v>
      </c>
      <c r="J3" s="132" t="s">
        <v>429</v>
      </c>
      <c r="K3" s="54" t="s">
        <v>2</v>
      </c>
      <c r="L3" s="54" t="s">
        <v>3</v>
      </c>
      <c r="M3" s="54" t="s">
        <v>4</v>
      </c>
      <c r="N3" s="54" t="s">
        <v>5</v>
      </c>
      <c r="O3" s="54" t="s">
        <v>6</v>
      </c>
      <c r="P3" s="54" t="s">
        <v>103</v>
      </c>
      <c r="Q3" s="54" t="s">
        <v>104</v>
      </c>
      <c r="R3" s="54" t="s">
        <v>105</v>
      </c>
      <c r="S3" s="54" t="s">
        <v>106</v>
      </c>
      <c r="T3" s="54" t="s">
        <v>107</v>
      </c>
      <c r="U3" s="54" t="s">
        <v>148</v>
      </c>
      <c r="V3" s="54" t="s">
        <v>270</v>
      </c>
      <c r="W3" s="54" t="s">
        <v>283</v>
      </c>
      <c r="X3" s="54" t="s">
        <v>284</v>
      </c>
      <c r="Y3" s="54" t="s">
        <v>285</v>
      </c>
      <c r="Z3" s="54" t="s">
        <v>360</v>
      </c>
      <c r="AA3" s="54" t="s">
        <v>367</v>
      </c>
      <c r="AB3" s="54" t="s">
        <v>368</v>
      </c>
      <c r="AC3" s="54" t="s">
        <v>369</v>
      </c>
      <c r="AD3" s="54" t="s">
        <v>370</v>
      </c>
      <c r="AE3" s="54" t="s">
        <v>371</v>
      </c>
      <c r="AF3" s="54" t="s">
        <v>372</v>
      </c>
    </row>
    <row r="4" spans="1:32" ht="5.15" customHeight="1">
      <c r="A4" s="47"/>
      <c r="B4" s="130"/>
      <c r="C4" s="62"/>
      <c r="D4" s="62"/>
      <c r="E4" s="131"/>
      <c r="F4" s="131"/>
      <c r="G4" s="8"/>
      <c r="H4" s="8"/>
      <c r="I4" s="8"/>
      <c r="J4" s="8"/>
      <c r="K4" s="55"/>
      <c r="L4" s="55"/>
      <c r="M4" s="55"/>
      <c r="N4" s="55"/>
      <c r="O4" s="55"/>
      <c r="P4" s="55"/>
      <c r="Q4" s="55"/>
      <c r="R4" s="55"/>
      <c r="S4" s="55"/>
      <c r="T4" s="55"/>
      <c r="U4" s="55"/>
      <c r="V4" s="55"/>
      <c r="W4" s="55"/>
      <c r="X4" s="55"/>
      <c r="Y4" s="55"/>
      <c r="Z4" s="55"/>
      <c r="AA4" s="55"/>
      <c r="AB4" s="55"/>
      <c r="AC4" s="55"/>
      <c r="AD4" s="55"/>
      <c r="AE4" s="55"/>
      <c r="AF4" s="55"/>
    </row>
    <row r="5" spans="1:32">
      <c r="A5" s="105" t="s">
        <v>152</v>
      </c>
      <c r="B5" s="60"/>
      <c r="C5" s="5"/>
      <c r="D5" s="5"/>
      <c r="E5" s="10"/>
      <c r="F5" s="10"/>
      <c r="G5" s="5"/>
      <c r="H5" s="5"/>
      <c r="I5" s="5"/>
      <c r="J5" s="5"/>
      <c r="K5" s="48"/>
      <c r="L5" s="48"/>
      <c r="M5" s="48"/>
      <c r="N5" s="48"/>
      <c r="O5" s="48"/>
      <c r="P5" s="48"/>
      <c r="Q5" s="48"/>
      <c r="R5" s="48"/>
      <c r="S5" s="48"/>
      <c r="T5" s="48"/>
      <c r="U5" s="48"/>
      <c r="V5" s="48"/>
      <c r="W5" s="48"/>
      <c r="X5" s="48"/>
      <c r="Y5" s="48"/>
      <c r="Z5" s="48"/>
      <c r="AA5" s="48"/>
      <c r="AB5" s="48"/>
      <c r="AC5" s="48"/>
      <c r="AD5" s="48"/>
      <c r="AE5" s="48"/>
      <c r="AF5" s="48"/>
    </row>
    <row r="6" spans="1:32" ht="5.15" customHeight="1">
      <c r="A6" s="105"/>
      <c r="B6" s="60"/>
      <c r="C6" s="5"/>
      <c r="D6" s="5"/>
      <c r="E6" s="10"/>
      <c r="F6" s="10"/>
      <c r="G6" s="5"/>
      <c r="H6" s="5"/>
      <c r="I6" s="5"/>
      <c r="J6" s="5"/>
      <c r="K6" s="48"/>
      <c r="L6" s="48"/>
      <c r="M6" s="48"/>
      <c r="N6" s="48"/>
      <c r="O6" s="48"/>
      <c r="P6" s="48"/>
      <c r="Q6" s="48"/>
      <c r="R6" s="48"/>
      <c r="S6" s="48"/>
      <c r="T6" s="48"/>
      <c r="U6" s="48"/>
      <c r="V6" s="48"/>
      <c r="W6" s="48"/>
      <c r="X6" s="48"/>
      <c r="Y6" s="48"/>
      <c r="Z6" s="48"/>
      <c r="AA6" s="48"/>
      <c r="AB6" s="48"/>
      <c r="AC6" s="48"/>
      <c r="AD6" s="48"/>
      <c r="AE6" s="48"/>
      <c r="AF6" s="48"/>
    </row>
    <row r="7" spans="1:32">
      <c r="A7" s="402" t="s">
        <v>322</v>
      </c>
      <c r="B7" s="117"/>
      <c r="C7" s="64"/>
      <c r="D7" s="64"/>
      <c r="E7" s="257"/>
      <c r="F7" s="257"/>
      <c r="G7" s="64"/>
      <c r="H7" s="64"/>
      <c r="I7" s="64"/>
      <c r="J7" s="64"/>
      <c r="K7" s="65"/>
      <c r="L7" s="65"/>
      <c r="M7" s="65"/>
      <c r="N7" s="65"/>
      <c r="O7" s="65"/>
      <c r="P7" s="65"/>
      <c r="Q7" s="65"/>
      <c r="R7" s="65"/>
      <c r="S7" s="65"/>
      <c r="T7" s="65"/>
      <c r="U7" s="65"/>
      <c r="V7" s="65"/>
      <c r="W7" s="65"/>
      <c r="X7" s="65"/>
      <c r="Y7" s="65"/>
      <c r="Z7" s="65"/>
      <c r="AA7" s="65"/>
      <c r="AB7" s="65"/>
      <c r="AC7" s="65"/>
      <c r="AD7" s="65"/>
      <c r="AE7" s="65"/>
      <c r="AF7" s="65"/>
    </row>
    <row r="8" spans="1:32">
      <c r="A8" s="52" t="s">
        <v>323</v>
      </c>
      <c r="B8" s="61">
        <v>0</v>
      </c>
      <c r="C8" s="9">
        <v>0</v>
      </c>
      <c r="D8" s="9">
        <v>0</v>
      </c>
      <c r="E8" s="99">
        <v>0</v>
      </c>
      <c r="F8" s="99">
        <f>SUM(B8:E8)</f>
        <v>0</v>
      </c>
      <c r="G8" s="9">
        <v>0</v>
      </c>
      <c r="H8" s="9">
        <v>0</v>
      </c>
      <c r="I8" s="9">
        <v>0</v>
      </c>
      <c r="J8" s="9">
        <v>0</v>
      </c>
      <c r="K8" s="49">
        <v>0</v>
      </c>
      <c r="L8" s="49">
        <v>0</v>
      </c>
      <c r="M8" s="49">
        <v>0</v>
      </c>
      <c r="N8" s="56">
        <v>0</v>
      </c>
      <c r="O8" s="56">
        <v>55</v>
      </c>
      <c r="P8" s="56">
        <v>200</v>
      </c>
      <c r="Q8" s="56">
        <v>350</v>
      </c>
      <c r="R8" s="56">
        <v>525</v>
      </c>
      <c r="S8" s="56">
        <v>625</v>
      </c>
      <c r="T8" s="56">
        <f>S8*1.12</f>
        <v>700.00000000000011</v>
      </c>
      <c r="U8" s="56">
        <f>T8*1.1</f>
        <v>770.00000000000023</v>
      </c>
      <c r="V8" s="56">
        <f>U8*1.08</f>
        <v>831.60000000000025</v>
      </c>
      <c r="W8" s="56">
        <f>V8*1.06</f>
        <v>881.49600000000032</v>
      </c>
      <c r="X8" s="56">
        <f>W8*1.05</f>
        <v>925.57080000000042</v>
      </c>
      <c r="Y8" s="56">
        <f>X8*1.04</f>
        <v>962.59363200000041</v>
      </c>
      <c r="Z8" s="56">
        <f>Y8*1.03</f>
        <v>991.47144096000045</v>
      </c>
      <c r="AA8" s="56">
        <f>Z8*1.02</f>
        <v>1011.3008697792005</v>
      </c>
      <c r="AB8" s="56">
        <f>AA8</f>
        <v>1011.3008697792005</v>
      </c>
      <c r="AC8" s="56">
        <f>AB8</f>
        <v>1011.3008697792005</v>
      </c>
      <c r="AD8" s="56">
        <f>AC8*0.65</f>
        <v>657.34556535648039</v>
      </c>
      <c r="AE8" s="56">
        <f>AD8*0.3</f>
        <v>197.20366960694412</v>
      </c>
      <c r="AF8" s="56">
        <f>AE8*0.3</f>
        <v>59.161100882083232</v>
      </c>
    </row>
    <row r="9" spans="1:32" s="27" customFormat="1">
      <c r="A9" s="95" t="s">
        <v>94</v>
      </c>
      <c r="B9" s="81"/>
      <c r="C9" s="45"/>
      <c r="D9" s="45"/>
      <c r="E9" s="129"/>
      <c r="F9" s="455"/>
      <c r="G9" s="351"/>
      <c r="H9" s="351"/>
      <c r="I9" s="351"/>
      <c r="J9" s="351"/>
      <c r="K9" s="82"/>
      <c r="L9" s="82"/>
      <c r="M9" s="82"/>
      <c r="N9" s="53"/>
      <c r="O9" s="53"/>
      <c r="P9" s="446">
        <f t="shared" ref="P9:R9" si="0">P8/O8-1</f>
        <v>2.6363636363636362</v>
      </c>
      <c r="Q9" s="446">
        <f t="shared" si="0"/>
        <v>0.75</v>
      </c>
      <c r="R9" s="446">
        <f t="shared" si="0"/>
        <v>0.5</v>
      </c>
      <c r="S9" s="446">
        <f>S8/R8-1</f>
        <v>0.19047619047619047</v>
      </c>
      <c r="T9" s="446">
        <f>T8/S8-1</f>
        <v>0.12000000000000011</v>
      </c>
      <c r="U9" s="446">
        <f t="shared" ref="U9:AF9" si="1">U8/T8-1</f>
        <v>0.10000000000000009</v>
      </c>
      <c r="V9" s="446">
        <f t="shared" si="1"/>
        <v>8.0000000000000071E-2</v>
      </c>
      <c r="W9" s="446">
        <f t="shared" si="1"/>
        <v>6.0000000000000053E-2</v>
      </c>
      <c r="X9" s="446">
        <f t="shared" si="1"/>
        <v>5.0000000000000044E-2</v>
      </c>
      <c r="Y9" s="446">
        <f t="shared" si="1"/>
        <v>4.0000000000000036E-2</v>
      </c>
      <c r="Z9" s="446">
        <f t="shared" si="1"/>
        <v>3.0000000000000027E-2</v>
      </c>
      <c r="AA9" s="446">
        <f t="shared" si="1"/>
        <v>2.0000000000000018E-2</v>
      </c>
      <c r="AB9" s="446">
        <f t="shared" si="1"/>
        <v>0</v>
      </c>
      <c r="AC9" s="446">
        <f t="shared" si="1"/>
        <v>0</v>
      </c>
      <c r="AD9" s="446">
        <f t="shared" si="1"/>
        <v>-0.35</v>
      </c>
      <c r="AE9" s="446">
        <f t="shared" si="1"/>
        <v>-0.7</v>
      </c>
      <c r="AF9" s="446">
        <f t="shared" si="1"/>
        <v>-0.7</v>
      </c>
    </row>
    <row r="10" spans="1:32" s="27" customFormat="1">
      <c r="A10" s="95"/>
      <c r="B10" s="81"/>
      <c r="C10" s="45"/>
      <c r="D10" s="45"/>
      <c r="E10" s="129"/>
      <c r="F10" s="129"/>
      <c r="G10" s="45"/>
      <c r="H10" s="45"/>
      <c r="I10" s="45"/>
      <c r="J10" s="45"/>
      <c r="K10" s="53"/>
      <c r="L10" s="81"/>
      <c r="M10" s="53"/>
      <c r="N10" s="81"/>
      <c r="O10" s="53"/>
      <c r="P10" s="81"/>
      <c r="Q10" s="81"/>
      <c r="R10" s="81"/>
      <c r="S10" s="81"/>
      <c r="T10" s="53"/>
      <c r="U10" s="53"/>
      <c r="V10" s="53"/>
      <c r="W10" s="53"/>
      <c r="X10" s="53"/>
      <c r="Y10" s="53"/>
      <c r="Z10" s="53"/>
      <c r="AA10" s="53"/>
      <c r="AB10" s="53"/>
      <c r="AC10" s="53"/>
      <c r="AD10" s="53"/>
      <c r="AE10" s="53"/>
      <c r="AF10" s="53"/>
    </row>
    <row r="11" spans="1:32" s="27" customFormat="1">
      <c r="A11" s="402" t="s">
        <v>373</v>
      </c>
      <c r="B11" s="81"/>
      <c r="C11" s="45"/>
      <c r="D11" s="45"/>
      <c r="E11" s="129"/>
      <c r="F11" s="129"/>
      <c r="G11" s="45"/>
      <c r="H11" s="45"/>
      <c r="I11" s="45"/>
      <c r="J11" s="45"/>
      <c r="K11" s="53"/>
      <c r="L11" s="81"/>
      <c r="M11" s="53"/>
      <c r="N11" s="81"/>
      <c r="O11" s="53"/>
      <c r="P11" s="81"/>
      <c r="Q11" s="81"/>
      <c r="R11" s="81"/>
      <c r="S11" s="81"/>
      <c r="T11" s="53"/>
      <c r="U11" s="53"/>
      <c r="V11" s="53"/>
      <c r="W11" s="53"/>
      <c r="X11" s="53"/>
      <c r="Y11" s="53"/>
      <c r="Z11" s="53"/>
      <c r="AA11" s="53"/>
      <c r="AB11" s="53"/>
      <c r="AC11" s="53"/>
      <c r="AD11" s="53"/>
      <c r="AE11" s="53"/>
      <c r="AF11" s="53"/>
    </row>
    <row r="12" spans="1:32" s="27" customFormat="1">
      <c r="A12" s="52" t="s">
        <v>326</v>
      </c>
      <c r="B12" s="61">
        <v>0</v>
      </c>
      <c r="C12" s="9">
        <v>0</v>
      </c>
      <c r="D12" s="9">
        <v>0</v>
      </c>
      <c r="E12" s="99">
        <v>0</v>
      </c>
      <c r="F12" s="99">
        <f>SUM(B12:E12)</f>
        <v>0</v>
      </c>
      <c r="G12" s="9">
        <v>0</v>
      </c>
      <c r="H12" s="9">
        <v>0</v>
      </c>
      <c r="I12" s="9">
        <v>0</v>
      </c>
      <c r="J12" s="9">
        <v>0</v>
      </c>
      <c r="K12" s="49">
        <v>0</v>
      </c>
      <c r="L12" s="49">
        <v>0</v>
      </c>
      <c r="M12" s="49">
        <v>0</v>
      </c>
      <c r="N12" s="406">
        <f>'ML-007'!G102</f>
        <v>0</v>
      </c>
      <c r="O12" s="406">
        <f>'ML-007'!H102</f>
        <v>0</v>
      </c>
      <c r="P12" s="406">
        <f>'ML-007'!I102</f>
        <v>0</v>
      </c>
      <c r="Q12" s="407">
        <v>100</v>
      </c>
      <c r="R12" s="407">
        <v>250</v>
      </c>
      <c r="S12" s="407">
        <v>450</v>
      </c>
      <c r="T12" s="407">
        <v>650</v>
      </c>
      <c r="U12" s="407">
        <v>825</v>
      </c>
      <c r="V12" s="407">
        <v>950</v>
      </c>
      <c r="W12" s="407">
        <v>1050</v>
      </c>
      <c r="X12" s="407">
        <v>1125</v>
      </c>
      <c r="Y12" s="407">
        <f>X12*1.05</f>
        <v>1181.25</v>
      </c>
      <c r="Z12" s="407">
        <f t="shared" ref="Z12" si="2">Y12*1.05</f>
        <v>1240.3125</v>
      </c>
      <c r="AA12" s="407">
        <f>Z12*1.04</f>
        <v>1289.925</v>
      </c>
      <c r="AB12" s="407">
        <f>AA12*1.03</f>
        <v>1328.62275</v>
      </c>
      <c r="AC12" s="407">
        <f>AB12*1.03</f>
        <v>1368.4814325</v>
      </c>
      <c r="AD12" s="56">
        <f>AC12*0.65</f>
        <v>889.51293112500002</v>
      </c>
      <c r="AE12" s="56">
        <f>AD12*0.3</f>
        <v>266.85387933750002</v>
      </c>
      <c r="AF12" s="56">
        <f>AE12*0.3</f>
        <v>80.056163801250008</v>
      </c>
    </row>
    <row r="13" spans="1:32" s="27" customFormat="1">
      <c r="A13" s="95" t="s">
        <v>94</v>
      </c>
      <c r="B13" s="81"/>
      <c r="C13" s="45"/>
      <c r="D13" s="45"/>
      <c r="E13" s="129"/>
      <c r="F13" s="129"/>
      <c r="G13" s="45"/>
      <c r="H13" s="45"/>
      <c r="I13" s="45"/>
      <c r="J13" s="45"/>
      <c r="K13" s="53"/>
      <c r="L13" s="81"/>
      <c r="M13" s="53"/>
      <c r="N13" s="81"/>
      <c r="O13" s="53"/>
      <c r="P13" s="81"/>
      <c r="Q13" s="81"/>
      <c r="R13" s="446">
        <f t="shared" ref="R13" si="3">R12/Q12-1</f>
        <v>1.5</v>
      </c>
      <c r="S13" s="446">
        <f>S12/R12-1</f>
        <v>0.8</v>
      </c>
      <c r="T13" s="446">
        <f t="shared" ref="T13:U13" si="4">T12/S12-1</f>
        <v>0.44444444444444442</v>
      </c>
      <c r="U13" s="446">
        <f t="shared" si="4"/>
        <v>0.26923076923076916</v>
      </c>
      <c r="V13" s="446">
        <f t="shared" ref="V13:W13" si="5">V12/U12-1</f>
        <v>0.1515151515151516</v>
      </c>
      <c r="W13" s="446">
        <f t="shared" si="5"/>
        <v>0.10526315789473695</v>
      </c>
      <c r="X13" s="446">
        <f t="shared" ref="X13:Y13" si="6">X12/W12-1</f>
        <v>7.1428571428571397E-2</v>
      </c>
      <c r="Y13" s="446">
        <f t="shared" si="6"/>
        <v>5.0000000000000044E-2</v>
      </c>
      <c r="Z13" s="446">
        <f t="shared" ref="Z13:AA13" si="7">Z12/Y12-1</f>
        <v>5.0000000000000044E-2</v>
      </c>
      <c r="AA13" s="446">
        <f t="shared" si="7"/>
        <v>4.0000000000000036E-2</v>
      </c>
      <c r="AB13" s="446">
        <f t="shared" ref="AB13:AC13" si="8">AB12/AA12-1</f>
        <v>3.0000000000000027E-2</v>
      </c>
      <c r="AC13" s="446">
        <f t="shared" si="8"/>
        <v>3.0000000000000027E-2</v>
      </c>
      <c r="AD13" s="446">
        <f t="shared" ref="AD13:AE13" si="9">AD12/AC12-1</f>
        <v>-0.35</v>
      </c>
      <c r="AE13" s="446">
        <f t="shared" si="9"/>
        <v>-0.7</v>
      </c>
      <c r="AF13" s="446">
        <f t="shared" ref="AF13" si="10">AF12/AE12-1</f>
        <v>-0.7</v>
      </c>
    </row>
    <row r="14" spans="1:32" s="27" customFormat="1" ht="15" thickBot="1">
      <c r="A14" s="52"/>
      <c r="B14" s="73"/>
      <c r="C14" s="19"/>
      <c r="D14" s="19"/>
      <c r="E14" s="83"/>
      <c r="F14" s="83"/>
      <c r="G14" s="19"/>
      <c r="H14" s="19"/>
      <c r="I14" s="19"/>
      <c r="J14" s="19"/>
      <c r="K14" s="56"/>
      <c r="L14" s="56"/>
      <c r="M14" s="56"/>
      <c r="N14" s="56"/>
      <c r="O14" s="56"/>
      <c r="P14" s="56"/>
      <c r="Q14" s="56"/>
      <c r="R14" s="56"/>
      <c r="S14" s="56"/>
      <c r="T14" s="56"/>
      <c r="U14" s="56"/>
      <c r="V14" s="56"/>
      <c r="W14" s="56"/>
      <c r="X14" s="56"/>
      <c r="Y14" s="56"/>
      <c r="Z14" s="56"/>
      <c r="AA14" s="56"/>
      <c r="AB14" s="56"/>
      <c r="AC14" s="56"/>
      <c r="AD14" s="56"/>
      <c r="AE14" s="56"/>
      <c r="AF14" s="56"/>
    </row>
    <row r="15" spans="1:32" s="27" customFormat="1" ht="15" thickBot="1">
      <c r="A15" s="107" t="s">
        <v>332</v>
      </c>
      <c r="B15" s="484">
        <f t="shared" ref="B15:Z15" si="11">B8+B12</f>
        <v>0</v>
      </c>
      <c r="C15" s="485">
        <f t="shared" si="11"/>
        <v>0</v>
      </c>
      <c r="D15" s="485">
        <f t="shared" si="11"/>
        <v>0</v>
      </c>
      <c r="E15" s="486">
        <f t="shared" si="11"/>
        <v>0</v>
      </c>
      <c r="F15" s="485">
        <f t="shared" si="11"/>
        <v>0</v>
      </c>
      <c r="G15" s="484">
        <f t="shared" si="11"/>
        <v>0</v>
      </c>
      <c r="H15" s="485">
        <f t="shared" si="11"/>
        <v>0</v>
      </c>
      <c r="I15" s="485">
        <f t="shared" si="11"/>
        <v>0</v>
      </c>
      <c r="J15" s="485">
        <f t="shared" si="11"/>
        <v>0</v>
      </c>
      <c r="K15" s="494">
        <f t="shared" si="11"/>
        <v>0</v>
      </c>
      <c r="L15" s="484">
        <f t="shared" si="11"/>
        <v>0</v>
      </c>
      <c r="M15" s="484">
        <f t="shared" si="11"/>
        <v>0</v>
      </c>
      <c r="N15" s="484">
        <f t="shared" si="11"/>
        <v>0</v>
      </c>
      <c r="O15" s="494">
        <f t="shared" si="11"/>
        <v>55</v>
      </c>
      <c r="P15" s="484">
        <f t="shared" si="11"/>
        <v>200</v>
      </c>
      <c r="Q15" s="484">
        <f t="shared" si="11"/>
        <v>450</v>
      </c>
      <c r="R15" s="484">
        <f t="shared" si="11"/>
        <v>775</v>
      </c>
      <c r="S15" s="484">
        <f t="shared" si="11"/>
        <v>1075</v>
      </c>
      <c r="T15" s="484">
        <f t="shared" si="11"/>
        <v>1350</v>
      </c>
      <c r="U15" s="484">
        <f t="shared" si="11"/>
        <v>1595.0000000000002</v>
      </c>
      <c r="V15" s="484">
        <f t="shared" si="11"/>
        <v>1781.6000000000004</v>
      </c>
      <c r="W15" s="484">
        <f t="shared" si="11"/>
        <v>1931.4960000000003</v>
      </c>
      <c r="X15" s="484">
        <f t="shared" si="11"/>
        <v>2050.5708000000004</v>
      </c>
      <c r="Y15" s="484">
        <f t="shared" si="11"/>
        <v>2143.8436320000005</v>
      </c>
      <c r="Z15" s="484">
        <f t="shared" si="11"/>
        <v>2231.7839409600006</v>
      </c>
      <c r="AA15" s="484">
        <f t="shared" ref="AA15" si="12">AA8+AA12</f>
        <v>2301.2258697792004</v>
      </c>
      <c r="AB15" s="484">
        <f>AB8+AB12</f>
        <v>2339.9236197792006</v>
      </c>
      <c r="AC15" s="484">
        <f t="shared" ref="AC15:AD15" si="13">AC8+AC12</f>
        <v>2379.7823022792004</v>
      </c>
      <c r="AD15" s="484">
        <f t="shared" si="13"/>
        <v>1546.8584964814804</v>
      </c>
      <c r="AE15" s="484">
        <f t="shared" ref="AE15:AF15" si="14">AE8+AE12</f>
        <v>464.05754894444414</v>
      </c>
      <c r="AF15" s="494">
        <f t="shared" si="14"/>
        <v>139.21726468333324</v>
      </c>
    </row>
    <row r="16" spans="1:32" s="27" customFormat="1">
      <c r="A16" s="95"/>
      <c r="B16" s="73"/>
      <c r="C16" s="19"/>
      <c r="D16" s="19"/>
      <c r="E16" s="83"/>
      <c r="F16" s="83"/>
      <c r="G16" s="19"/>
      <c r="H16" s="19"/>
      <c r="I16" s="19"/>
      <c r="J16" s="83"/>
      <c r="K16" s="83"/>
      <c r="L16" s="73"/>
      <c r="M16" s="262"/>
      <c r="N16" s="83"/>
      <c r="O16" s="56"/>
      <c r="P16" s="56"/>
      <c r="Q16" s="56"/>
      <c r="R16" s="56"/>
      <c r="S16" s="56"/>
      <c r="T16" s="56"/>
      <c r="U16" s="56"/>
      <c r="V16" s="56"/>
      <c r="W16" s="56"/>
      <c r="X16" s="56"/>
      <c r="Y16" s="56"/>
      <c r="Z16" s="56"/>
      <c r="AA16" s="56"/>
      <c r="AB16" s="56"/>
      <c r="AC16" s="56"/>
      <c r="AD16" s="56"/>
      <c r="AE16" s="56"/>
      <c r="AF16" s="56"/>
    </row>
    <row r="17" spans="1:32" s="27" customFormat="1">
      <c r="A17" s="402" t="s">
        <v>324</v>
      </c>
      <c r="B17" s="73"/>
      <c r="C17" s="19"/>
      <c r="D17" s="19"/>
      <c r="E17" s="83"/>
      <c r="F17" s="83"/>
      <c r="G17" s="19"/>
      <c r="H17" s="19"/>
      <c r="I17" s="19"/>
      <c r="J17" s="83"/>
      <c r="K17" s="83"/>
      <c r="L17" s="73"/>
      <c r="M17" s="56"/>
      <c r="N17" s="83"/>
      <c r="O17" s="56"/>
      <c r="P17" s="56"/>
      <c r="Q17" s="56"/>
      <c r="R17" s="56"/>
      <c r="S17" s="56"/>
      <c r="T17" s="56"/>
      <c r="U17" s="56"/>
      <c r="V17" s="56"/>
      <c r="W17" s="56"/>
      <c r="X17" s="56"/>
      <c r="Y17" s="56"/>
      <c r="Z17" s="56"/>
      <c r="AA17" s="56"/>
      <c r="AB17" s="56"/>
      <c r="AC17" s="56"/>
      <c r="AD17" s="56"/>
      <c r="AE17" s="56"/>
      <c r="AF17" s="56"/>
    </row>
    <row r="18" spans="1:32" s="27" customFormat="1">
      <c r="A18" s="52" t="s">
        <v>325</v>
      </c>
      <c r="B18" s="73"/>
      <c r="C18" s="19"/>
      <c r="D18" s="19"/>
      <c r="E18" s="83"/>
      <c r="F18" s="83">
        <f>'ML-004'!C29</f>
        <v>0</v>
      </c>
      <c r="G18" s="19">
        <v>0</v>
      </c>
      <c r="H18" s="19">
        <v>0</v>
      </c>
      <c r="I18" s="19">
        <v>0</v>
      </c>
      <c r="J18" s="83">
        <v>0</v>
      </c>
      <c r="K18" s="83">
        <f>'ML-004'!D29</f>
        <v>0</v>
      </c>
      <c r="L18" s="73">
        <f>'ML-004'!E29</f>
        <v>0</v>
      </c>
      <c r="M18" s="56">
        <f>'ML-004'!F29</f>
        <v>0</v>
      </c>
      <c r="N18" s="83">
        <f>'ML-004'!G29</f>
        <v>0</v>
      </c>
      <c r="O18" s="56">
        <f>'ML-004'!H29</f>
        <v>0</v>
      </c>
      <c r="P18" s="56">
        <f>'ML-004'!I29</f>
        <v>118.42567372011837</v>
      </c>
      <c r="Q18" s="56">
        <f>'ML-004'!J29</f>
        <v>373.41391309059117</v>
      </c>
      <c r="R18" s="56">
        <f>'ML-004'!K29</f>
        <v>654.1278222564431</v>
      </c>
      <c r="S18" s="56">
        <f>'ML-004'!L29</f>
        <v>825.02525709916119</v>
      </c>
      <c r="T18" s="56">
        <f>'ML-004'!M29</f>
        <v>1011.666595886419</v>
      </c>
      <c r="U18" s="56">
        <f>'ML-004'!N29</f>
        <v>1215.2139149787668</v>
      </c>
      <c r="V18" s="56">
        <f>'ML-004'!O29</f>
        <v>1436.9069085057363</v>
      </c>
      <c r="W18" s="56">
        <f>'ML-004'!P29</f>
        <v>1594.1643954174519</v>
      </c>
      <c r="X18" s="56">
        <f>'ML-004'!Q29</f>
        <v>1763.7331450563295</v>
      </c>
      <c r="Y18" s="56">
        <f>'ML-004'!R29</f>
        <v>1946.4603082170279</v>
      </c>
      <c r="Z18" s="56">
        <f t="shared" ref="Z18:AA18" si="15">Y18*(1+Z19)</f>
        <v>2004.8541174635388</v>
      </c>
      <c r="AA18" s="56">
        <f t="shared" si="15"/>
        <v>2064.999740987445</v>
      </c>
      <c r="AB18" s="56">
        <f t="shared" ref="AB18" si="16">AA18*(1+AB19)</f>
        <v>2126.9497332170686</v>
      </c>
      <c r="AC18" s="56">
        <f t="shared" ref="AC18" si="17">AB18*(1+AC19)</f>
        <v>2190.7582252135808</v>
      </c>
      <c r="AD18" s="56">
        <f t="shared" ref="AD18:AF18" si="18">AC18*(1+AD19)</f>
        <v>2256.4809719699883</v>
      </c>
      <c r="AE18" s="56">
        <f t="shared" si="18"/>
        <v>2324.1754011290882</v>
      </c>
      <c r="AF18" s="56">
        <f t="shared" si="18"/>
        <v>2393.9006631629609</v>
      </c>
    </row>
    <row r="19" spans="1:32" s="27" customFormat="1" ht="15" thickBot="1">
      <c r="A19" s="52"/>
      <c r="B19" s="73"/>
      <c r="C19" s="19"/>
      <c r="D19" s="19"/>
      <c r="E19" s="83"/>
      <c r="F19" s="83"/>
      <c r="G19" s="19"/>
      <c r="H19" s="19"/>
      <c r="I19" s="19"/>
      <c r="J19" s="83"/>
      <c r="K19" s="83"/>
      <c r="L19" s="73"/>
      <c r="M19" s="56"/>
      <c r="N19" s="83"/>
      <c r="O19" s="56"/>
      <c r="P19" s="56"/>
      <c r="Q19" s="56"/>
      <c r="R19" s="56"/>
      <c r="S19" s="56"/>
      <c r="T19" s="56"/>
      <c r="U19" s="56"/>
      <c r="V19" s="56"/>
      <c r="W19" s="56"/>
      <c r="X19" s="56"/>
      <c r="Y19" s="56"/>
      <c r="Z19" s="82">
        <v>0.03</v>
      </c>
      <c r="AA19" s="82">
        <v>0.03</v>
      </c>
      <c r="AB19" s="82">
        <v>0.03</v>
      </c>
      <c r="AC19" s="82">
        <v>0.03</v>
      </c>
      <c r="AD19" s="82">
        <v>0.03</v>
      </c>
      <c r="AE19" s="82">
        <v>0.03</v>
      </c>
      <c r="AF19" s="82">
        <v>0.03</v>
      </c>
    </row>
    <row r="20" spans="1:32" s="94" customFormat="1" ht="15" thickBot="1">
      <c r="A20" s="107" t="s">
        <v>327</v>
      </c>
      <c r="B20" s="429">
        <f>B18+B15</f>
        <v>0</v>
      </c>
      <c r="C20" s="430">
        <f t="shared" ref="C20:T20" si="19">C18+C15</f>
        <v>0</v>
      </c>
      <c r="D20" s="430">
        <f t="shared" si="19"/>
        <v>0</v>
      </c>
      <c r="E20" s="431">
        <f t="shared" si="19"/>
        <v>0</v>
      </c>
      <c r="F20" s="428">
        <f>SUM(B20:E20)</f>
        <v>0</v>
      </c>
      <c r="G20" s="179">
        <f>G18+G15</f>
        <v>0</v>
      </c>
      <c r="H20" s="613">
        <f t="shared" si="19"/>
        <v>0</v>
      </c>
      <c r="I20" s="613">
        <f t="shared" si="19"/>
        <v>0</v>
      </c>
      <c r="J20" s="113">
        <f t="shared" si="19"/>
        <v>0</v>
      </c>
      <c r="K20" s="93">
        <f t="shared" si="19"/>
        <v>0</v>
      </c>
      <c r="L20" s="93">
        <f t="shared" si="19"/>
        <v>0</v>
      </c>
      <c r="M20" s="93">
        <f t="shared" si="19"/>
        <v>0</v>
      </c>
      <c r="N20" s="93">
        <f t="shared" si="19"/>
        <v>0</v>
      </c>
      <c r="O20" s="93">
        <f t="shared" si="19"/>
        <v>55</v>
      </c>
      <c r="P20" s="93">
        <f t="shared" si="19"/>
        <v>318.42567372011837</v>
      </c>
      <c r="Q20" s="93">
        <f t="shared" si="19"/>
        <v>823.41391309059122</v>
      </c>
      <c r="R20" s="93">
        <f t="shared" si="19"/>
        <v>1429.1278222564431</v>
      </c>
      <c r="S20" s="93">
        <f t="shared" si="19"/>
        <v>1900.0252570991611</v>
      </c>
      <c r="T20" s="93">
        <f t="shared" si="19"/>
        <v>2361.6665958864191</v>
      </c>
      <c r="U20" s="93">
        <f t="shared" ref="U20:V20" si="20">U18+U15</f>
        <v>2810.2139149787672</v>
      </c>
      <c r="V20" s="93">
        <f t="shared" si="20"/>
        <v>3218.5069085057366</v>
      </c>
      <c r="W20" s="93">
        <f t="shared" ref="W20:Y20" si="21">W18+W15</f>
        <v>3525.6603954174525</v>
      </c>
      <c r="X20" s="93">
        <f t="shared" si="21"/>
        <v>3814.3039450563301</v>
      </c>
      <c r="Y20" s="93">
        <f t="shared" si="21"/>
        <v>4090.3039402170284</v>
      </c>
      <c r="Z20" s="93">
        <f t="shared" ref="Z20:AA20" si="22">Z18+Z15</f>
        <v>4236.6380584235394</v>
      </c>
      <c r="AA20" s="93">
        <f t="shared" si="22"/>
        <v>4366.2256107666453</v>
      </c>
      <c r="AB20" s="93">
        <f t="shared" ref="AB20:AD20" si="23">AB18+AB15</f>
        <v>4466.8733529962692</v>
      </c>
      <c r="AC20" s="93">
        <f t="shared" si="23"/>
        <v>4570.5405274927816</v>
      </c>
      <c r="AD20" s="93">
        <f t="shared" si="23"/>
        <v>3803.3394684514687</v>
      </c>
      <c r="AE20" s="93">
        <f t="shared" ref="AE20:AF20" si="24">AE18+AE15</f>
        <v>2788.2329500735323</v>
      </c>
      <c r="AF20" s="93">
        <f t="shared" si="24"/>
        <v>2533.1179278462942</v>
      </c>
    </row>
    <row r="21" spans="1:32" s="1" customFormat="1">
      <c r="A21" s="259" t="s">
        <v>94</v>
      </c>
      <c r="B21" s="432"/>
      <c r="C21" s="433"/>
      <c r="D21" s="433"/>
      <c r="E21" s="434"/>
      <c r="F21" s="327"/>
      <c r="G21" s="180"/>
      <c r="H21" s="180"/>
      <c r="I21" s="180"/>
      <c r="J21" s="327"/>
      <c r="K21" s="327"/>
      <c r="L21" s="338"/>
      <c r="M21" s="258"/>
      <c r="N21" s="327"/>
      <c r="O21" s="258"/>
      <c r="P21" s="258"/>
      <c r="Q21" s="258">
        <f t="shared" ref="Q21:AA21" si="25">Q20/P20-1</f>
        <v>1.5858904637643461</v>
      </c>
      <c r="R21" s="258">
        <f t="shared" si="25"/>
        <v>0.73561291537129003</v>
      </c>
      <c r="S21" s="258">
        <f t="shared" si="25"/>
        <v>0.3294998722362148</v>
      </c>
      <c r="T21" s="258">
        <f t="shared" si="25"/>
        <v>0.24296589588080697</v>
      </c>
      <c r="U21" s="258">
        <f t="shared" si="25"/>
        <v>0.18992829888589413</v>
      </c>
      <c r="V21" s="258">
        <f t="shared" si="25"/>
        <v>0.14528893738327908</v>
      </c>
      <c r="W21" s="258">
        <f t="shared" si="25"/>
        <v>9.5433533512071511E-2</v>
      </c>
      <c r="X21" s="258">
        <f t="shared" si="25"/>
        <v>8.1869357018630629E-2</v>
      </c>
      <c r="Y21" s="258">
        <f t="shared" si="25"/>
        <v>7.2359203444816833E-2</v>
      </c>
      <c r="Z21" s="258">
        <f t="shared" si="25"/>
        <v>3.5775854397447793E-2</v>
      </c>
      <c r="AA21" s="258">
        <f t="shared" si="25"/>
        <v>3.0587355010289752E-2</v>
      </c>
      <c r="AB21" s="258">
        <f t="shared" ref="AB21" si="26">AB20/AA20-1</f>
        <v>2.3051429587476413E-2</v>
      </c>
      <c r="AC21" s="258">
        <f t="shared" ref="AC21" si="27">AC20/AB20-1</f>
        <v>2.3207995012210381E-2</v>
      </c>
      <c r="AD21" s="258">
        <f t="shared" ref="AD21:AF21" si="28">AD20/AC20-1</f>
        <v>-0.16785783966391588</v>
      </c>
      <c r="AE21" s="258">
        <f t="shared" si="28"/>
        <v>-0.26689874169744765</v>
      </c>
      <c r="AF21" s="258">
        <f t="shared" si="28"/>
        <v>-9.1497025820783784E-2</v>
      </c>
    </row>
    <row r="22" spans="1:32" ht="15" thickBot="1">
      <c r="A22" s="95"/>
      <c r="B22" s="339"/>
      <c r="C22" s="291"/>
      <c r="D22" s="291"/>
      <c r="E22" s="435"/>
      <c r="F22" s="10"/>
      <c r="G22" s="5"/>
      <c r="H22" s="5"/>
      <c r="I22" s="5"/>
      <c r="J22" s="10"/>
      <c r="K22" s="10"/>
      <c r="L22" s="60"/>
      <c r="M22" s="48"/>
      <c r="N22" s="10"/>
      <c r="O22" s="48"/>
      <c r="P22" s="48"/>
      <c r="Q22" s="48"/>
      <c r="R22" s="48"/>
      <c r="S22" s="48"/>
      <c r="T22" s="48"/>
      <c r="U22" s="48"/>
      <c r="V22" s="48"/>
      <c r="W22" s="48"/>
      <c r="X22" s="48"/>
      <c r="Y22" s="48"/>
      <c r="Z22" s="48"/>
      <c r="AA22" s="48"/>
      <c r="AB22" s="48"/>
      <c r="AC22" s="48"/>
      <c r="AD22" s="48"/>
      <c r="AE22" s="48"/>
      <c r="AF22" s="48"/>
    </row>
    <row r="23" spans="1:32" s="1" customFormat="1" ht="15" hidden="1" outlineLevel="1" thickBot="1">
      <c r="A23" s="105" t="s">
        <v>246</v>
      </c>
      <c r="B23" s="51"/>
      <c r="C23" s="51"/>
      <c r="D23" s="51"/>
      <c r="E23" s="51"/>
      <c r="F23" s="51"/>
      <c r="G23" s="22"/>
      <c r="H23" s="22"/>
      <c r="I23" s="22"/>
      <c r="J23" s="116"/>
      <c r="K23" s="116"/>
      <c r="L23" s="74"/>
      <c r="M23" s="51"/>
      <c r="N23" s="116"/>
      <c r="O23" s="51"/>
      <c r="P23" s="51"/>
      <c r="Q23" s="51"/>
      <c r="R23" s="51"/>
      <c r="S23" s="51"/>
      <c r="T23" s="51"/>
      <c r="U23" s="51"/>
      <c r="V23" s="51"/>
      <c r="W23" s="51"/>
      <c r="X23" s="51"/>
      <c r="Y23" s="51"/>
      <c r="Z23" s="51"/>
      <c r="AA23" s="51"/>
      <c r="AB23" s="51"/>
      <c r="AC23" s="51"/>
      <c r="AD23" s="51"/>
      <c r="AE23" s="51"/>
      <c r="AF23" s="51"/>
    </row>
    <row r="24" spans="1:32" ht="15.75" hidden="1" customHeight="1" outlineLevel="1">
      <c r="A24" s="255" t="s">
        <v>241</v>
      </c>
      <c r="B24" s="49"/>
      <c r="C24" s="49"/>
      <c r="D24" s="49"/>
      <c r="E24" s="49"/>
      <c r="F24" s="49">
        <v>0</v>
      </c>
      <c r="G24" s="9"/>
      <c r="H24" s="9"/>
      <c r="I24" s="9"/>
      <c r="J24" s="99"/>
      <c r="K24" s="99">
        <v>0</v>
      </c>
      <c r="L24" s="61">
        <v>0</v>
      </c>
      <c r="M24" s="49">
        <v>0</v>
      </c>
      <c r="N24" s="99">
        <v>0</v>
      </c>
      <c r="O24" s="49">
        <v>0</v>
      </c>
      <c r="P24" s="49">
        <v>0</v>
      </c>
      <c r="Q24" s="49">
        <v>0</v>
      </c>
      <c r="R24" s="49">
        <v>0</v>
      </c>
      <c r="S24" s="49">
        <v>0</v>
      </c>
      <c r="T24" s="49">
        <v>0</v>
      </c>
      <c r="U24" s="49">
        <v>0</v>
      </c>
      <c r="V24" s="49">
        <v>0</v>
      </c>
      <c r="W24" s="49">
        <v>0</v>
      </c>
      <c r="X24" s="49">
        <v>0</v>
      </c>
      <c r="Y24" s="49">
        <v>0</v>
      </c>
      <c r="Z24" s="49">
        <v>0</v>
      </c>
      <c r="AA24" s="49">
        <v>0</v>
      </c>
      <c r="AB24" s="49">
        <v>0</v>
      </c>
      <c r="AC24" s="49">
        <v>0</v>
      </c>
      <c r="AD24" s="49">
        <v>0</v>
      </c>
      <c r="AE24" s="49">
        <v>0</v>
      </c>
      <c r="AF24" s="49">
        <v>0</v>
      </c>
    </row>
    <row r="25" spans="1:32" ht="15.75" hidden="1" customHeight="1" outlineLevel="1" thickBot="1">
      <c r="A25" s="255"/>
      <c r="B25" s="56"/>
      <c r="C25" s="56"/>
      <c r="D25" s="56"/>
      <c r="E25" s="56"/>
      <c r="F25" s="56"/>
      <c r="G25" s="19"/>
      <c r="H25" s="19"/>
      <c r="I25" s="19"/>
      <c r="J25" s="83"/>
      <c r="K25" s="83"/>
      <c r="L25" s="73"/>
      <c r="M25" s="56"/>
      <c r="N25" s="83"/>
      <c r="O25" s="56"/>
      <c r="P25" s="56"/>
      <c r="Q25" s="56"/>
      <c r="R25" s="56"/>
      <c r="S25" s="56"/>
      <c r="T25" s="56"/>
      <c r="U25" s="56"/>
      <c r="V25" s="56"/>
      <c r="W25" s="56"/>
      <c r="X25" s="56"/>
      <c r="Y25" s="56"/>
      <c r="Z25" s="56"/>
      <c r="AA25" s="56"/>
      <c r="AB25" s="56"/>
      <c r="AC25" s="56"/>
      <c r="AD25" s="56"/>
      <c r="AE25" s="56"/>
      <c r="AF25" s="56"/>
    </row>
    <row r="26" spans="1:32" s="94" customFormat="1" ht="15" collapsed="1" thickBot="1">
      <c r="A26" s="309" t="s">
        <v>242</v>
      </c>
      <c r="B26" s="429">
        <v>0</v>
      </c>
      <c r="C26" s="430">
        <v>0</v>
      </c>
      <c r="D26" s="430">
        <v>0</v>
      </c>
      <c r="E26" s="431">
        <v>0</v>
      </c>
      <c r="F26" s="428">
        <f>SUM(B26:E26)</f>
        <v>0</v>
      </c>
      <c r="G26" s="179">
        <v>0</v>
      </c>
      <c r="H26" s="613">
        <v>0</v>
      </c>
      <c r="I26" s="613">
        <v>0</v>
      </c>
      <c r="J26" s="113">
        <v>0</v>
      </c>
      <c r="K26" s="113">
        <f t="shared" ref="K26:S26" si="29">K24</f>
        <v>0</v>
      </c>
      <c r="L26" s="179">
        <f t="shared" si="29"/>
        <v>0</v>
      </c>
      <c r="M26" s="93">
        <f t="shared" si="29"/>
        <v>0</v>
      </c>
      <c r="N26" s="113">
        <f t="shared" si="29"/>
        <v>0</v>
      </c>
      <c r="O26" s="93">
        <f t="shared" si="29"/>
        <v>0</v>
      </c>
      <c r="P26" s="93">
        <f t="shared" si="29"/>
        <v>0</v>
      </c>
      <c r="Q26" s="93">
        <f t="shared" si="29"/>
        <v>0</v>
      </c>
      <c r="R26" s="93">
        <f t="shared" si="29"/>
        <v>0</v>
      </c>
      <c r="S26" s="93">
        <f t="shared" si="29"/>
        <v>0</v>
      </c>
      <c r="T26" s="93">
        <f t="shared" ref="T26:Z26" si="30">T24</f>
        <v>0</v>
      </c>
      <c r="U26" s="93">
        <f t="shared" si="30"/>
        <v>0</v>
      </c>
      <c r="V26" s="93">
        <f t="shared" si="30"/>
        <v>0</v>
      </c>
      <c r="W26" s="93">
        <f t="shared" si="30"/>
        <v>0</v>
      </c>
      <c r="X26" s="93">
        <f t="shared" si="30"/>
        <v>0</v>
      </c>
      <c r="Y26" s="93">
        <f t="shared" si="30"/>
        <v>0</v>
      </c>
      <c r="Z26" s="93">
        <f t="shared" si="30"/>
        <v>0</v>
      </c>
      <c r="AA26" s="93">
        <f t="shared" ref="AA26:AD26" si="31">AA24</f>
        <v>0</v>
      </c>
      <c r="AB26" s="93">
        <f t="shared" si="31"/>
        <v>0</v>
      </c>
      <c r="AC26" s="93">
        <f t="shared" si="31"/>
        <v>0</v>
      </c>
      <c r="AD26" s="93">
        <f t="shared" si="31"/>
        <v>0</v>
      </c>
      <c r="AE26" s="93">
        <f t="shared" ref="AE26:AF26" si="32">AE24</f>
        <v>0</v>
      </c>
      <c r="AF26" s="93">
        <f t="shared" si="32"/>
        <v>0</v>
      </c>
    </row>
    <row r="27" spans="1:32" ht="15" thickBot="1">
      <c r="A27" s="21"/>
      <c r="B27" s="119"/>
      <c r="C27" s="20"/>
      <c r="D27" s="20"/>
      <c r="E27" s="340"/>
      <c r="F27" s="14"/>
      <c r="G27" s="7"/>
      <c r="J27" s="14"/>
      <c r="K27" s="14"/>
      <c r="L27" s="7"/>
      <c r="M27" s="52"/>
      <c r="N27" s="14"/>
      <c r="O27" s="52"/>
      <c r="P27" s="52"/>
      <c r="Q27" s="52"/>
      <c r="R27" s="52"/>
      <c r="S27" s="52"/>
      <c r="T27" s="52"/>
      <c r="U27" s="52"/>
      <c r="V27" s="52"/>
      <c r="W27" s="52"/>
      <c r="X27" s="52"/>
      <c r="Y27" s="52"/>
      <c r="Z27" s="52"/>
      <c r="AA27" s="52"/>
      <c r="AB27" s="52"/>
      <c r="AC27" s="52"/>
      <c r="AD27" s="52"/>
      <c r="AE27" s="52"/>
      <c r="AF27" s="52"/>
    </row>
    <row r="28" spans="1:32" s="94" customFormat="1" ht="15" thickBot="1">
      <c r="A28" s="309" t="s">
        <v>90</v>
      </c>
      <c r="B28" s="429">
        <f>B20+B26</f>
        <v>0</v>
      </c>
      <c r="C28" s="430">
        <f t="shared" ref="C28:T28" si="33">C20+C26</f>
        <v>0</v>
      </c>
      <c r="D28" s="430">
        <f t="shared" si="33"/>
        <v>0</v>
      </c>
      <c r="E28" s="431">
        <f t="shared" si="33"/>
        <v>0</v>
      </c>
      <c r="F28" s="113">
        <f t="shared" si="33"/>
        <v>0</v>
      </c>
      <c r="G28" s="179">
        <f>G20+G26</f>
        <v>0</v>
      </c>
      <c r="H28" s="613">
        <f t="shared" ref="H28:J28" si="34">H20+H26</f>
        <v>0</v>
      </c>
      <c r="I28" s="613">
        <f t="shared" si="34"/>
        <v>0</v>
      </c>
      <c r="J28" s="113">
        <f t="shared" si="34"/>
        <v>0</v>
      </c>
      <c r="K28" s="93">
        <f t="shared" si="33"/>
        <v>0</v>
      </c>
      <c r="L28" s="93">
        <f t="shared" si="33"/>
        <v>0</v>
      </c>
      <c r="M28" s="93">
        <f t="shared" si="33"/>
        <v>0</v>
      </c>
      <c r="N28" s="93">
        <f t="shared" si="33"/>
        <v>0</v>
      </c>
      <c r="O28" s="93">
        <f t="shared" si="33"/>
        <v>55</v>
      </c>
      <c r="P28" s="93">
        <f t="shared" si="33"/>
        <v>318.42567372011837</v>
      </c>
      <c r="Q28" s="93">
        <f t="shared" si="33"/>
        <v>823.41391309059122</v>
      </c>
      <c r="R28" s="93">
        <f t="shared" si="33"/>
        <v>1429.1278222564431</v>
      </c>
      <c r="S28" s="93">
        <f t="shared" si="33"/>
        <v>1900.0252570991611</v>
      </c>
      <c r="T28" s="93">
        <f t="shared" si="33"/>
        <v>2361.6665958864191</v>
      </c>
      <c r="U28" s="93">
        <f t="shared" ref="U28:V28" si="35">U20+U26</f>
        <v>2810.2139149787672</v>
      </c>
      <c r="V28" s="93">
        <f t="shared" si="35"/>
        <v>3218.5069085057366</v>
      </c>
      <c r="W28" s="93">
        <f t="shared" ref="W28:Y28" si="36">W20+W26</f>
        <v>3525.6603954174525</v>
      </c>
      <c r="X28" s="93">
        <f t="shared" si="36"/>
        <v>3814.3039450563301</v>
      </c>
      <c r="Y28" s="93">
        <f t="shared" si="36"/>
        <v>4090.3039402170284</v>
      </c>
      <c r="Z28" s="93">
        <f t="shared" ref="Z28:AA28" si="37">Z20+Z26</f>
        <v>4236.6380584235394</v>
      </c>
      <c r="AA28" s="93">
        <f t="shared" si="37"/>
        <v>4366.2256107666453</v>
      </c>
      <c r="AB28" s="93">
        <f t="shared" ref="AB28:AD28" si="38">AB20+AB26</f>
        <v>4466.8733529962692</v>
      </c>
      <c r="AC28" s="93">
        <f t="shared" si="38"/>
        <v>4570.5405274927816</v>
      </c>
      <c r="AD28" s="93">
        <f t="shared" si="38"/>
        <v>3803.3394684514687</v>
      </c>
      <c r="AE28" s="93">
        <f t="shared" ref="AE28:AF28" si="39">AE20+AE26</f>
        <v>2788.2329500735323</v>
      </c>
      <c r="AF28" s="93">
        <f t="shared" si="39"/>
        <v>2533.1179278462942</v>
      </c>
    </row>
    <row r="29" spans="1:32" s="1" customFormat="1" ht="15" thickBot="1">
      <c r="A29" s="469" t="s">
        <v>94</v>
      </c>
      <c r="B29" s="275"/>
      <c r="C29" s="276"/>
      <c r="D29" s="276"/>
      <c r="E29" s="277"/>
      <c r="F29" s="282"/>
      <c r="G29" s="281"/>
      <c r="H29" s="280"/>
      <c r="I29" s="280"/>
      <c r="J29" s="282"/>
      <c r="K29" s="282"/>
      <c r="L29" s="281"/>
      <c r="M29" s="288"/>
      <c r="N29" s="282"/>
      <c r="O29" s="288"/>
      <c r="P29" s="288"/>
      <c r="Q29" s="288">
        <f t="shared" ref="Q29:AA29" si="40">Q28/P28-1</f>
        <v>1.5858904637643461</v>
      </c>
      <c r="R29" s="288">
        <f t="shared" si="40"/>
        <v>0.73561291537129003</v>
      </c>
      <c r="S29" s="288">
        <f t="shared" si="40"/>
        <v>0.3294998722362148</v>
      </c>
      <c r="T29" s="288">
        <f t="shared" si="40"/>
        <v>0.24296589588080697</v>
      </c>
      <c r="U29" s="288">
        <f t="shared" si="40"/>
        <v>0.18992829888589413</v>
      </c>
      <c r="V29" s="288">
        <f t="shared" si="40"/>
        <v>0.14528893738327908</v>
      </c>
      <c r="W29" s="288">
        <f t="shared" si="40"/>
        <v>9.5433533512071511E-2</v>
      </c>
      <c r="X29" s="288">
        <f t="shared" si="40"/>
        <v>8.1869357018630629E-2</v>
      </c>
      <c r="Y29" s="288">
        <f t="shared" si="40"/>
        <v>7.2359203444816833E-2</v>
      </c>
      <c r="Z29" s="288">
        <f t="shared" si="40"/>
        <v>3.5775854397447793E-2</v>
      </c>
      <c r="AA29" s="288">
        <f t="shared" si="40"/>
        <v>3.0587355010289752E-2</v>
      </c>
      <c r="AB29" s="288">
        <f t="shared" ref="AB29" si="41">AB28/AA28-1</f>
        <v>2.3051429587476413E-2</v>
      </c>
      <c r="AC29" s="288">
        <f t="shared" ref="AC29" si="42">AC28/AB28-1</f>
        <v>2.3207995012210381E-2</v>
      </c>
      <c r="AD29" s="288">
        <f t="shared" ref="AD29:AF29" si="43">AD28/AC28-1</f>
        <v>-0.16785783966391588</v>
      </c>
      <c r="AE29" s="288">
        <f t="shared" si="43"/>
        <v>-0.26689874169744765</v>
      </c>
      <c r="AF29" s="288">
        <f t="shared" si="43"/>
        <v>-9.1497025820783784E-2</v>
      </c>
    </row>
    <row r="30" spans="1:32">
      <c r="B30" s="45"/>
      <c r="C30" s="45"/>
      <c r="D30" s="45"/>
      <c r="E30" s="45"/>
      <c r="F30" s="45"/>
      <c r="G30" s="45"/>
      <c r="H30" s="45"/>
      <c r="I30" s="45"/>
      <c r="J30" s="45"/>
      <c r="K30" s="45"/>
      <c r="L30" s="45"/>
      <c r="M30" s="45"/>
      <c r="N30" s="45"/>
      <c r="O30" s="45"/>
      <c r="P30" s="45"/>
      <c r="Q30" s="45"/>
      <c r="R30" s="45"/>
      <c r="S30" s="45"/>
      <c r="T30" s="45"/>
    </row>
    <row r="31" spans="1:32">
      <c r="A31" s="27" t="s">
        <v>267</v>
      </c>
      <c r="B31" s="45"/>
      <c r="C31" s="45"/>
      <c r="D31" s="45"/>
      <c r="E31" s="45"/>
      <c r="F31" s="45"/>
      <c r="G31" s="45"/>
      <c r="H31" s="45"/>
      <c r="I31" s="45"/>
      <c r="J31" s="45"/>
      <c r="K31" s="45"/>
      <c r="L31" s="45"/>
      <c r="M31" s="45"/>
      <c r="N31" s="45"/>
      <c r="O31" s="45"/>
      <c r="P31" s="45"/>
      <c r="Q31" s="45"/>
      <c r="R31" s="45"/>
      <c r="S31" s="45"/>
      <c r="T31" s="45"/>
    </row>
    <row r="33" spans="1:20" hidden="1" outlineLevel="1">
      <c r="A33" s="57" t="s">
        <v>146</v>
      </c>
      <c r="B33" s="58"/>
      <c r="C33" s="58"/>
      <c r="D33" s="58"/>
      <c r="E33" s="58"/>
      <c r="F33" s="58">
        <f>'INCOME STATEMENT'!U7-F28</f>
        <v>0</v>
      </c>
      <c r="G33" s="58"/>
      <c r="H33" s="58"/>
      <c r="I33" s="58"/>
      <c r="J33" s="58"/>
      <c r="K33" s="58">
        <f>'INCOME STATEMENT'!Z7-K28</f>
        <v>0</v>
      </c>
      <c r="L33" s="58">
        <f>'INCOME STATEMENT'!AA7-L28</f>
        <v>0</v>
      </c>
      <c r="M33" s="58">
        <f>'INCOME STATEMENT'!AB7-M28</f>
        <v>0</v>
      </c>
      <c r="N33" s="58">
        <f>'INCOME STATEMENT'!AC7-N28</f>
        <v>0</v>
      </c>
      <c r="O33" s="58">
        <f>'INCOME STATEMENT'!AD7-O28</f>
        <v>0</v>
      </c>
      <c r="P33" s="58"/>
      <c r="Q33" s="58"/>
      <c r="R33" s="58"/>
      <c r="S33" s="58"/>
      <c r="T33" s="58"/>
    </row>
    <row r="34" spans="1:20" collapsed="1"/>
    <row r="51" spans="16:16">
      <c r="P51" t="s">
        <v>240</v>
      </c>
    </row>
  </sheetData>
  <pageMargins left="0.7" right="0.7" top="0.75" bottom="0.75" header="0.3" footer="0.3"/>
  <pageSetup scale="90"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143"/>
  <sheetViews>
    <sheetView zoomScaleNormal="100" workbookViewId="0">
      <pane xSplit="1" ySplit="3" topLeftCell="P15" activePane="bottomRight" state="frozen"/>
      <selection pane="topRight" activeCell="B1" sqref="B1"/>
      <selection pane="bottomLeft" activeCell="A4" sqref="A4"/>
      <selection pane="bottomRight" activeCell="S17" sqref="S17"/>
    </sheetView>
  </sheetViews>
  <sheetFormatPr defaultRowHeight="14.5" outlineLevelRow="1" outlineLevelCol="1"/>
  <cols>
    <col min="1" max="1" width="40.54296875" customWidth="1"/>
    <col min="2" max="6" width="8.7265625" hidden="1" customWidth="1"/>
    <col min="7" max="11" width="0" hidden="1" customWidth="1"/>
    <col min="12" max="15" width="9.1796875" hidden="1" customWidth="1" outlineLevel="1"/>
    <col min="16" max="16" width="9.1796875" customWidth="1" collapsed="1"/>
    <col min="17" max="35" width="9.1796875" customWidth="1"/>
  </cols>
  <sheetData>
    <row r="1" spans="1:41">
      <c r="A1" s="1" t="s">
        <v>273</v>
      </c>
    </row>
    <row r="2" spans="1:41" ht="15" thickBot="1"/>
    <row r="3" spans="1:41" ht="15" thickBot="1">
      <c r="B3" s="132" t="s">
        <v>201</v>
      </c>
      <c r="C3" s="132" t="s">
        <v>203</v>
      </c>
      <c r="D3" s="132" t="s">
        <v>205</v>
      </c>
      <c r="E3" s="4" t="s">
        <v>207</v>
      </c>
      <c r="F3" s="54">
        <v>2022</v>
      </c>
      <c r="G3" s="132" t="s">
        <v>209</v>
      </c>
      <c r="H3" s="132" t="s">
        <v>211</v>
      </c>
      <c r="I3" s="132" t="s">
        <v>213</v>
      </c>
      <c r="J3" s="132" t="s">
        <v>214</v>
      </c>
      <c r="K3" s="54">
        <v>2023</v>
      </c>
      <c r="L3" s="158" t="s">
        <v>216</v>
      </c>
      <c r="M3" s="159" t="s">
        <v>218</v>
      </c>
      <c r="N3" s="159" t="s">
        <v>220</v>
      </c>
      <c r="O3" s="331" t="s">
        <v>222</v>
      </c>
      <c r="P3" s="54">
        <v>2024</v>
      </c>
      <c r="Q3" s="158" t="s">
        <v>224</v>
      </c>
      <c r="R3" s="159" t="s">
        <v>226</v>
      </c>
      <c r="S3" s="159" t="s">
        <v>228</v>
      </c>
      <c r="T3" s="331" t="s">
        <v>258</v>
      </c>
      <c r="U3" s="54">
        <v>2025</v>
      </c>
      <c r="V3" s="132" t="s">
        <v>426</v>
      </c>
      <c r="W3" s="132" t="s">
        <v>427</v>
      </c>
      <c r="X3" s="132" t="s">
        <v>428</v>
      </c>
      <c r="Y3" s="4" t="s">
        <v>429</v>
      </c>
      <c r="Z3" s="54" t="s">
        <v>2</v>
      </c>
      <c r="AA3" s="26" t="s">
        <v>3</v>
      </c>
      <c r="AB3" s="54" t="s">
        <v>4</v>
      </c>
      <c r="AC3" s="54" t="s">
        <v>5</v>
      </c>
      <c r="AD3" s="54" t="s">
        <v>6</v>
      </c>
      <c r="AE3" s="54" t="s">
        <v>103</v>
      </c>
      <c r="AF3" s="54" t="s">
        <v>104</v>
      </c>
      <c r="AG3" s="54" t="s">
        <v>105</v>
      </c>
      <c r="AH3" s="54" t="s">
        <v>106</v>
      </c>
      <c r="AI3" s="54" t="s">
        <v>107</v>
      </c>
      <c r="AJ3" s="54" t="s">
        <v>148</v>
      </c>
      <c r="AK3" s="54" t="s">
        <v>270</v>
      </c>
      <c r="AL3" s="54" t="s">
        <v>283</v>
      </c>
      <c r="AM3" s="54" t="s">
        <v>284</v>
      </c>
      <c r="AN3" s="54" t="s">
        <v>285</v>
      </c>
      <c r="AO3" s="54" t="s">
        <v>360</v>
      </c>
    </row>
    <row r="4" spans="1:41" ht="5.15" customHeight="1" thickBot="1">
      <c r="B4" s="8"/>
      <c r="C4" s="8"/>
      <c r="D4" s="8"/>
      <c r="E4" s="8"/>
      <c r="F4" s="68"/>
      <c r="G4" s="8"/>
      <c r="H4" s="8"/>
      <c r="I4" s="8"/>
      <c r="J4" s="8"/>
      <c r="K4" s="72"/>
      <c r="L4" s="130"/>
      <c r="M4" s="62"/>
      <c r="N4" s="62"/>
      <c r="O4" s="131"/>
      <c r="P4" s="68"/>
      <c r="Q4" s="130"/>
      <c r="R4" s="62"/>
      <c r="S4" s="62"/>
      <c r="T4" s="131"/>
      <c r="U4" s="68"/>
      <c r="V4" s="8"/>
      <c r="W4" s="8"/>
      <c r="X4" s="8"/>
      <c r="Y4" s="114"/>
      <c r="Z4" s="68"/>
      <c r="AA4" s="72"/>
      <c r="AB4" s="68"/>
      <c r="AC4" s="68"/>
      <c r="AD4" s="68"/>
      <c r="AE4" s="68"/>
      <c r="AF4" s="68"/>
      <c r="AG4" s="68"/>
      <c r="AH4" s="68"/>
      <c r="AI4" s="68"/>
      <c r="AJ4" s="68"/>
      <c r="AK4" s="68"/>
      <c r="AL4" s="68"/>
      <c r="AM4" s="68"/>
      <c r="AN4" s="68"/>
      <c r="AO4" s="68"/>
    </row>
    <row r="5" spans="1:41" ht="15" thickBot="1">
      <c r="A5" s="2" t="s">
        <v>30</v>
      </c>
      <c r="F5" s="52"/>
      <c r="K5" s="7"/>
      <c r="L5" s="7"/>
      <c r="O5" s="14"/>
      <c r="P5" s="52"/>
      <c r="Q5" s="7"/>
      <c r="T5" s="14"/>
      <c r="U5" s="52"/>
      <c r="Y5" s="14"/>
      <c r="Z5" s="52"/>
      <c r="AA5" s="52"/>
      <c r="AB5" s="52"/>
      <c r="AC5" s="52"/>
      <c r="AD5" s="52"/>
      <c r="AE5" s="52"/>
      <c r="AF5" s="52"/>
      <c r="AG5" s="52"/>
      <c r="AH5" s="52"/>
      <c r="AI5" s="52"/>
      <c r="AJ5" s="52"/>
      <c r="AK5" s="52"/>
      <c r="AL5" s="52"/>
      <c r="AM5" s="52"/>
      <c r="AN5" s="52"/>
      <c r="AO5" s="52"/>
    </row>
    <row r="6" spans="1:41" ht="5.15" customHeight="1">
      <c r="A6" s="7"/>
      <c r="B6" s="8"/>
      <c r="C6" s="8"/>
      <c r="D6" s="8"/>
      <c r="E6" s="8"/>
      <c r="F6" s="68"/>
      <c r="G6" s="8"/>
      <c r="H6" s="8"/>
      <c r="I6" s="8"/>
      <c r="J6" s="8"/>
      <c r="K6" s="72"/>
      <c r="L6" s="72"/>
      <c r="M6" s="8"/>
      <c r="N6" s="8"/>
      <c r="O6" s="114"/>
      <c r="P6" s="68"/>
      <c r="Q6" s="72"/>
      <c r="R6" s="8"/>
      <c r="S6" s="8"/>
      <c r="T6" s="114"/>
      <c r="U6" s="68"/>
      <c r="V6" s="8"/>
      <c r="W6" s="8"/>
      <c r="X6" s="8"/>
      <c r="Y6" s="114"/>
      <c r="Z6" s="68"/>
      <c r="AA6" s="72"/>
      <c r="AB6" s="68"/>
      <c r="AC6" s="68"/>
      <c r="AD6" s="68"/>
      <c r="AE6" s="68"/>
      <c r="AF6" s="68"/>
      <c r="AG6" s="68"/>
      <c r="AH6" s="68"/>
      <c r="AI6" s="68"/>
      <c r="AJ6" s="68"/>
      <c r="AK6" s="68"/>
      <c r="AL6" s="68"/>
      <c r="AM6" s="68"/>
      <c r="AN6" s="68"/>
      <c r="AO6" s="68"/>
    </row>
    <row r="7" spans="1:41" ht="15" customHeight="1">
      <c r="A7" s="7" t="s">
        <v>333</v>
      </c>
      <c r="B7" s="9"/>
      <c r="C7" s="9"/>
      <c r="D7" s="9"/>
      <c r="E7" s="19"/>
      <c r="F7" s="49"/>
      <c r="G7" s="9"/>
      <c r="H7" s="9"/>
      <c r="I7" s="9"/>
      <c r="J7" s="19"/>
      <c r="K7" s="61">
        <f>13.307-K8-K11</f>
        <v>9.8070000000000004</v>
      </c>
      <c r="L7" s="117">
        <v>3</v>
      </c>
      <c r="M7" s="64">
        <v>2.5</v>
      </c>
      <c r="N7" s="64">
        <v>2.5</v>
      </c>
      <c r="O7" s="83">
        <f>P7-L7-M7-N7</f>
        <v>2.1819999999999986</v>
      </c>
      <c r="P7" s="56">
        <f>18.182-P8-P11</f>
        <v>10.181999999999999</v>
      </c>
      <c r="Q7" s="117">
        <v>3.5</v>
      </c>
      <c r="R7" s="64">
        <v>4.5</v>
      </c>
      <c r="S7" s="9">
        <v>5</v>
      </c>
      <c r="T7" s="83">
        <f>U7-Q7-R7-S7</f>
        <v>11</v>
      </c>
      <c r="U7" s="49">
        <v>24</v>
      </c>
      <c r="V7" s="9">
        <v>7</v>
      </c>
      <c r="W7" s="9">
        <v>8</v>
      </c>
      <c r="X7" s="9">
        <v>10</v>
      </c>
      <c r="Y7" s="10">
        <f>Z7-X7-W7-V7</f>
        <v>13</v>
      </c>
      <c r="Z7" s="49">
        <v>38</v>
      </c>
      <c r="AA7" s="49">
        <v>55</v>
      </c>
      <c r="AB7" s="49">
        <v>70</v>
      </c>
      <c r="AC7" s="49">
        <v>60</v>
      </c>
      <c r="AD7" s="49">
        <v>30</v>
      </c>
      <c r="AE7" s="49">
        <v>15</v>
      </c>
      <c r="AF7" s="49">
        <v>10</v>
      </c>
      <c r="AG7" s="49">
        <v>5</v>
      </c>
      <c r="AH7" s="49">
        <v>1</v>
      </c>
      <c r="AI7" s="49">
        <f>AH7</f>
        <v>1</v>
      </c>
      <c r="AJ7" s="49">
        <f t="shared" ref="AJ7:AO7" si="0">AI7</f>
        <v>1</v>
      </c>
      <c r="AK7" s="49">
        <f t="shared" si="0"/>
        <v>1</v>
      </c>
      <c r="AL7" s="49">
        <f t="shared" si="0"/>
        <v>1</v>
      </c>
      <c r="AM7" s="49">
        <f t="shared" si="0"/>
        <v>1</v>
      </c>
      <c r="AN7" s="49">
        <f t="shared" si="0"/>
        <v>1</v>
      </c>
      <c r="AO7" s="49">
        <f t="shared" si="0"/>
        <v>1</v>
      </c>
    </row>
    <row r="8" spans="1:41">
      <c r="A8" s="7" t="s">
        <v>335</v>
      </c>
      <c r="B8" s="9"/>
      <c r="C8" s="9"/>
      <c r="D8" s="9"/>
      <c r="E8" s="19"/>
      <c r="F8" s="49"/>
      <c r="G8" s="9"/>
      <c r="H8" s="9"/>
      <c r="I8" s="9"/>
      <c r="J8" s="19"/>
      <c r="K8" s="61">
        <v>3</v>
      </c>
      <c r="L8" s="117">
        <v>1.5</v>
      </c>
      <c r="M8" s="64">
        <v>1.5</v>
      </c>
      <c r="N8" s="64">
        <v>2</v>
      </c>
      <c r="O8" s="83">
        <f>P8-L8-M8-N8</f>
        <v>2</v>
      </c>
      <c r="P8" s="49">
        <v>7</v>
      </c>
      <c r="Q8" s="513">
        <f>Q9-Q7</f>
        <v>2.0589999999999975</v>
      </c>
      <c r="R8" s="286">
        <f>R9-R7</f>
        <v>3.4000000000000004</v>
      </c>
      <c r="S8" s="286">
        <f>S9-S7</f>
        <v>4.4149999999999991</v>
      </c>
      <c r="T8" s="286">
        <f>T9-T7</f>
        <v>10.087000000000003</v>
      </c>
      <c r="U8" s="56">
        <f>SUM(Q8:T8)</f>
        <v>19.960999999999999</v>
      </c>
      <c r="V8" s="9">
        <v>7</v>
      </c>
      <c r="W8" s="9">
        <v>8</v>
      </c>
      <c r="X8" s="9">
        <v>10</v>
      </c>
      <c r="Y8" s="10">
        <f>Z8-X8-W8-V8</f>
        <v>13</v>
      </c>
      <c r="Z8" s="49">
        <v>38</v>
      </c>
      <c r="AA8" s="49">
        <v>55</v>
      </c>
      <c r="AB8" s="49">
        <v>70</v>
      </c>
      <c r="AC8" s="49">
        <v>75</v>
      </c>
      <c r="AD8" s="49">
        <v>75</v>
      </c>
      <c r="AE8" s="49">
        <v>75</v>
      </c>
      <c r="AF8" s="49">
        <v>15</v>
      </c>
      <c r="AG8" s="49">
        <v>5</v>
      </c>
      <c r="AH8" s="49">
        <v>0</v>
      </c>
      <c r="AI8" s="49">
        <f>AH8</f>
        <v>0</v>
      </c>
      <c r="AJ8" s="49">
        <f t="shared" ref="AJ8:AO8" si="1">AI8</f>
        <v>0</v>
      </c>
      <c r="AK8" s="49">
        <f t="shared" si="1"/>
        <v>0</v>
      </c>
      <c r="AL8" s="49">
        <f t="shared" si="1"/>
        <v>0</v>
      </c>
      <c r="AM8" s="49">
        <f t="shared" si="1"/>
        <v>0</v>
      </c>
      <c r="AN8" s="49">
        <f t="shared" si="1"/>
        <v>0</v>
      </c>
      <c r="AO8" s="49">
        <f t="shared" si="1"/>
        <v>0</v>
      </c>
    </row>
    <row r="9" spans="1:41">
      <c r="A9" s="7" t="s">
        <v>334</v>
      </c>
      <c r="B9" s="19"/>
      <c r="C9" s="19"/>
      <c r="D9" s="19"/>
      <c r="E9" s="19"/>
      <c r="F9" s="56"/>
      <c r="G9" s="19"/>
      <c r="H9" s="19"/>
      <c r="I9" s="19"/>
      <c r="J9" s="19"/>
      <c r="K9" s="73">
        <f t="shared" ref="K9:AI9" si="2">SUM(K7:K8)</f>
        <v>12.807</v>
      </c>
      <c r="L9" s="73">
        <f t="shared" si="2"/>
        <v>4.5</v>
      </c>
      <c r="M9" s="19">
        <f t="shared" si="2"/>
        <v>4</v>
      </c>
      <c r="N9" s="19">
        <f t="shared" si="2"/>
        <v>4.5</v>
      </c>
      <c r="O9" s="83">
        <f t="shared" si="2"/>
        <v>4.1819999999999986</v>
      </c>
      <c r="P9" s="56">
        <f t="shared" si="2"/>
        <v>17.181999999999999</v>
      </c>
      <c r="Q9" s="513">
        <f t="shared" ref="Q9:R9" si="3">Q13-Q11</f>
        <v>5.5589999999999975</v>
      </c>
      <c r="R9" s="286">
        <f t="shared" si="3"/>
        <v>7.9</v>
      </c>
      <c r="S9" s="286">
        <f>S13-S11</f>
        <v>9.4149999999999991</v>
      </c>
      <c r="T9" s="286">
        <f>T13-T11</f>
        <v>21.087000000000003</v>
      </c>
      <c r="U9" s="56">
        <f t="shared" si="2"/>
        <v>43.960999999999999</v>
      </c>
      <c r="V9" s="19">
        <f>SUM(V7:V8)</f>
        <v>14</v>
      </c>
      <c r="W9" s="19">
        <f t="shared" ref="W9:Y9" si="4">SUM(W7:W8)</f>
        <v>16</v>
      </c>
      <c r="X9" s="19">
        <f t="shared" si="4"/>
        <v>20</v>
      </c>
      <c r="Y9" s="5">
        <f t="shared" si="4"/>
        <v>26</v>
      </c>
      <c r="Z9" s="56">
        <f t="shared" si="2"/>
        <v>76</v>
      </c>
      <c r="AA9" s="56">
        <f t="shared" si="2"/>
        <v>110</v>
      </c>
      <c r="AB9" s="56">
        <f t="shared" si="2"/>
        <v>140</v>
      </c>
      <c r="AC9" s="56">
        <f t="shared" si="2"/>
        <v>135</v>
      </c>
      <c r="AD9" s="56">
        <f t="shared" si="2"/>
        <v>105</v>
      </c>
      <c r="AE9" s="56">
        <f t="shared" si="2"/>
        <v>90</v>
      </c>
      <c r="AF9" s="56">
        <f t="shared" si="2"/>
        <v>25</v>
      </c>
      <c r="AG9" s="56">
        <f t="shared" si="2"/>
        <v>10</v>
      </c>
      <c r="AH9" s="56">
        <f t="shared" si="2"/>
        <v>1</v>
      </c>
      <c r="AI9" s="56">
        <f t="shared" si="2"/>
        <v>1</v>
      </c>
      <c r="AJ9" s="56">
        <f t="shared" ref="AJ9:AK9" si="5">SUM(AJ7:AJ8)</f>
        <v>1</v>
      </c>
      <c r="AK9" s="56">
        <f t="shared" si="5"/>
        <v>1</v>
      </c>
      <c r="AL9" s="56">
        <f t="shared" ref="AL9:AM9" si="6">SUM(AL7:AL8)</f>
        <v>1</v>
      </c>
      <c r="AM9" s="56">
        <f t="shared" si="6"/>
        <v>1</v>
      </c>
      <c r="AN9" s="56">
        <f t="shared" ref="AN9:AO9" si="7">SUM(AN7:AN8)</f>
        <v>1</v>
      </c>
      <c r="AO9" s="56">
        <f t="shared" si="7"/>
        <v>1</v>
      </c>
    </row>
    <row r="10" spans="1:41" ht="5.15" customHeight="1">
      <c r="B10" s="19"/>
      <c r="C10" s="19"/>
      <c r="D10" s="19"/>
      <c r="E10" s="19"/>
      <c r="F10" s="56"/>
      <c r="G10" s="19"/>
      <c r="H10" s="19"/>
      <c r="I10" s="19"/>
      <c r="J10" s="19"/>
      <c r="K10" s="73"/>
      <c r="L10" s="117"/>
      <c r="M10" s="64"/>
      <c r="N10" s="64"/>
      <c r="O10" s="83"/>
      <c r="P10" s="56"/>
      <c r="Q10" s="73"/>
      <c r="R10" s="19"/>
      <c r="S10" s="19"/>
      <c r="T10" s="83"/>
      <c r="U10" s="56"/>
      <c r="V10" s="19"/>
      <c r="W10" s="19"/>
      <c r="X10" s="19"/>
      <c r="Y10" s="10"/>
      <c r="Z10" s="56"/>
      <c r="AA10" s="56"/>
      <c r="AB10" s="56"/>
      <c r="AC10" s="56"/>
      <c r="AD10" s="56"/>
      <c r="AE10" s="56"/>
      <c r="AF10" s="56"/>
      <c r="AG10" s="56"/>
      <c r="AH10" s="56"/>
      <c r="AI10" s="56"/>
      <c r="AJ10" s="56"/>
      <c r="AK10" s="56"/>
      <c r="AL10" s="56"/>
      <c r="AM10" s="56"/>
      <c r="AN10" s="56"/>
      <c r="AO10" s="56"/>
    </row>
    <row r="11" spans="1:41">
      <c r="A11" s="7" t="s">
        <v>324</v>
      </c>
      <c r="B11" s="9"/>
      <c r="C11" s="9"/>
      <c r="D11" s="9"/>
      <c r="E11" s="19"/>
      <c r="F11" s="56"/>
      <c r="G11" s="9"/>
      <c r="H11" s="9"/>
      <c r="I11" s="9"/>
      <c r="J11" s="19"/>
      <c r="K11" s="61">
        <v>0.5</v>
      </c>
      <c r="L11" s="117">
        <v>0.1</v>
      </c>
      <c r="M11" s="64">
        <v>0.1</v>
      </c>
      <c r="N11" s="64">
        <v>0.1</v>
      </c>
      <c r="O11" s="83">
        <f>P11-N11-M11-L11</f>
        <v>0.70000000000000007</v>
      </c>
      <c r="P11" s="49">
        <v>1</v>
      </c>
      <c r="Q11" s="117">
        <v>2</v>
      </c>
      <c r="R11" s="64">
        <v>2.5</v>
      </c>
      <c r="S11" s="64">
        <v>2.5</v>
      </c>
      <c r="T11" s="83">
        <f>U11-Q11-R11-S11</f>
        <v>2.5</v>
      </c>
      <c r="U11" s="49">
        <v>9.5</v>
      </c>
      <c r="V11" s="9">
        <v>2.5</v>
      </c>
      <c r="W11" s="9">
        <v>2.5</v>
      </c>
      <c r="X11" s="9">
        <v>2.5</v>
      </c>
      <c r="Y11" s="10">
        <f>Z11-X11-W11-V11</f>
        <v>2.5</v>
      </c>
      <c r="Z11" s="49">
        <v>10</v>
      </c>
      <c r="AA11" s="49">
        <v>10</v>
      </c>
      <c r="AB11" s="49">
        <v>30</v>
      </c>
      <c r="AC11" s="49">
        <v>30</v>
      </c>
      <c r="AD11" s="49">
        <v>40</v>
      </c>
      <c r="AE11" s="49">
        <v>10</v>
      </c>
      <c r="AF11" s="49">
        <v>5</v>
      </c>
      <c r="AG11" s="49">
        <v>1</v>
      </c>
      <c r="AH11" s="49">
        <f>AG11</f>
        <v>1</v>
      </c>
      <c r="AI11" s="49">
        <f t="shared" ref="AI11:AO11" si="8">AH11</f>
        <v>1</v>
      </c>
      <c r="AJ11" s="49">
        <f t="shared" si="8"/>
        <v>1</v>
      </c>
      <c r="AK11" s="49">
        <f t="shared" si="8"/>
        <v>1</v>
      </c>
      <c r="AL11" s="49">
        <f t="shared" si="8"/>
        <v>1</v>
      </c>
      <c r="AM11" s="49">
        <f t="shared" si="8"/>
        <v>1</v>
      </c>
      <c r="AN11" s="49">
        <f t="shared" si="8"/>
        <v>1</v>
      </c>
      <c r="AO11" s="49">
        <f t="shared" si="8"/>
        <v>1</v>
      </c>
    </row>
    <row r="12" spans="1:41" ht="5.15" customHeight="1">
      <c r="B12" s="19"/>
      <c r="C12" s="19"/>
      <c r="D12" s="19"/>
      <c r="E12" s="19"/>
      <c r="F12" s="56"/>
      <c r="G12" s="19"/>
      <c r="H12" s="19"/>
      <c r="I12" s="19"/>
      <c r="J12" s="19"/>
      <c r="K12" s="73"/>
      <c r="L12" s="117"/>
      <c r="M12" s="64"/>
      <c r="N12" s="64"/>
      <c r="O12" s="83"/>
      <c r="P12" s="56"/>
      <c r="Q12" s="73"/>
      <c r="R12" s="19"/>
      <c r="S12" s="19"/>
      <c r="T12" s="83"/>
      <c r="U12" s="56"/>
      <c r="V12" s="19"/>
      <c r="W12" s="19"/>
      <c r="X12" s="19"/>
      <c r="Y12" s="10"/>
      <c r="Z12" s="56"/>
      <c r="AA12" s="56"/>
      <c r="AB12" s="56"/>
      <c r="AC12" s="56"/>
      <c r="AD12" s="56"/>
      <c r="AE12" s="56"/>
      <c r="AF12" s="56"/>
      <c r="AG12" s="56"/>
      <c r="AH12" s="56"/>
      <c r="AI12" s="56"/>
      <c r="AJ12" s="56"/>
      <c r="AK12" s="56"/>
      <c r="AL12" s="56"/>
      <c r="AM12" s="56"/>
      <c r="AN12" s="56"/>
      <c r="AO12" s="56"/>
    </row>
    <row r="13" spans="1:41">
      <c r="A13" t="s">
        <v>392</v>
      </c>
      <c r="B13" s="9"/>
      <c r="C13" s="9"/>
      <c r="D13" s="9"/>
      <c r="E13" s="19"/>
      <c r="F13" s="56"/>
      <c r="G13" s="9"/>
      <c r="H13" s="9"/>
      <c r="I13" s="9"/>
      <c r="J13" s="19"/>
      <c r="K13" s="61"/>
      <c r="L13" s="117"/>
      <c r="M13" s="64"/>
      <c r="N13" s="64"/>
      <c r="O13" s="83"/>
      <c r="P13" s="49"/>
      <c r="Q13" s="513">
        <f>29.874-R13-S13</f>
        <v>7.5589999999999975</v>
      </c>
      <c r="R13" s="64">
        <v>10.4</v>
      </c>
      <c r="S13" s="9">
        <v>11.914999999999999</v>
      </c>
      <c r="T13" s="83">
        <f>U13-Q13-R13-S13</f>
        <v>23.587000000000003</v>
      </c>
      <c r="U13" s="49">
        <v>53.460999999999999</v>
      </c>
      <c r="V13" s="19">
        <f>V9+V11</f>
        <v>16.5</v>
      </c>
      <c r="W13" s="19">
        <f t="shared" ref="W13:X13" si="9">W9+W11</f>
        <v>18.5</v>
      </c>
      <c r="X13" s="19">
        <f t="shared" si="9"/>
        <v>22.5</v>
      </c>
      <c r="Y13" s="10">
        <f>Y9+Y11</f>
        <v>28.5</v>
      </c>
      <c r="Z13" s="56">
        <f>Z9+Z11</f>
        <v>86</v>
      </c>
      <c r="AA13" s="49"/>
      <c r="AB13" s="49"/>
      <c r="AC13" s="49"/>
      <c r="AD13" s="49"/>
      <c r="AE13" s="49"/>
      <c r="AF13" s="49"/>
      <c r="AG13" s="49"/>
      <c r="AH13" s="49"/>
      <c r="AI13" s="49"/>
      <c r="AJ13" s="49"/>
      <c r="AK13" s="49"/>
      <c r="AL13" s="49"/>
      <c r="AM13" s="49"/>
      <c r="AN13" s="49"/>
      <c r="AO13" s="49"/>
    </row>
    <row r="14" spans="1:41">
      <c r="A14" t="s">
        <v>336</v>
      </c>
      <c r="B14" s="9"/>
      <c r="C14" s="9"/>
      <c r="D14" s="9"/>
      <c r="E14" s="19"/>
      <c r="F14" s="56"/>
      <c r="G14" s="9"/>
      <c r="H14" s="9"/>
      <c r="I14" s="9"/>
      <c r="J14" s="19"/>
      <c r="K14" s="61">
        <v>14.315</v>
      </c>
      <c r="L14" s="117">
        <v>3</v>
      </c>
      <c r="M14" s="64">
        <v>5</v>
      </c>
      <c r="N14" s="64">
        <v>4</v>
      </c>
      <c r="O14" s="83">
        <f>P14-N14-M14-L14</f>
        <v>1.9719999999999995</v>
      </c>
      <c r="P14" s="49">
        <v>13.972</v>
      </c>
      <c r="Q14" s="117">
        <f>7.042-R14-S14</f>
        <v>1.75</v>
      </c>
      <c r="R14" s="64">
        <v>2.5</v>
      </c>
      <c r="S14" s="9">
        <v>2.7919999999999998</v>
      </c>
      <c r="T14" s="83">
        <f>U14-S14-R14-Q14</f>
        <v>3.3789999999999996</v>
      </c>
      <c r="U14" s="49">
        <v>10.420999999999999</v>
      </c>
      <c r="V14" s="9">
        <f>Z14/4</f>
        <v>3</v>
      </c>
      <c r="W14" s="9">
        <f>V14</f>
        <v>3</v>
      </c>
      <c r="X14" s="9">
        <f>W14</f>
        <v>3</v>
      </c>
      <c r="Y14" s="10">
        <f>Z14-X14-W14-V14</f>
        <v>3</v>
      </c>
      <c r="Z14" s="49">
        <v>12</v>
      </c>
      <c r="AA14" s="49">
        <f>Z14</f>
        <v>12</v>
      </c>
      <c r="AB14" s="49">
        <f>AA14</f>
        <v>12</v>
      </c>
      <c r="AC14" s="49">
        <f t="shared" ref="AC14:AO14" si="10">AB14</f>
        <v>12</v>
      </c>
      <c r="AD14" s="49">
        <f t="shared" si="10"/>
        <v>12</v>
      </c>
      <c r="AE14" s="49">
        <f t="shared" si="10"/>
        <v>12</v>
      </c>
      <c r="AF14" s="49">
        <f t="shared" si="10"/>
        <v>12</v>
      </c>
      <c r="AG14" s="49">
        <f t="shared" si="10"/>
        <v>12</v>
      </c>
      <c r="AH14" s="49">
        <f t="shared" si="10"/>
        <v>12</v>
      </c>
      <c r="AI14" s="49">
        <f t="shared" si="10"/>
        <v>12</v>
      </c>
      <c r="AJ14" s="49">
        <f t="shared" si="10"/>
        <v>12</v>
      </c>
      <c r="AK14" s="49">
        <f t="shared" si="10"/>
        <v>12</v>
      </c>
      <c r="AL14" s="49">
        <f t="shared" si="10"/>
        <v>12</v>
      </c>
      <c r="AM14" s="49">
        <f t="shared" si="10"/>
        <v>12</v>
      </c>
      <c r="AN14" s="49">
        <f t="shared" si="10"/>
        <v>12</v>
      </c>
      <c r="AO14" s="49">
        <f t="shared" si="10"/>
        <v>12</v>
      </c>
    </row>
    <row r="15" spans="1:41">
      <c r="B15" s="9"/>
      <c r="C15" s="9"/>
      <c r="D15" s="9"/>
      <c r="E15" s="19"/>
      <c r="F15" s="56"/>
      <c r="G15" s="9"/>
      <c r="H15" s="9"/>
      <c r="I15" s="9"/>
      <c r="J15" s="19"/>
      <c r="K15" s="61"/>
      <c r="L15" s="117"/>
      <c r="M15" s="64"/>
      <c r="N15" s="64"/>
      <c r="O15" s="83"/>
      <c r="P15" s="49"/>
      <c r="Q15" s="61"/>
      <c r="R15" s="9"/>
      <c r="S15" s="9"/>
      <c r="T15" s="83"/>
      <c r="U15" s="49"/>
      <c r="V15" s="9"/>
      <c r="W15" s="9"/>
      <c r="X15" s="9"/>
      <c r="Y15" s="10"/>
      <c r="Z15" s="49"/>
      <c r="AA15" s="49"/>
      <c r="AB15" s="49"/>
      <c r="AC15" s="49"/>
      <c r="AD15" s="49"/>
      <c r="AE15" s="49"/>
      <c r="AF15" s="49"/>
      <c r="AG15" s="49"/>
      <c r="AH15" s="49"/>
      <c r="AI15" s="49"/>
      <c r="AJ15" s="49"/>
      <c r="AK15" s="49"/>
      <c r="AL15" s="49"/>
      <c r="AM15" s="49"/>
      <c r="AN15" s="49"/>
      <c r="AO15" s="49"/>
    </row>
    <row r="16" spans="1:41">
      <c r="A16" t="s">
        <v>351</v>
      </c>
      <c r="B16" s="9"/>
      <c r="C16" s="9"/>
      <c r="D16" s="9"/>
      <c r="E16" s="19"/>
      <c r="F16" s="56"/>
      <c r="G16" s="9"/>
      <c r="H16" s="9"/>
      <c r="I16" s="9"/>
      <c r="J16" s="19"/>
      <c r="K16" s="61">
        <v>7.7089999999999996</v>
      </c>
      <c r="L16" s="117">
        <v>2</v>
      </c>
      <c r="M16" s="64">
        <v>3</v>
      </c>
      <c r="N16" s="64">
        <v>3</v>
      </c>
      <c r="O16" s="83">
        <f>P16-N16-M16-L16</f>
        <v>3.4730000000000008</v>
      </c>
      <c r="P16" s="49">
        <v>11.473000000000001</v>
      </c>
      <c r="Q16" s="117">
        <f>11.728-R16-S16</f>
        <v>3.5529999999999999</v>
      </c>
      <c r="R16" s="64">
        <v>4</v>
      </c>
      <c r="S16" s="9">
        <v>4.1749999999999998</v>
      </c>
      <c r="T16" s="83">
        <f>U16-Q16-R16-S16</f>
        <v>6.5379999999999976</v>
      </c>
      <c r="U16" s="49">
        <v>18.265999999999998</v>
      </c>
      <c r="V16" s="9">
        <f>Z16/4</f>
        <v>3.75</v>
      </c>
      <c r="W16" s="9">
        <f>V16</f>
        <v>3.75</v>
      </c>
      <c r="X16" s="9">
        <f>W16</f>
        <v>3.75</v>
      </c>
      <c r="Y16" s="10">
        <f t="shared" ref="Y16:Y20" si="11">Z16-X16-W16-V16</f>
        <v>3.75</v>
      </c>
      <c r="Z16" s="49">
        <v>15</v>
      </c>
      <c r="AA16" s="49">
        <v>7</v>
      </c>
      <c r="AB16" s="49">
        <v>5</v>
      </c>
      <c r="AC16" s="49">
        <v>0</v>
      </c>
      <c r="AD16" s="49">
        <v>0</v>
      </c>
      <c r="AE16" s="49">
        <v>0</v>
      </c>
      <c r="AF16" s="49">
        <v>0</v>
      </c>
      <c r="AG16" s="49">
        <v>0</v>
      </c>
      <c r="AH16" s="49">
        <v>0</v>
      </c>
      <c r="AI16" s="49">
        <v>0</v>
      </c>
      <c r="AJ16" s="49">
        <v>0</v>
      </c>
      <c r="AK16" s="49">
        <v>0</v>
      </c>
      <c r="AL16" s="49">
        <v>0</v>
      </c>
      <c r="AM16" s="49">
        <v>0</v>
      </c>
      <c r="AN16" s="49">
        <v>0</v>
      </c>
      <c r="AO16" s="49">
        <v>0</v>
      </c>
    </row>
    <row r="17" spans="1:41">
      <c r="B17" s="19"/>
      <c r="C17" s="19"/>
      <c r="D17" s="19"/>
      <c r="E17" s="19"/>
      <c r="F17" s="56"/>
      <c r="G17" s="19"/>
      <c r="H17" s="19"/>
      <c r="I17" s="19"/>
      <c r="J17" s="19"/>
      <c r="K17" s="73"/>
      <c r="L17" s="117"/>
      <c r="M17" s="64"/>
      <c r="N17" s="64"/>
      <c r="O17" s="83"/>
      <c r="P17" s="56"/>
      <c r="Q17" s="73"/>
      <c r="R17" s="19"/>
      <c r="S17" s="19"/>
      <c r="T17" s="83"/>
      <c r="U17" s="56"/>
      <c r="V17" s="19"/>
      <c r="W17" s="19"/>
      <c r="X17" s="19"/>
      <c r="Y17" s="10"/>
      <c r="Z17" s="56"/>
      <c r="AA17" s="56"/>
      <c r="AB17" s="56"/>
      <c r="AC17" s="56"/>
      <c r="AD17" s="56"/>
      <c r="AE17" s="56"/>
      <c r="AF17" s="56"/>
      <c r="AG17" s="56"/>
      <c r="AH17" s="56"/>
      <c r="AI17" s="56"/>
      <c r="AJ17" s="56"/>
      <c r="AK17" s="56"/>
      <c r="AL17" s="56"/>
      <c r="AM17" s="56"/>
      <c r="AN17" s="56"/>
      <c r="AO17" s="56"/>
    </row>
    <row r="18" spans="1:41">
      <c r="A18" t="s">
        <v>65</v>
      </c>
      <c r="B18" s="9"/>
      <c r="C18" s="9"/>
      <c r="D18" s="9"/>
      <c r="E18" s="9"/>
      <c r="F18" s="56"/>
      <c r="G18" s="9"/>
      <c r="H18" s="9"/>
      <c r="I18" s="9"/>
      <c r="J18" s="9"/>
      <c r="K18" s="73">
        <f>11.867-K20</f>
        <v>11.522</v>
      </c>
      <c r="L18" s="117">
        <v>4</v>
      </c>
      <c r="M18" s="64">
        <v>4.2</v>
      </c>
      <c r="N18" s="64">
        <v>5.5</v>
      </c>
      <c r="O18" s="83">
        <f>P18-L18-M18-N18</f>
        <v>7.0399999999999991</v>
      </c>
      <c r="P18" s="49">
        <f>21.337-P20</f>
        <v>20.74</v>
      </c>
      <c r="Q18" s="61">
        <f>21.05-R18-S18</f>
        <v>7.0910000000000002</v>
      </c>
      <c r="R18" s="9">
        <v>7</v>
      </c>
      <c r="S18" s="9">
        <f>7.043-S20</f>
        <v>6.9590000000000005</v>
      </c>
      <c r="T18" s="83">
        <f>U18-Q18-R18-S18</f>
        <v>7.8159999999999945</v>
      </c>
      <c r="U18" s="49">
        <f>51.062-U20</f>
        <v>28.865999999999996</v>
      </c>
      <c r="V18" s="9">
        <v>7.5</v>
      </c>
      <c r="W18" s="9">
        <v>7.5</v>
      </c>
      <c r="X18" s="9">
        <v>7.5</v>
      </c>
      <c r="Y18" s="10">
        <f t="shared" si="11"/>
        <v>7.5</v>
      </c>
      <c r="Z18" s="49">
        <v>30</v>
      </c>
      <c r="AA18" s="49">
        <f>Z18*1.03</f>
        <v>30.900000000000002</v>
      </c>
      <c r="AB18" s="49">
        <f t="shared" ref="AB18:AD18" si="12">AA18*1.03</f>
        <v>31.827000000000002</v>
      </c>
      <c r="AC18" s="49">
        <f t="shared" si="12"/>
        <v>32.78181</v>
      </c>
      <c r="AD18" s="49">
        <f t="shared" si="12"/>
        <v>33.765264299999998</v>
      </c>
      <c r="AE18" s="49">
        <f t="shared" ref="AE18:AO18" si="13">AD18*1.03</f>
        <v>34.778222229000001</v>
      </c>
      <c r="AF18" s="49">
        <f t="shared" si="13"/>
        <v>35.821568895870001</v>
      </c>
      <c r="AG18" s="49">
        <f t="shared" si="13"/>
        <v>36.896215962746105</v>
      </c>
      <c r="AH18" s="49">
        <f t="shared" si="13"/>
        <v>38.003102441628492</v>
      </c>
      <c r="AI18" s="49">
        <f t="shared" si="13"/>
        <v>39.143195514877348</v>
      </c>
      <c r="AJ18" s="49">
        <f t="shared" si="13"/>
        <v>40.317491380323666</v>
      </c>
      <c r="AK18" s="49">
        <f t="shared" si="13"/>
        <v>41.527016121733375</v>
      </c>
      <c r="AL18" s="49">
        <f t="shared" si="13"/>
        <v>42.772826605385376</v>
      </c>
      <c r="AM18" s="49">
        <f t="shared" si="13"/>
        <v>44.05601140354694</v>
      </c>
      <c r="AN18" s="49">
        <f t="shared" si="13"/>
        <v>45.377691745653351</v>
      </c>
      <c r="AO18" s="49">
        <f t="shared" si="13"/>
        <v>46.739022498022955</v>
      </c>
    </row>
    <row r="19" spans="1:41">
      <c r="A19" t="s">
        <v>11</v>
      </c>
      <c r="B19" s="286"/>
      <c r="C19" s="286"/>
      <c r="D19" s="286"/>
      <c r="E19" s="286"/>
      <c r="F19" s="56"/>
      <c r="G19" s="286"/>
      <c r="H19" s="286"/>
      <c r="I19" s="286"/>
      <c r="J19" s="286"/>
      <c r="K19" s="61">
        <v>2.4769999999999999</v>
      </c>
      <c r="L19" s="73">
        <f>L22-L9-L11-L14-L16-L18-L20</f>
        <v>0.15000000000000036</v>
      </c>
      <c r="M19" s="19">
        <f>M22-M9-M11-M14-M16-M18-M20</f>
        <v>0.43900000000000095</v>
      </c>
      <c r="N19" s="64">
        <v>0.5</v>
      </c>
      <c r="O19" s="83">
        <f>P19-L19-M19-N19</f>
        <v>2.4719999999999986</v>
      </c>
      <c r="P19" s="49">
        <v>3.5609999999999999</v>
      </c>
      <c r="Q19" s="513">
        <f>Q22-Q20-Q18-Q16-Q14-Q11-Q9</f>
        <v>1.9230000000000018</v>
      </c>
      <c r="R19" s="286">
        <f t="shared" ref="R19:T19" si="14">R22-R20-R18-R16-R14-R11-R9</f>
        <v>0.61000000000000121</v>
      </c>
      <c r="S19" s="286">
        <f t="shared" si="14"/>
        <v>1.1690000000000023</v>
      </c>
      <c r="T19" s="622">
        <f t="shared" si="14"/>
        <v>1.4369999999999905</v>
      </c>
      <c r="U19" s="56">
        <f>SUM(Q19:T19)</f>
        <v>5.1389999999999958</v>
      </c>
      <c r="V19" s="9">
        <v>0</v>
      </c>
      <c r="W19" s="9">
        <v>0</v>
      </c>
      <c r="X19" s="9">
        <v>0</v>
      </c>
      <c r="Y19" s="10">
        <f t="shared" si="11"/>
        <v>0</v>
      </c>
      <c r="Z19" s="49">
        <v>0</v>
      </c>
      <c r="AA19" s="49">
        <v>3</v>
      </c>
      <c r="AB19" s="49">
        <v>4</v>
      </c>
      <c r="AC19" s="49">
        <v>2.9</v>
      </c>
      <c r="AD19" s="49">
        <v>1.8</v>
      </c>
      <c r="AE19" s="49">
        <f t="shared" ref="AE19:AO19" si="15">AD19</f>
        <v>1.8</v>
      </c>
      <c r="AF19" s="49">
        <f t="shared" si="15"/>
        <v>1.8</v>
      </c>
      <c r="AG19" s="49">
        <f t="shared" si="15"/>
        <v>1.8</v>
      </c>
      <c r="AH19" s="49">
        <f t="shared" si="15"/>
        <v>1.8</v>
      </c>
      <c r="AI19" s="49">
        <f t="shared" si="15"/>
        <v>1.8</v>
      </c>
      <c r="AJ19" s="49">
        <f t="shared" si="15"/>
        <v>1.8</v>
      </c>
      <c r="AK19" s="49">
        <f t="shared" si="15"/>
        <v>1.8</v>
      </c>
      <c r="AL19" s="49">
        <f t="shared" si="15"/>
        <v>1.8</v>
      </c>
      <c r="AM19" s="49">
        <f t="shared" si="15"/>
        <v>1.8</v>
      </c>
      <c r="AN19" s="49">
        <f t="shared" si="15"/>
        <v>1.8</v>
      </c>
      <c r="AO19" s="49">
        <f t="shared" si="15"/>
        <v>1.8</v>
      </c>
    </row>
    <row r="20" spans="1:41">
      <c r="A20" s="7" t="s">
        <v>151</v>
      </c>
      <c r="B20" s="9"/>
      <c r="C20" s="9"/>
      <c r="D20" s="9"/>
      <c r="E20" s="19"/>
      <c r="F20" s="49"/>
      <c r="G20" s="9"/>
      <c r="H20" s="9"/>
      <c r="I20" s="9"/>
      <c r="J20" s="19"/>
      <c r="K20" s="61">
        <f>1.045-K34</f>
        <v>0.34499999999999997</v>
      </c>
      <c r="L20" s="117">
        <v>0.25</v>
      </c>
      <c r="M20" s="64">
        <v>0.25</v>
      </c>
      <c r="N20" s="64">
        <v>0.25</v>
      </c>
      <c r="O20" s="83">
        <f>P20-L20-M20-N20</f>
        <v>-0.15299999999999991</v>
      </c>
      <c r="P20" s="49">
        <f>1.08-P34</f>
        <v>0.59700000000000009</v>
      </c>
      <c r="Q20" s="117">
        <v>0.124</v>
      </c>
      <c r="R20" s="64">
        <v>0.123</v>
      </c>
      <c r="S20" s="9">
        <v>8.4000000000000005E-2</v>
      </c>
      <c r="T20" s="83">
        <f>U20-Q20-R20-S20</f>
        <v>21.865000000000002</v>
      </c>
      <c r="U20" s="49">
        <v>22.196000000000002</v>
      </c>
      <c r="V20" s="9">
        <v>0.5</v>
      </c>
      <c r="W20" s="9">
        <f>V20</f>
        <v>0.5</v>
      </c>
      <c r="X20" s="9">
        <f>W20</f>
        <v>0.5</v>
      </c>
      <c r="Y20" s="10">
        <f t="shared" si="11"/>
        <v>0.5</v>
      </c>
      <c r="Z20" s="49">
        <v>2</v>
      </c>
      <c r="AA20" s="49">
        <f>Z20*(1+5%)</f>
        <v>2.1</v>
      </c>
      <c r="AB20" s="49">
        <f t="shared" ref="AB20:AH20" si="16">AA20*(1+5%)</f>
        <v>2.2050000000000001</v>
      </c>
      <c r="AC20" s="49">
        <f t="shared" si="16"/>
        <v>2.3152500000000003</v>
      </c>
      <c r="AD20" s="49">
        <f t="shared" si="16"/>
        <v>2.4310125000000005</v>
      </c>
      <c r="AE20" s="49">
        <f t="shared" si="16"/>
        <v>2.5525631250000007</v>
      </c>
      <c r="AF20" s="49">
        <f t="shared" si="16"/>
        <v>2.6801912812500008</v>
      </c>
      <c r="AG20" s="49">
        <f t="shared" si="16"/>
        <v>2.8142008453125009</v>
      </c>
      <c r="AH20" s="49">
        <f t="shared" si="16"/>
        <v>2.954910887578126</v>
      </c>
      <c r="AI20" s="49">
        <f t="shared" ref="AI20:AO20" si="17">AH20*1.03</f>
        <v>3.0435582142054698</v>
      </c>
      <c r="AJ20" s="49">
        <f t="shared" si="17"/>
        <v>3.1348649606316341</v>
      </c>
      <c r="AK20" s="49">
        <f t="shared" si="17"/>
        <v>3.2289109094505832</v>
      </c>
      <c r="AL20" s="49">
        <f t="shared" si="17"/>
        <v>3.3257782367341009</v>
      </c>
      <c r="AM20" s="49">
        <f t="shared" si="17"/>
        <v>3.4255515838361239</v>
      </c>
      <c r="AN20" s="49">
        <f t="shared" si="17"/>
        <v>3.5283181313512078</v>
      </c>
      <c r="AO20" s="49">
        <f t="shared" si="17"/>
        <v>3.634167675291744</v>
      </c>
    </row>
    <row r="21" spans="1:41" ht="5.15" customHeight="1" thickBot="1">
      <c r="A21" s="7"/>
      <c r="B21" s="8"/>
      <c r="C21" s="8"/>
      <c r="D21" s="8"/>
      <c r="E21" s="8"/>
      <c r="F21" s="68"/>
      <c r="G21" s="8"/>
      <c r="H21" s="8"/>
      <c r="I21" s="8"/>
      <c r="J21" s="8"/>
      <c r="K21" s="72"/>
      <c r="L21" s="332"/>
      <c r="M21" s="333"/>
      <c r="N21" s="333"/>
      <c r="O21" s="334"/>
      <c r="P21" s="68"/>
      <c r="Q21" s="332"/>
      <c r="R21" s="333"/>
      <c r="S21" s="333"/>
      <c r="T21" s="334"/>
      <c r="U21" s="68"/>
      <c r="V21" s="8"/>
      <c r="W21" s="8"/>
      <c r="X21" s="8"/>
      <c r="Y21" s="114"/>
      <c r="Z21" s="68"/>
      <c r="AA21" s="72"/>
      <c r="AB21" s="68"/>
      <c r="AC21" s="68"/>
      <c r="AD21" s="68"/>
      <c r="AE21" s="68"/>
      <c r="AF21" s="68"/>
      <c r="AG21" s="68"/>
      <c r="AH21" s="68"/>
      <c r="AI21" s="68"/>
      <c r="AJ21" s="68"/>
      <c r="AK21" s="68"/>
      <c r="AL21" s="68"/>
      <c r="AM21" s="68"/>
      <c r="AN21" s="68"/>
      <c r="AO21" s="68"/>
    </row>
    <row r="22" spans="1:41" s="1" customFormat="1" ht="15" thickBot="1">
      <c r="A22" s="2" t="s">
        <v>63</v>
      </c>
      <c r="B22" s="63"/>
      <c r="C22" s="63"/>
      <c r="D22" s="63"/>
      <c r="E22" s="63"/>
      <c r="F22" s="50"/>
      <c r="G22" s="63"/>
      <c r="H22" s="63"/>
      <c r="I22" s="63"/>
      <c r="J22" s="63"/>
      <c r="K22" s="423">
        <f>'INCOME STATEMENT'!K13</f>
        <v>49.674999999999997</v>
      </c>
      <c r="L22" s="424">
        <f>'INCOME STATEMENT'!L13</f>
        <v>14</v>
      </c>
      <c r="M22" s="63">
        <f>'INCOME STATEMENT'!M13</f>
        <v>16.989000000000001</v>
      </c>
      <c r="N22" s="270">
        <f>SUM(N9+N11+N14+N18+N19+N20+N16)</f>
        <v>17.850000000000001</v>
      </c>
      <c r="O22" s="271">
        <f>SUM(O9+O11+O14+O18+O19+O20+O16)</f>
        <v>19.686</v>
      </c>
      <c r="P22" s="423">
        <f>'INCOME STATEMENT'!P13</f>
        <v>68.522999999999996</v>
      </c>
      <c r="Q22" s="424">
        <f>'INCOME STATEMENT'!Q13</f>
        <v>22</v>
      </c>
      <c r="R22" s="63">
        <f>'INCOME STATEMENT'!R13</f>
        <v>24.633000000000003</v>
      </c>
      <c r="S22" s="63">
        <f>'INCOME STATEMENT'!S13</f>
        <v>27.094000000000001</v>
      </c>
      <c r="T22" s="63">
        <f>'INCOME STATEMENT'!T13</f>
        <v>64.621999999999986</v>
      </c>
      <c r="U22" s="268">
        <f>SUM(Q22:T22)</f>
        <v>138.34899999999999</v>
      </c>
      <c r="V22" s="270">
        <f>(V9+V11+V14+V18+V19+V20+V16)</f>
        <v>31.25</v>
      </c>
      <c r="W22" s="270">
        <f t="shared" ref="W22:Y22" si="18">(W9+W11+W14+W18+W19+W20+W16)</f>
        <v>33.25</v>
      </c>
      <c r="X22" s="270">
        <f t="shared" si="18"/>
        <v>37.25</v>
      </c>
      <c r="Y22" s="271">
        <f t="shared" si="18"/>
        <v>43.25</v>
      </c>
      <c r="Z22" s="268">
        <f>SUM(V22:Y22)</f>
        <v>145</v>
      </c>
      <c r="AA22" s="268">
        <f t="shared" ref="AA22:AO22" si="19">SUM(AA9+AA11+AA14+AA18+AA19+AA20+AA16)</f>
        <v>175</v>
      </c>
      <c r="AB22" s="268">
        <f t="shared" si="19"/>
        <v>225.03200000000001</v>
      </c>
      <c r="AC22" s="268">
        <f t="shared" si="19"/>
        <v>214.99706</v>
      </c>
      <c r="AD22" s="268">
        <f t="shared" si="19"/>
        <v>194.99627680000003</v>
      </c>
      <c r="AE22" s="268">
        <f t="shared" si="19"/>
        <v>151.13078535400001</v>
      </c>
      <c r="AF22" s="268">
        <f t="shared" si="19"/>
        <v>82.301760177120002</v>
      </c>
      <c r="AG22" s="268">
        <f t="shared" si="19"/>
        <v>64.510416808058608</v>
      </c>
      <c r="AH22" s="268">
        <f t="shared" si="19"/>
        <v>56.758013329206612</v>
      </c>
      <c r="AI22" s="268">
        <f t="shared" si="19"/>
        <v>57.986753729082814</v>
      </c>
      <c r="AJ22" s="268">
        <f t="shared" si="19"/>
        <v>59.252356340955295</v>
      </c>
      <c r="AK22" s="268">
        <f t="shared" si="19"/>
        <v>60.555927031183955</v>
      </c>
      <c r="AL22" s="268">
        <f t="shared" si="19"/>
        <v>61.898604842119475</v>
      </c>
      <c r="AM22" s="268">
        <f t="shared" si="19"/>
        <v>63.281562987383062</v>
      </c>
      <c r="AN22" s="268">
        <f t="shared" si="19"/>
        <v>64.706009877004561</v>
      </c>
      <c r="AO22" s="268">
        <f t="shared" si="19"/>
        <v>66.173190173314694</v>
      </c>
    </row>
    <row r="23" spans="1:41" s="1" customFormat="1" ht="15" thickBot="1">
      <c r="A23" s="274" t="s">
        <v>101</v>
      </c>
      <c r="B23" s="281"/>
      <c r="C23" s="280"/>
      <c r="D23" s="280"/>
      <c r="E23" s="282"/>
      <c r="F23" s="278"/>
      <c r="G23" s="281"/>
      <c r="H23" s="280"/>
      <c r="I23" s="280"/>
      <c r="J23" s="282"/>
      <c r="K23" s="278"/>
      <c r="L23" s="281"/>
      <c r="M23" s="280"/>
      <c r="N23" s="280"/>
      <c r="O23" s="282"/>
      <c r="P23" s="278">
        <f t="shared" ref="P23" si="20">P22/K22-1</f>
        <v>0.37942627075993962</v>
      </c>
      <c r="Q23" s="281">
        <f t="shared" ref="Q23" si="21">Q22/L22-1</f>
        <v>0.5714285714285714</v>
      </c>
      <c r="R23" s="280">
        <f t="shared" ref="R23" si="22">R22/M22-1</f>
        <v>0.44993819530284318</v>
      </c>
      <c r="S23" s="280">
        <f t="shared" ref="S23" si="23">S22/N22-1</f>
        <v>0.51787114845938365</v>
      </c>
      <c r="T23" s="280">
        <f t="shared" ref="T23" si="24">T22/O22-1</f>
        <v>2.2826374072945232</v>
      </c>
      <c r="U23" s="278">
        <f>U22/P22-1</f>
        <v>1.0190155130394172</v>
      </c>
      <c r="V23" s="281">
        <f t="shared" ref="V23" si="25">V22/Q22-1</f>
        <v>0.42045454545454541</v>
      </c>
      <c r="W23" s="280">
        <f t="shared" ref="W23" si="26">W22/R22-1</f>
        <v>0.34981528843421406</v>
      </c>
      <c r="X23" s="280">
        <f t="shared" ref="X23" si="27">X22/S22-1</f>
        <v>0.37484313870229569</v>
      </c>
      <c r="Y23" s="280">
        <f t="shared" ref="Y23" si="28">Y22/T22-1</f>
        <v>-0.33072328309244514</v>
      </c>
      <c r="Z23" s="278">
        <f>Z22/U22-1</f>
        <v>4.8074073538659556E-2</v>
      </c>
      <c r="AA23" s="278">
        <f t="shared" ref="AA23:AO23" si="29">AA22/Z22-1</f>
        <v>0.2068965517241379</v>
      </c>
      <c r="AB23" s="278">
        <f t="shared" si="29"/>
        <v>0.28589714285714285</v>
      </c>
      <c r="AC23" s="278">
        <f t="shared" si="29"/>
        <v>-4.459339116214589E-2</v>
      </c>
      <c r="AD23" s="278">
        <f t="shared" si="29"/>
        <v>-9.3028170710799385E-2</v>
      </c>
      <c r="AE23" s="278">
        <f t="shared" si="29"/>
        <v>-0.22495553333559859</v>
      </c>
      <c r="AF23" s="278">
        <f t="shared" si="29"/>
        <v>-0.45542690071820169</v>
      </c>
      <c r="AG23" s="278">
        <f t="shared" si="29"/>
        <v>-0.21617208830981249</v>
      </c>
      <c r="AH23" s="278">
        <f t="shared" si="29"/>
        <v>-0.12017289396715802</v>
      </c>
      <c r="AI23" s="278">
        <f t="shared" si="29"/>
        <v>2.164875632184815E-2</v>
      </c>
      <c r="AJ23" s="278">
        <f t="shared" si="29"/>
        <v>2.1825719332132953E-2</v>
      </c>
      <c r="AK23" s="278">
        <f t="shared" si="29"/>
        <v>2.2000318143088338E-2</v>
      </c>
      <c r="AL23" s="278">
        <f t="shared" si="29"/>
        <v>2.2172525081551431E-2</v>
      </c>
      <c r="AM23" s="278">
        <f t="shared" si="29"/>
        <v>2.2342315287896986E-2</v>
      </c>
      <c r="AN23" s="278">
        <f t="shared" si="29"/>
        <v>2.2509666676619577E-2</v>
      </c>
      <c r="AO23" s="278">
        <f t="shared" si="29"/>
        <v>2.2674559891716406E-2</v>
      </c>
    </row>
    <row r="24" spans="1:41" s="1" customFormat="1">
      <c r="A24" s="279"/>
      <c r="B24" s="180"/>
      <c r="C24" s="314"/>
      <c r="D24" s="180"/>
      <c r="E24" s="180"/>
      <c r="F24" s="180"/>
      <c r="G24" s="323"/>
      <c r="H24" s="314"/>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c r="AI24" s="180"/>
      <c r="AJ24" s="180"/>
      <c r="AK24" s="180"/>
      <c r="AL24" s="180"/>
      <c r="AM24" s="180"/>
      <c r="AN24" s="180"/>
      <c r="AO24" s="180"/>
    </row>
    <row r="25" spans="1:41" ht="15" thickBot="1"/>
    <row r="26" spans="1:41" ht="15" thickBot="1">
      <c r="B26" s="132" t="str">
        <f t="shared" ref="B26:AI26" si="30">B3</f>
        <v>1Q22</v>
      </c>
      <c r="C26" s="132" t="str">
        <f t="shared" si="30"/>
        <v>2Q22</v>
      </c>
      <c r="D26" s="132" t="str">
        <f t="shared" si="30"/>
        <v>3Q22</v>
      </c>
      <c r="E26" s="132" t="str">
        <f t="shared" si="30"/>
        <v>4Q22</v>
      </c>
      <c r="F26" s="54">
        <f t="shared" si="30"/>
        <v>2022</v>
      </c>
      <c r="G26" s="132" t="str">
        <f t="shared" si="30"/>
        <v>1Q23</v>
      </c>
      <c r="H26" s="132" t="str">
        <f t="shared" si="30"/>
        <v>2Q23</v>
      </c>
      <c r="I26" s="132" t="str">
        <f t="shared" si="30"/>
        <v>3Q23</v>
      </c>
      <c r="J26" s="132" t="str">
        <f t="shared" si="30"/>
        <v>4Q23</v>
      </c>
      <c r="K26" s="26">
        <f t="shared" si="30"/>
        <v>2023</v>
      </c>
      <c r="L26" s="158" t="str">
        <f t="shared" si="30"/>
        <v>1Q24</v>
      </c>
      <c r="M26" s="159" t="str">
        <f t="shared" si="30"/>
        <v>2Q24</v>
      </c>
      <c r="N26" s="159" t="str">
        <f t="shared" si="30"/>
        <v>3Q24</v>
      </c>
      <c r="O26" s="331" t="str">
        <f t="shared" si="30"/>
        <v>4Q24</v>
      </c>
      <c r="P26" s="234">
        <f t="shared" si="30"/>
        <v>2024</v>
      </c>
      <c r="Q26" s="159" t="str">
        <f>Q3</f>
        <v>1Q25</v>
      </c>
      <c r="R26" s="159" t="str">
        <f>R3</f>
        <v>2Q25</v>
      </c>
      <c r="S26" s="159" t="str">
        <f t="shared" ref="S26:T26" si="31">S3</f>
        <v>3Q25</v>
      </c>
      <c r="T26" s="159" t="str">
        <f t="shared" si="31"/>
        <v>4Q25</v>
      </c>
      <c r="U26" s="54">
        <f t="shared" si="30"/>
        <v>2025</v>
      </c>
      <c r="V26" s="26" t="str">
        <f>V3</f>
        <v>1Q26E</v>
      </c>
      <c r="W26" s="132" t="str">
        <f t="shared" ref="W26:Y26" si="32">W3</f>
        <v>2Q26E</v>
      </c>
      <c r="X26" s="132" t="str">
        <f t="shared" si="32"/>
        <v>3Q26E</v>
      </c>
      <c r="Y26" s="4" t="str">
        <f t="shared" si="32"/>
        <v>4Q26E</v>
      </c>
      <c r="Z26" s="54" t="str">
        <f t="shared" si="30"/>
        <v>2026E</v>
      </c>
      <c r="AA26" s="54" t="str">
        <f t="shared" si="30"/>
        <v>2027E</v>
      </c>
      <c r="AB26" s="54" t="str">
        <f t="shared" si="30"/>
        <v>2028E</v>
      </c>
      <c r="AC26" s="54" t="str">
        <f t="shared" si="30"/>
        <v>2029E</v>
      </c>
      <c r="AD26" s="54" t="str">
        <f t="shared" si="30"/>
        <v>2030E</v>
      </c>
      <c r="AE26" s="54" t="str">
        <f t="shared" si="30"/>
        <v>2031E</v>
      </c>
      <c r="AF26" s="54" t="str">
        <f t="shared" si="30"/>
        <v>2032E</v>
      </c>
      <c r="AG26" s="54" t="str">
        <f t="shared" si="30"/>
        <v>2033E</v>
      </c>
      <c r="AH26" s="54" t="str">
        <f t="shared" si="30"/>
        <v>2034E</v>
      </c>
      <c r="AI26" s="54" t="str">
        <f t="shared" si="30"/>
        <v>2035E</v>
      </c>
      <c r="AJ26" s="54" t="str">
        <f t="shared" ref="AJ26:AK26" si="33">AJ3</f>
        <v>2036E</v>
      </c>
      <c r="AK26" s="54" t="str">
        <f t="shared" si="33"/>
        <v>2037E</v>
      </c>
      <c r="AL26" s="54" t="str">
        <f t="shared" ref="AL26:AM26" si="34">AL3</f>
        <v>2038E</v>
      </c>
      <c r="AM26" s="54" t="str">
        <f t="shared" si="34"/>
        <v>2039E</v>
      </c>
      <c r="AN26" s="54" t="str">
        <f t="shared" ref="AN26:AO26" si="35">AN3</f>
        <v>2040E</v>
      </c>
      <c r="AO26" s="54" t="str">
        <f t="shared" si="35"/>
        <v>2041E</v>
      </c>
    </row>
    <row r="27" spans="1:41" ht="5.15" customHeight="1" thickBot="1">
      <c r="B27" s="8"/>
      <c r="C27" s="8"/>
      <c r="D27" s="8"/>
      <c r="E27" s="8"/>
      <c r="F27" s="55"/>
      <c r="G27" s="8"/>
      <c r="H27" s="8"/>
      <c r="I27" s="8"/>
      <c r="J27" s="8"/>
      <c r="K27" s="72"/>
      <c r="L27" s="130"/>
      <c r="M27" s="62"/>
      <c r="N27" s="62"/>
      <c r="O27" s="62"/>
      <c r="P27" s="55"/>
      <c r="Q27" s="62"/>
      <c r="R27" s="62"/>
      <c r="S27" s="62"/>
      <c r="T27" s="62"/>
      <c r="U27" s="55"/>
      <c r="V27" s="72"/>
      <c r="W27" s="8"/>
      <c r="X27" s="8"/>
      <c r="Y27" s="8"/>
      <c r="Z27" s="72"/>
      <c r="AA27" s="68"/>
      <c r="AB27" s="68"/>
      <c r="AC27" s="68"/>
      <c r="AD27" s="68"/>
      <c r="AE27" s="68"/>
      <c r="AF27" s="68"/>
      <c r="AG27" s="68"/>
      <c r="AH27" s="68"/>
      <c r="AI27" s="68"/>
      <c r="AJ27" s="68"/>
      <c r="AK27" s="68"/>
      <c r="AL27" s="68"/>
      <c r="AM27" s="68"/>
      <c r="AN27" s="68"/>
      <c r="AO27" s="68"/>
    </row>
    <row r="28" spans="1:41" ht="15" thickBot="1">
      <c r="A28" s="13" t="s">
        <v>64</v>
      </c>
      <c r="F28" s="52"/>
      <c r="K28" s="7"/>
      <c r="L28" s="7"/>
      <c r="P28" s="52"/>
      <c r="U28" s="52"/>
      <c r="V28" s="7"/>
      <c r="Y28" s="14"/>
      <c r="Z28" s="52"/>
      <c r="AA28" s="52"/>
      <c r="AB28" s="52"/>
      <c r="AC28" s="52"/>
      <c r="AD28" s="52"/>
      <c r="AE28" s="52"/>
      <c r="AF28" s="52"/>
      <c r="AG28" s="52"/>
      <c r="AH28" s="52"/>
      <c r="AI28" s="52"/>
      <c r="AJ28" s="52"/>
      <c r="AK28" s="52"/>
      <c r="AL28" s="52"/>
      <c r="AM28" s="52"/>
      <c r="AN28" s="52"/>
      <c r="AO28" s="52"/>
    </row>
    <row r="29" spans="1:41" ht="5.15" customHeight="1">
      <c r="A29" s="52"/>
      <c r="B29" s="8"/>
      <c r="C29" s="8"/>
      <c r="D29" s="8"/>
      <c r="E29" s="8"/>
      <c r="F29" s="68"/>
      <c r="G29" s="8"/>
      <c r="H29" s="8"/>
      <c r="I29" s="8"/>
      <c r="J29" s="8"/>
      <c r="K29" s="72"/>
      <c r="L29" s="72"/>
      <c r="M29" s="8"/>
      <c r="N29" s="8"/>
      <c r="O29" s="8"/>
      <c r="P29" s="68"/>
      <c r="Q29" s="8"/>
      <c r="R29" s="8"/>
      <c r="S29" s="8"/>
      <c r="T29" s="8"/>
      <c r="U29" s="68"/>
      <c r="V29" s="72"/>
      <c r="W29" s="8"/>
      <c r="X29" s="8"/>
      <c r="Y29" s="114"/>
      <c r="Z29" s="68"/>
      <c r="AA29" s="68"/>
      <c r="AB29" s="68"/>
      <c r="AC29" s="68"/>
      <c r="AD29" s="68"/>
      <c r="AE29" s="68"/>
      <c r="AF29" s="68"/>
      <c r="AG29" s="68"/>
      <c r="AH29" s="68"/>
      <c r="AI29" s="68"/>
      <c r="AJ29" s="68"/>
      <c r="AK29" s="68"/>
      <c r="AL29" s="68"/>
      <c r="AM29" s="68"/>
      <c r="AN29" s="68"/>
      <c r="AO29" s="68"/>
    </row>
    <row r="30" spans="1:41">
      <c r="A30" s="52" t="s">
        <v>65</v>
      </c>
      <c r="B30" s="9"/>
      <c r="C30" s="9"/>
      <c r="D30" s="9"/>
      <c r="E30" s="19"/>
      <c r="F30" s="49"/>
      <c r="G30" s="9"/>
      <c r="H30" s="9"/>
      <c r="I30" s="9"/>
      <c r="J30" s="19"/>
      <c r="K30" s="73">
        <f>3.863-K34</f>
        <v>3.1630000000000003</v>
      </c>
      <c r="L30" s="61">
        <v>1</v>
      </c>
      <c r="M30" s="9">
        <v>1.5</v>
      </c>
      <c r="N30" s="9">
        <v>2.1</v>
      </c>
      <c r="O30" s="19">
        <f>P30-L30-M30-N30</f>
        <v>2.3740000000000001</v>
      </c>
      <c r="P30" s="56">
        <f>7.457-P34</f>
        <v>6.9740000000000002</v>
      </c>
      <c r="Q30" s="9">
        <v>1.8</v>
      </c>
      <c r="R30" s="9">
        <v>1.8</v>
      </c>
      <c r="S30" s="9">
        <v>1.8</v>
      </c>
      <c r="T30" s="19">
        <f>U30-Q30-R30-S30</f>
        <v>2.4779999999999989</v>
      </c>
      <c r="U30" s="49">
        <f>21.688-U34</f>
        <v>7.8779999999999983</v>
      </c>
      <c r="V30" s="61">
        <v>2.5</v>
      </c>
      <c r="W30" s="9">
        <v>2.6</v>
      </c>
      <c r="X30" s="9">
        <v>2.7</v>
      </c>
      <c r="Y30" s="99">
        <v>3</v>
      </c>
      <c r="Z30" s="56">
        <f>V30+W30+X30+Y30</f>
        <v>10.8</v>
      </c>
      <c r="AA30" s="56">
        <f t="shared" ref="AA30:AO32" si="36">Z30*(1+AA31)</f>
        <v>11.340000000000002</v>
      </c>
      <c r="AB30" s="56">
        <f t="shared" si="36"/>
        <v>11.907000000000002</v>
      </c>
      <c r="AC30" s="56">
        <f t="shared" si="36"/>
        <v>13.097700000000003</v>
      </c>
      <c r="AD30" s="56">
        <f t="shared" si="36"/>
        <v>13.752585000000003</v>
      </c>
      <c r="AE30" s="56">
        <f t="shared" si="36"/>
        <v>14.440214250000004</v>
      </c>
      <c r="AF30" s="56">
        <f t="shared" si="36"/>
        <v>15.162224962500005</v>
      </c>
      <c r="AG30" s="56">
        <f t="shared" si="36"/>
        <v>15.920336210625006</v>
      </c>
      <c r="AH30" s="56">
        <f t="shared" si="36"/>
        <v>16.716353021156259</v>
      </c>
      <c r="AI30" s="56">
        <f t="shared" si="36"/>
        <v>17.552170672214071</v>
      </c>
      <c r="AJ30" s="56">
        <f t="shared" si="36"/>
        <v>18.429779205824776</v>
      </c>
      <c r="AK30" s="56">
        <f t="shared" si="36"/>
        <v>19.351268166116014</v>
      </c>
      <c r="AL30" s="56">
        <f t="shared" si="36"/>
        <v>20.318831574421814</v>
      </c>
      <c r="AM30" s="56">
        <f t="shared" si="36"/>
        <v>21.334773153142905</v>
      </c>
      <c r="AN30" s="56">
        <f t="shared" si="36"/>
        <v>22.401511810800052</v>
      </c>
      <c r="AO30" s="56">
        <f t="shared" si="36"/>
        <v>23.521587401340057</v>
      </c>
    </row>
    <row r="31" spans="1:41" s="27" customFormat="1">
      <c r="A31" s="155" t="s">
        <v>101</v>
      </c>
      <c r="B31" s="81"/>
      <c r="C31" s="45"/>
      <c r="D31" s="45"/>
      <c r="E31" s="45"/>
      <c r="F31" s="53"/>
      <c r="G31" s="81"/>
      <c r="H31" s="45"/>
      <c r="I31" s="45"/>
      <c r="J31" s="129"/>
      <c r="K31" s="81" t="e">
        <f>K30/F30-1</f>
        <v>#DIV/0!</v>
      </c>
      <c r="L31" s="81"/>
      <c r="M31" s="45"/>
      <c r="N31" s="45"/>
      <c r="O31" s="45"/>
      <c r="P31" s="53">
        <f>P30/K30-1</f>
        <v>1.2048687954473598</v>
      </c>
      <c r="Q31" s="351"/>
      <c r="R31" s="351"/>
      <c r="S31" s="351"/>
      <c r="T31" s="351"/>
      <c r="U31" s="81">
        <f>U30/P30-1</f>
        <v>0.12962431889876669</v>
      </c>
      <c r="V31" s="81"/>
      <c r="W31" s="45"/>
      <c r="X31" s="45"/>
      <c r="Y31" s="608"/>
      <c r="Z31" s="53">
        <f>Z30/U30-1</f>
        <v>0.37090632140137125</v>
      </c>
      <c r="AA31" s="82">
        <v>0.05</v>
      </c>
      <c r="AB31" s="82">
        <f t="shared" ref="AB31:AO31" si="37">AA31</f>
        <v>0.05</v>
      </c>
      <c r="AC31" s="82">
        <v>0.1</v>
      </c>
      <c r="AD31" s="82">
        <v>0.05</v>
      </c>
      <c r="AE31" s="82">
        <f>AD31</f>
        <v>0.05</v>
      </c>
      <c r="AF31" s="82">
        <f t="shared" si="37"/>
        <v>0.05</v>
      </c>
      <c r="AG31" s="82">
        <f>AF31</f>
        <v>0.05</v>
      </c>
      <c r="AH31" s="82">
        <f t="shared" si="37"/>
        <v>0.05</v>
      </c>
      <c r="AI31" s="82">
        <f t="shared" si="37"/>
        <v>0.05</v>
      </c>
      <c r="AJ31" s="82">
        <f t="shared" si="37"/>
        <v>0.05</v>
      </c>
      <c r="AK31" s="82">
        <f t="shared" si="37"/>
        <v>0.05</v>
      </c>
      <c r="AL31" s="82">
        <f t="shared" si="37"/>
        <v>0.05</v>
      </c>
      <c r="AM31" s="82">
        <f t="shared" si="37"/>
        <v>0.05</v>
      </c>
      <c r="AN31" s="82">
        <f t="shared" si="37"/>
        <v>0.05</v>
      </c>
      <c r="AO31" s="82">
        <f t="shared" si="37"/>
        <v>0.05</v>
      </c>
    </row>
    <row r="32" spans="1:41">
      <c r="A32" s="52" t="s">
        <v>97</v>
      </c>
      <c r="B32" s="61"/>
      <c r="C32" s="9"/>
      <c r="D32" s="9"/>
      <c r="E32" s="19"/>
      <c r="F32" s="49"/>
      <c r="G32" s="61"/>
      <c r="H32" s="9"/>
      <c r="I32" s="9"/>
      <c r="J32" s="19"/>
      <c r="K32" s="49">
        <f>3.744-K36</f>
        <v>3.7440000000000002</v>
      </c>
      <c r="L32" s="61">
        <v>1</v>
      </c>
      <c r="M32" s="9">
        <v>1</v>
      </c>
      <c r="N32" s="9">
        <v>1</v>
      </c>
      <c r="O32" s="19">
        <f>P32-L32-M32-N32</f>
        <v>0.5</v>
      </c>
      <c r="P32" s="49">
        <v>3.5</v>
      </c>
      <c r="Q32" s="9">
        <v>1.6</v>
      </c>
      <c r="R32" s="9">
        <v>2.2000000000000002</v>
      </c>
      <c r="S32" s="9">
        <v>2.6</v>
      </c>
      <c r="T32" s="19">
        <f>U32-Q32-R32-S32</f>
        <v>2.6</v>
      </c>
      <c r="U32" s="49">
        <v>9</v>
      </c>
      <c r="V32" s="61">
        <v>2.5</v>
      </c>
      <c r="W32" s="9">
        <f>V32</f>
        <v>2.5</v>
      </c>
      <c r="X32" s="9">
        <v>3</v>
      </c>
      <c r="Y32" s="99">
        <v>3</v>
      </c>
      <c r="Z32" s="56">
        <f>V32+W32+X32+Y32</f>
        <v>11</v>
      </c>
      <c r="AA32" s="56">
        <f t="shared" ref="AA32" si="38">Z32*(1+AA33)</f>
        <v>11.55</v>
      </c>
      <c r="AB32" s="56">
        <f t="shared" ref="AB32" si="39">AA32*(1+AB33)</f>
        <v>12.127500000000001</v>
      </c>
      <c r="AC32" s="56">
        <f t="shared" si="36"/>
        <v>16.372125000000004</v>
      </c>
      <c r="AD32" s="56">
        <f t="shared" ref="AD32" si="40">AC32*(1+AD33)</f>
        <v>17.190731250000006</v>
      </c>
      <c r="AE32" s="56">
        <f t="shared" ref="AE32" si="41">AD32*(1+AE33)</f>
        <v>18.050267812500007</v>
      </c>
      <c r="AF32" s="56">
        <f t="shared" ref="AF32" si="42">AE32*(1+AF33)</f>
        <v>18.952781203125006</v>
      </c>
      <c r="AG32" s="56">
        <f t="shared" ref="AG32" si="43">AF32*(1+AG33)</f>
        <v>19.521364639218756</v>
      </c>
      <c r="AH32" s="56">
        <f t="shared" ref="AH32" si="44">AG32*(1+AH33)</f>
        <v>20.10700557839532</v>
      </c>
      <c r="AI32" s="56">
        <f t="shared" ref="AI32" si="45">AH32*(1+AI33)</f>
        <v>20.710215745747181</v>
      </c>
      <c r="AJ32" s="56">
        <f t="shared" ref="AJ32" si="46">AI32*(1+AJ33)</f>
        <v>21.331522218119598</v>
      </c>
      <c r="AK32" s="56">
        <f t="shared" ref="AK32" si="47">AJ32*(1+AK33)</f>
        <v>21.971467884663188</v>
      </c>
      <c r="AL32" s="56">
        <f t="shared" ref="AL32" si="48">AK32*(1+AL33)</f>
        <v>22.630611921203084</v>
      </c>
      <c r="AM32" s="56">
        <f t="shared" ref="AM32" si="49">AL32*(1+AM33)</f>
        <v>23.309530278839176</v>
      </c>
      <c r="AN32" s="56">
        <f t="shared" ref="AN32" si="50">AM32*(1+AN33)</f>
        <v>24.008816187204353</v>
      </c>
      <c r="AO32" s="56">
        <f t="shared" ref="AO32" si="51">AN32*(1+AO33)</f>
        <v>24.729080672820483</v>
      </c>
    </row>
    <row r="33" spans="1:41">
      <c r="A33" s="155" t="s">
        <v>101</v>
      </c>
      <c r="B33" s="81"/>
      <c r="C33" s="45"/>
      <c r="D33" s="45"/>
      <c r="E33" s="45"/>
      <c r="F33" s="53"/>
      <c r="G33" s="81"/>
      <c r="H33" s="45"/>
      <c r="I33" s="45"/>
      <c r="J33" s="129"/>
      <c r="K33" s="81">
        <v>0.1</v>
      </c>
      <c r="L33" s="81"/>
      <c r="M33" s="45"/>
      <c r="N33" s="45"/>
      <c r="O33" s="45"/>
      <c r="P33" s="53"/>
      <c r="Q33" s="45"/>
      <c r="R33" s="45"/>
      <c r="S33" s="45"/>
      <c r="T33" s="45"/>
      <c r="U33" s="53"/>
      <c r="V33" s="81"/>
      <c r="W33" s="45"/>
      <c r="X33" s="45"/>
      <c r="Y33" s="609"/>
      <c r="Z33" s="53">
        <f>Z32/U32-1</f>
        <v>0.22222222222222232</v>
      </c>
      <c r="AA33" s="82">
        <v>0.05</v>
      </c>
      <c r="AB33" s="82">
        <v>0.05</v>
      </c>
      <c r="AC33" s="82">
        <v>0.35</v>
      </c>
      <c r="AD33" s="82">
        <v>0.05</v>
      </c>
      <c r="AE33" s="82">
        <f t="shared" ref="AE33" si="52">AD33</f>
        <v>0.05</v>
      </c>
      <c r="AF33" s="82">
        <f t="shared" ref="AF33" si="53">AE33</f>
        <v>0.05</v>
      </c>
      <c r="AG33" s="82">
        <v>0.03</v>
      </c>
      <c r="AH33" s="82">
        <f t="shared" ref="AH33" si="54">AG33</f>
        <v>0.03</v>
      </c>
      <c r="AI33" s="82">
        <f t="shared" ref="AI33" si="55">AH33</f>
        <v>0.03</v>
      </c>
      <c r="AJ33" s="82">
        <f t="shared" ref="AJ33" si="56">AI33</f>
        <v>0.03</v>
      </c>
      <c r="AK33" s="82">
        <f t="shared" ref="AK33" si="57">AJ33</f>
        <v>0.03</v>
      </c>
      <c r="AL33" s="82">
        <f t="shared" ref="AL33" si="58">AK33</f>
        <v>0.03</v>
      </c>
      <c r="AM33" s="82">
        <f t="shared" ref="AM33" si="59">AL33</f>
        <v>0.03</v>
      </c>
      <c r="AN33" s="82">
        <f t="shared" ref="AN33" si="60">AM33</f>
        <v>0.03</v>
      </c>
      <c r="AO33" s="82">
        <f t="shared" ref="AO33" si="61">AN33</f>
        <v>0.03</v>
      </c>
    </row>
    <row r="34" spans="1:41">
      <c r="A34" s="52" t="s">
        <v>151</v>
      </c>
      <c r="B34" s="9"/>
      <c r="C34" s="9"/>
      <c r="D34" s="9"/>
      <c r="E34" s="19"/>
      <c r="F34" s="49"/>
      <c r="G34" s="9"/>
      <c r="H34" s="9"/>
      <c r="I34" s="9"/>
      <c r="J34" s="19"/>
      <c r="K34" s="61">
        <v>0.7</v>
      </c>
      <c r="L34" s="61">
        <v>0.15</v>
      </c>
      <c r="M34" s="9">
        <v>0.15</v>
      </c>
      <c r="N34" s="9">
        <v>0.15</v>
      </c>
      <c r="O34" s="19">
        <f>P34-L34-M34-N34</f>
        <v>3.2999999999999974E-2</v>
      </c>
      <c r="P34" s="49">
        <v>0.48299999999999998</v>
      </c>
      <c r="Q34" s="9">
        <v>0.05</v>
      </c>
      <c r="R34" s="9">
        <v>6.3E-2</v>
      </c>
      <c r="S34" s="9">
        <v>4.1000000000000002E-2</v>
      </c>
      <c r="T34" s="19">
        <f>U34-Q34-R34-S34</f>
        <v>13.655999999999999</v>
      </c>
      <c r="U34" s="49">
        <v>13.81</v>
      </c>
      <c r="V34" s="61">
        <v>1.5</v>
      </c>
      <c r="W34" s="9">
        <f>V34</f>
        <v>1.5</v>
      </c>
      <c r="X34" s="9">
        <f>W34</f>
        <v>1.5</v>
      </c>
      <c r="Y34" s="10">
        <f>Z34-X34-W34-V34</f>
        <v>1.5</v>
      </c>
      <c r="Z34" s="49">
        <v>6</v>
      </c>
      <c r="AA34" s="56">
        <f>Z34*(1+AA35)</f>
        <v>6.3000000000000007</v>
      </c>
      <c r="AB34" s="56">
        <f>AA34*(1+AB35)</f>
        <v>6.6150000000000011</v>
      </c>
      <c r="AC34" s="56">
        <f t="shared" ref="AC34:AO34" si="62">AB34*(1+AC35)</f>
        <v>6.9457500000000012</v>
      </c>
      <c r="AD34" s="56">
        <f t="shared" si="62"/>
        <v>7.2930375000000014</v>
      </c>
      <c r="AE34" s="56">
        <f t="shared" si="62"/>
        <v>7.6576893750000021</v>
      </c>
      <c r="AF34" s="56">
        <f t="shared" si="62"/>
        <v>8.0405738437500034</v>
      </c>
      <c r="AG34" s="56">
        <f t="shared" si="62"/>
        <v>8.2817910590625043</v>
      </c>
      <c r="AH34" s="56">
        <f t="shared" si="62"/>
        <v>8.530244790834379</v>
      </c>
      <c r="AI34" s="56">
        <f t="shared" si="62"/>
        <v>8.7861521345594102</v>
      </c>
      <c r="AJ34" s="56">
        <f t="shared" si="62"/>
        <v>9.0497366985961936</v>
      </c>
      <c r="AK34" s="56">
        <f t="shared" si="62"/>
        <v>9.3212287995540795</v>
      </c>
      <c r="AL34" s="56">
        <f t="shared" si="62"/>
        <v>9.6008656635407021</v>
      </c>
      <c r="AM34" s="56">
        <f t="shared" si="62"/>
        <v>9.8888916334469243</v>
      </c>
      <c r="AN34" s="56">
        <f t="shared" si="62"/>
        <v>10.185558382450333</v>
      </c>
      <c r="AO34" s="56">
        <f t="shared" si="62"/>
        <v>10.491125133923843</v>
      </c>
    </row>
    <row r="35" spans="1:41">
      <c r="A35" s="374" t="s">
        <v>101</v>
      </c>
      <c r="B35" s="9"/>
      <c r="C35" s="9"/>
      <c r="D35" s="9"/>
      <c r="E35" s="19"/>
      <c r="F35" s="49"/>
      <c r="G35" s="9"/>
      <c r="H35" s="9"/>
      <c r="I35" s="9"/>
      <c r="J35" s="19"/>
      <c r="K35" s="61"/>
      <c r="L35" s="61"/>
      <c r="M35" s="9"/>
      <c r="N35" s="9"/>
      <c r="O35" s="9"/>
      <c r="P35" s="56"/>
      <c r="Q35" s="19"/>
      <c r="R35" s="19"/>
      <c r="S35" s="19"/>
      <c r="T35" s="19"/>
      <c r="U35" s="82"/>
      <c r="V35" s="607"/>
      <c r="W35" s="351"/>
      <c r="X35" s="351"/>
      <c r="Y35" s="609"/>
      <c r="Z35" s="82">
        <v>0.05</v>
      </c>
      <c r="AA35" s="82">
        <v>0.05</v>
      </c>
      <c r="AB35" s="82">
        <f t="shared" ref="AB35" si="63">AA35</f>
        <v>0.05</v>
      </c>
      <c r="AC35" s="82">
        <f t="shared" ref="AC35" si="64">AB35</f>
        <v>0.05</v>
      </c>
      <c r="AD35" s="82">
        <f t="shared" ref="AD35" si="65">AC35</f>
        <v>0.05</v>
      </c>
      <c r="AE35" s="82">
        <f t="shared" ref="AE35" si="66">AD35</f>
        <v>0.05</v>
      </c>
      <c r="AF35" s="82">
        <f t="shared" ref="AF35" si="67">AE35</f>
        <v>0.05</v>
      </c>
      <c r="AG35" s="82">
        <v>0.03</v>
      </c>
      <c r="AH35" s="82">
        <f t="shared" ref="AH35" si="68">AG35</f>
        <v>0.03</v>
      </c>
      <c r="AI35" s="82">
        <f t="shared" ref="AI35:AO35" si="69">AH35</f>
        <v>0.03</v>
      </c>
      <c r="AJ35" s="82">
        <f t="shared" si="69"/>
        <v>0.03</v>
      </c>
      <c r="AK35" s="82">
        <f t="shared" si="69"/>
        <v>0.03</v>
      </c>
      <c r="AL35" s="82">
        <f t="shared" si="69"/>
        <v>0.03</v>
      </c>
      <c r="AM35" s="82">
        <f t="shared" si="69"/>
        <v>0.03</v>
      </c>
      <c r="AN35" s="82">
        <f t="shared" si="69"/>
        <v>0.03</v>
      </c>
      <c r="AO35" s="82">
        <f t="shared" si="69"/>
        <v>0.03</v>
      </c>
    </row>
    <row r="36" spans="1:41">
      <c r="A36" t="s">
        <v>11</v>
      </c>
      <c r="B36" s="9"/>
      <c r="C36" s="9"/>
      <c r="D36" s="9"/>
      <c r="E36" s="19"/>
      <c r="F36" s="49"/>
      <c r="G36" s="9"/>
      <c r="H36" s="9"/>
      <c r="I36" s="9"/>
      <c r="J36" s="19"/>
      <c r="K36" s="61">
        <v>0</v>
      </c>
      <c r="L36" s="60">
        <f>L38-L30-L32-L34</f>
        <v>1.35</v>
      </c>
      <c r="M36" s="5">
        <f>M38-M30-M32-M34</f>
        <v>2.1370000000000009</v>
      </c>
      <c r="N36" s="9">
        <v>0</v>
      </c>
      <c r="O36" s="19">
        <f>P36-N36-M36-L36</f>
        <v>-2.100000000000124E-2</v>
      </c>
      <c r="P36" s="623">
        <f>P38-P30-P32-P34</f>
        <v>3.4659999999999997</v>
      </c>
      <c r="Q36" s="286">
        <f>Q38-Q30-Q32-Q34</f>
        <v>4.9999999999999864E-2</v>
      </c>
      <c r="R36" s="286">
        <f>R38-R30-R32-R34</f>
        <v>1.0000000000000397E-2</v>
      </c>
      <c r="S36" s="286">
        <f>S38-S30-S32-S34</f>
        <v>-3.6999999999999998E-2</v>
      </c>
      <c r="T36" s="286">
        <f>T38-T30-T32-T34</f>
        <v>2.3000000000005016E-2</v>
      </c>
      <c r="U36" s="49">
        <v>0</v>
      </c>
      <c r="V36" s="61">
        <v>0</v>
      </c>
      <c r="W36" s="9">
        <v>0</v>
      </c>
      <c r="X36" s="9">
        <v>0</v>
      </c>
      <c r="Y36" s="10">
        <f>Z36-X36-W36-V36</f>
        <v>0</v>
      </c>
      <c r="Z36" s="56">
        <f>U36*1.03</f>
        <v>0</v>
      </c>
      <c r="AA36" s="56">
        <f t="shared" ref="AA36:AO36" si="70">Z36*1.03</f>
        <v>0</v>
      </c>
      <c r="AB36" s="56">
        <f t="shared" si="70"/>
        <v>0</v>
      </c>
      <c r="AC36" s="56">
        <f t="shared" si="70"/>
        <v>0</v>
      </c>
      <c r="AD36" s="56">
        <f t="shared" si="70"/>
        <v>0</v>
      </c>
      <c r="AE36" s="56">
        <f t="shared" si="70"/>
        <v>0</v>
      </c>
      <c r="AF36" s="56">
        <f t="shared" si="70"/>
        <v>0</v>
      </c>
      <c r="AG36" s="56">
        <f t="shared" si="70"/>
        <v>0</v>
      </c>
      <c r="AH36" s="56">
        <f t="shared" si="70"/>
        <v>0</v>
      </c>
      <c r="AI36" s="56">
        <f t="shared" si="70"/>
        <v>0</v>
      </c>
      <c r="AJ36" s="56">
        <f t="shared" si="70"/>
        <v>0</v>
      </c>
      <c r="AK36" s="56">
        <f t="shared" si="70"/>
        <v>0</v>
      </c>
      <c r="AL36" s="56">
        <f t="shared" si="70"/>
        <v>0</v>
      </c>
      <c r="AM36" s="56">
        <f t="shared" si="70"/>
        <v>0</v>
      </c>
      <c r="AN36" s="56">
        <f t="shared" si="70"/>
        <v>0</v>
      </c>
      <c r="AO36" s="56">
        <f t="shared" si="70"/>
        <v>0</v>
      </c>
    </row>
    <row r="37" spans="1:41" ht="15" thickBot="1">
      <c r="A37" s="374" t="s">
        <v>101</v>
      </c>
      <c r="B37" s="45"/>
      <c r="C37" s="45"/>
      <c r="D37" s="45"/>
      <c r="E37" s="45"/>
      <c r="F37" s="315"/>
      <c r="G37" s="81"/>
      <c r="H37" s="45"/>
      <c r="I37" s="45"/>
      <c r="J37" s="129"/>
      <c r="K37" s="81">
        <v>0.1</v>
      </c>
      <c r="L37" s="81"/>
      <c r="M37" s="45"/>
      <c r="N37" s="45"/>
      <c r="O37" s="45"/>
      <c r="P37" s="53"/>
      <c r="Q37" s="425"/>
      <c r="R37" s="425"/>
      <c r="S37" s="425"/>
      <c r="T37" s="425"/>
      <c r="U37" s="315"/>
      <c r="V37" s="81"/>
      <c r="W37" s="45"/>
      <c r="X37" s="45"/>
      <c r="Y37" s="609"/>
      <c r="Z37" s="82"/>
      <c r="AA37" s="82"/>
      <c r="AB37" s="82"/>
      <c r="AC37" s="82"/>
      <c r="AD37" s="82"/>
      <c r="AE37" s="82"/>
      <c r="AF37" s="82"/>
      <c r="AG37" s="82"/>
      <c r="AH37" s="82"/>
      <c r="AI37" s="82"/>
      <c r="AJ37" s="82"/>
      <c r="AK37" s="82"/>
      <c r="AL37" s="82"/>
      <c r="AM37" s="82"/>
      <c r="AN37" s="82"/>
      <c r="AO37" s="82"/>
    </row>
    <row r="38" spans="1:41" ht="15" thickBot="1">
      <c r="A38" s="2" t="s">
        <v>66</v>
      </c>
      <c r="B38" s="269"/>
      <c r="C38" s="270"/>
      <c r="D38" s="270"/>
      <c r="E38" s="271"/>
      <c r="F38" s="44"/>
      <c r="G38" s="269">
        <f>G30+G32+G34+G36</f>
        <v>0</v>
      </c>
      <c r="H38" s="270">
        <f t="shared" ref="H38:I38" si="71">H30+H32+H34+H36</f>
        <v>0</v>
      </c>
      <c r="I38" s="270">
        <f t="shared" si="71"/>
        <v>0</v>
      </c>
      <c r="J38" s="271">
        <f>J30+J32+J34+J36</f>
        <v>0</v>
      </c>
      <c r="K38" s="423">
        <f>'INCOME STATEMENT'!K12</f>
        <v>7.6070000000000002</v>
      </c>
      <c r="L38" s="424">
        <f>L67-L65</f>
        <v>3.5</v>
      </c>
      <c r="M38" s="63">
        <f t="shared" ref="M38" si="72">M67-M65</f>
        <v>4.7870000000000008</v>
      </c>
      <c r="N38" s="44">
        <f>SUM(N30:N36)</f>
        <v>3.25</v>
      </c>
      <c r="O38" s="44">
        <f>SUM(O30:O36)</f>
        <v>2.8859999999999988</v>
      </c>
      <c r="P38" s="423">
        <f>'INCOME STATEMENT'!P12</f>
        <v>14.423</v>
      </c>
      <c r="Q38" s="63">
        <f>Q67-Q65</f>
        <v>3.5</v>
      </c>
      <c r="R38" s="63">
        <f t="shared" ref="R38:T38" si="73">R67-R65</f>
        <v>4.0730000000000004</v>
      </c>
      <c r="S38" s="63">
        <f t="shared" si="73"/>
        <v>4.4039999999999999</v>
      </c>
      <c r="T38" s="63">
        <f t="shared" si="73"/>
        <v>18.757000000000001</v>
      </c>
      <c r="U38" s="50">
        <f>U30+U32+U34+U36</f>
        <v>30.688000000000002</v>
      </c>
      <c r="V38" s="76">
        <f>SUM(V30,V32,V34,V36)</f>
        <v>6.5</v>
      </c>
      <c r="W38" s="44">
        <f t="shared" ref="W38:Y38" si="74">SUM(W30,W32,W34,W36)</f>
        <v>6.6</v>
      </c>
      <c r="X38" s="44">
        <f t="shared" si="74"/>
        <v>7.2</v>
      </c>
      <c r="Y38" s="133">
        <f t="shared" si="74"/>
        <v>7.5</v>
      </c>
      <c r="Z38" s="50">
        <f>Z30+Z32+Z34+Z36</f>
        <v>27.8</v>
      </c>
      <c r="AA38" s="50">
        <f>AA30+AA32+AA34+AA36</f>
        <v>29.19</v>
      </c>
      <c r="AB38" s="50">
        <f>AB30+AB32+AB34+AB36</f>
        <v>30.649500000000003</v>
      </c>
      <c r="AC38" s="50">
        <f t="shared" ref="AC38:AI38" si="75">AC30+AC32+AC34+AC36</f>
        <v>36.415575000000011</v>
      </c>
      <c r="AD38" s="44">
        <f t="shared" si="75"/>
        <v>38.236353750000013</v>
      </c>
      <c r="AE38" s="50">
        <f t="shared" si="75"/>
        <v>40.148171437500011</v>
      </c>
      <c r="AF38" s="50">
        <f t="shared" si="75"/>
        <v>42.155580009375015</v>
      </c>
      <c r="AG38" s="50">
        <f t="shared" si="75"/>
        <v>43.723491908906269</v>
      </c>
      <c r="AH38" s="50">
        <f t="shared" si="75"/>
        <v>45.353603390385963</v>
      </c>
      <c r="AI38" s="50">
        <f t="shared" si="75"/>
        <v>47.048538552520661</v>
      </c>
      <c r="AJ38" s="50">
        <f t="shared" ref="AJ38:AK38" si="76">AJ30+AJ32+AJ34+AJ36</f>
        <v>48.811038122540566</v>
      </c>
      <c r="AK38" s="50">
        <f t="shared" si="76"/>
        <v>50.643964850333276</v>
      </c>
      <c r="AL38" s="50">
        <f t="shared" ref="AL38:AM38" si="77">AL30+AL32+AL34+AL36</f>
        <v>52.5503091591656</v>
      </c>
      <c r="AM38" s="50">
        <f t="shared" si="77"/>
        <v>54.533195065429005</v>
      </c>
      <c r="AN38" s="50">
        <f t="shared" ref="AN38:AO38" si="78">AN30+AN32+AN34+AN36</f>
        <v>56.595886380454736</v>
      </c>
      <c r="AO38" s="50">
        <f t="shared" si="78"/>
        <v>58.741793208084388</v>
      </c>
    </row>
    <row r="39" spans="1:41" s="1" customFormat="1" ht="15" thickBot="1">
      <c r="A39" s="274" t="s">
        <v>101</v>
      </c>
      <c r="B39" s="275"/>
      <c r="C39" s="276"/>
      <c r="D39" s="276"/>
      <c r="E39" s="277"/>
      <c r="F39" s="275"/>
      <c r="G39" s="275"/>
      <c r="H39" s="276"/>
      <c r="I39" s="276"/>
      <c r="J39" s="277"/>
      <c r="K39" s="277"/>
      <c r="L39" s="275"/>
      <c r="M39" s="276"/>
      <c r="N39" s="276"/>
      <c r="O39" s="277"/>
      <c r="P39" s="275">
        <f t="shared" ref="P39" si="79">P38/K38-1</f>
        <v>0.89601682660707249</v>
      </c>
      <c r="Q39" s="275">
        <f t="shared" ref="Q39" si="80">Q38/L38-1</f>
        <v>0</v>
      </c>
      <c r="R39" s="276">
        <f t="shared" ref="R39" si="81">R38/M38-1</f>
        <v>-0.14915395863797787</v>
      </c>
      <c r="S39" s="276">
        <f t="shared" ref="S39" si="82">S38/N38-1</f>
        <v>0.35507692307692307</v>
      </c>
      <c r="T39" s="277">
        <f t="shared" ref="T39" si="83">T38/O38-1</f>
        <v>5.4993069993070023</v>
      </c>
      <c r="U39" s="278">
        <f>U38/P38-1</f>
        <v>1.1277126811342995</v>
      </c>
      <c r="V39" s="275">
        <f t="shared" ref="V39" si="84">V38/Q38-1</f>
        <v>0.85714285714285721</v>
      </c>
      <c r="W39" s="276">
        <f t="shared" ref="W39" si="85">W38/R38-1</f>
        <v>0.6204272035354772</v>
      </c>
      <c r="X39" s="276">
        <f t="shared" ref="X39" si="86">X38/S38-1</f>
        <v>0.63487738419618545</v>
      </c>
      <c r="Y39" s="277">
        <f t="shared" ref="Y39" si="87">Y38/T38-1</f>
        <v>-0.60014927760302816</v>
      </c>
      <c r="Z39" s="278">
        <f>Z38/U38-1</f>
        <v>-9.4108446298227344E-2</v>
      </c>
      <c r="AA39" s="278">
        <f t="shared" ref="AA39:AO39" si="88">AA38/Z38-1</f>
        <v>5.0000000000000044E-2</v>
      </c>
      <c r="AB39" s="278">
        <f t="shared" si="88"/>
        <v>5.0000000000000044E-2</v>
      </c>
      <c r="AC39" s="278">
        <f t="shared" si="88"/>
        <v>0.1881294964028779</v>
      </c>
      <c r="AD39" s="276">
        <f t="shared" si="88"/>
        <v>5.0000000000000044E-2</v>
      </c>
      <c r="AE39" s="278">
        <f t="shared" si="88"/>
        <v>4.9999999999999822E-2</v>
      </c>
      <c r="AF39" s="278">
        <f t="shared" si="88"/>
        <v>5.0000000000000044E-2</v>
      </c>
      <c r="AG39" s="278">
        <f t="shared" si="88"/>
        <v>3.7193460490463348E-2</v>
      </c>
      <c r="AH39" s="278">
        <f t="shared" si="88"/>
        <v>3.7282280309996141E-2</v>
      </c>
      <c r="AI39" s="278">
        <f t="shared" si="88"/>
        <v>3.7371565552253072E-2</v>
      </c>
      <c r="AJ39" s="278">
        <f t="shared" si="88"/>
        <v>3.7461303246484778E-2</v>
      </c>
      <c r="AK39" s="278">
        <f t="shared" si="88"/>
        <v>3.7551480121998937E-2</v>
      </c>
      <c r="AL39" s="278">
        <f t="shared" si="88"/>
        <v>3.7642082614702366E-2</v>
      </c>
      <c r="AM39" s="278">
        <f t="shared" si="88"/>
        <v>3.7733096874037253E-2</v>
      </c>
      <c r="AN39" s="278">
        <f t="shared" si="88"/>
        <v>3.7824508770317067E-2</v>
      </c>
      <c r="AO39" s="278">
        <f t="shared" si="88"/>
        <v>3.791630390244638E-2</v>
      </c>
    </row>
    <row r="40" spans="1:41" s="1" customFormat="1">
      <c r="A40" s="273"/>
      <c r="B40" s="180"/>
      <c r="C40" s="180"/>
      <c r="D40" s="180"/>
      <c r="E40" s="180"/>
      <c r="F40" s="51"/>
      <c r="G40" s="180"/>
      <c r="H40" s="180"/>
      <c r="I40" s="180"/>
      <c r="J40" s="180"/>
      <c r="K40" s="74"/>
      <c r="L40" s="74"/>
      <c r="M40" s="22"/>
      <c r="N40" s="22"/>
      <c r="O40" s="180"/>
      <c r="P40" s="180"/>
      <c r="Q40" s="180"/>
      <c r="R40" s="180"/>
      <c r="S40" s="180"/>
      <c r="T40" s="180"/>
      <c r="U40" s="180"/>
      <c r="V40" s="180"/>
      <c r="W40" s="180"/>
      <c r="X40" s="180"/>
      <c r="Y40" s="180"/>
      <c r="Z40" s="180"/>
      <c r="AA40" s="180"/>
      <c r="AB40" s="180"/>
      <c r="AC40" s="180"/>
      <c r="AD40" s="77"/>
      <c r="AE40" s="77"/>
      <c r="AF40" s="77"/>
      <c r="AG40" s="77"/>
      <c r="AH40" s="77"/>
      <c r="AI40" s="77"/>
      <c r="AJ40" s="77"/>
      <c r="AK40" s="77"/>
      <c r="AL40" s="77"/>
      <c r="AM40" s="77"/>
      <c r="AN40" s="77"/>
      <c r="AO40" s="77"/>
    </row>
    <row r="41" spans="1:41" ht="15" thickBot="1">
      <c r="A41" s="156"/>
      <c r="B41" s="58"/>
      <c r="C41" s="58"/>
      <c r="D41" s="58"/>
      <c r="E41" s="58"/>
      <c r="F41" s="80"/>
      <c r="G41" s="58"/>
      <c r="H41" s="58"/>
      <c r="I41" s="58"/>
      <c r="J41" s="58"/>
      <c r="K41" s="118"/>
      <c r="L41" s="118"/>
      <c r="M41" s="58"/>
      <c r="N41" s="58"/>
      <c r="AD41" s="80"/>
      <c r="AE41" s="80"/>
      <c r="AF41" s="80"/>
      <c r="AG41" s="80"/>
      <c r="AH41" s="80"/>
      <c r="AI41" s="80"/>
      <c r="AJ41" s="80"/>
      <c r="AK41" s="80"/>
      <c r="AL41" s="80"/>
      <c r="AM41" s="80"/>
      <c r="AN41" s="80"/>
      <c r="AO41" s="80"/>
    </row>
    <row r="42" spans="1:41" ht="15" thickBot="1">
      <c r="A42" s="13" t="s">
        <v>96</v>
      </c>
      <c r="B42" s="22"/>
      <c r="C42" s="22"/>
      <c r="D42" s="22"/>
      <c r="E42" s="22"/>
      <c r="F42" s="51"/>
      <c r="G42" s="22"/>
      <c r="H42" s="22"/>
      <c r="I42" s="22"/>
      <c r="J42" s="22"/>
      <c r="K42" s="74"/>
      <c r="L42" s="74"/>
      <c r="M42" s="22"/>
      <c r="N42" s="22"/>
      <c r="AD42" s="51"/>
      <c r="AE42" s="51"/>
      <c r="AF42" s="51"/>
      <c r="AG42" s="51"/>
      <c r="AH42" s="51"/>
      <c r="AI42" s="51"/>
      <c r="AJ42" s="51"/>
      <c r="AK42" s="51"/>
      <c r="AL42" s="51"/>
      <c r="AM42" s="51"/>
      <c r="AN42" s="51"/>
      <c r="AO42" s="51"/>
    </row>
    <row r="43" spans="1:41" ht="5.15" customHeight="1" thickBot="1">
      <c r="A43" s="52"/>
      <c r="B43" s="8"/>
      <c r="C43" s="8"/>
      <c r="D43" s="8"/>
      <c r="E43" s="8"/>
      <c r="F43" s="172"/>
      <c r="G43" s="8"/>
      <c r="H43" s="8"/>
      <c r="I43" s="8"/>
      <c r="J43" s="8"/>
      <c r="K43" s="332"/>
      <c r="L43" s="332"/>
      <c r="M43" s="333"/>
      <c r="N43" s="333"/>
      <c r="O43" s="334"/>
      <c r="P43" s="8"/>
      <c r="Q43" s="332"/>
      <c r="R43" s="333"/>
      <c r="S43" s="333"/>
      <c r="T43" s="334"/>
      <c r="U43" s="8"/>
      <c r="V43" s="8"/>
      <c r="W43" s="8"/>
      <c r="X43" s="8"/>
      <c r="Y43" s="8"/>
      <c r="Z43" s="68"/>
      <c r="AA43" s="68"/>
      <c r="AB43" s="68"/>
      <c r="AC43" s="68"/>
      <c r="AD43" s="68"/>
      <c r="AE43" s="68"/>
      <c r="AF43" s="68"/>
      <c r="AG43" s="68"/>
      <c r="AH43" s="68"/>
      <c r="AI43" s="68"/>
      <c r="AJ43" s="68"/>
      <c r="AK43" s="68"/>
      <c r="AL43" s="68"/>
      <c r="AM43" s="68"/>
      <c r="AN43" s="68"/>
      <c r="AO43" s="68"/>
    </row>
    <row r="44" spans="1:41">
      <c r="A44" s="106" t="s">
        <v>139</v>
      </c>
      <c r="B44" s="79"/>
      <c r="C44" s="78"/>
      <c r="D44" s="78"/>
      <c r="E44" s="266"/>
      <c r="F44" s="77"/>
      <c r="G44" s="78"/>
      <c r="H44" s="78"/>
      <c r="I44" s="78"/>
      <c r="J44" s="78"/>
      <c r="K44" s="79"/>
      <c r="L44" s="74"/>
      <c r="M44" s="22"/>
      <c r="N44" s="22"/>
      <c r="O44" s="116"/>
      <c r="P44" s="78"/>
      <c r="Q44" s="74"/>
      <c r="R44" s="22"/>
      <c r="S44" s="22"/>
      <c r="T44" s="116"/>
      <c r="U44" s="77"/>
      <c r="V44" s="78"/>
      <c r="W44" s="78"/>
      <c r="X44" s="78"/>
      <c r="Y44" s="266"/>
      <c r="Z44" s="77"/>
      <c r="AA44" s="77"/>
      <c r="AB44" s="77"/>
      <c r="AC44" s="77"/>
      <c r="AD44" s="77"/>
      <c r="AE44" s="77"/>
      <c r="AF44" s="77"/>
      <c r="AG44" s="77"/>
      <c r="AH44" s="77"/>
      <c r="AI44" s="77"/>
      <c r="AJ44" s="77"/>
      <c r="AK44" s="77"/>
      <c r="AL44" s="77"/>
      <c r="AM44" s="77"/>
      <c r="AN44" s="77"/>
      <c r="AO44" s="77"/>
    </row>
    <row r="45" spans="1:41" ht="5.15" customHeight="1">
      <c r="A45" s="52"/>
      <c r="B45" s="72"/>
      <c r="C45" s="8"/>
      <c r="D45" s="8"/>
      <c r="E45" s="114"/>
      <c r="F45" s="68"/>
      <c r="G45" s="8"/>
      <c r="H45" s="8"/>
      <c r="I45" s="8"/>
      <c r="J45" s="8"/>
      <c r="K45" s="72"/>
      <c r="L45" s="72"/>
      <c r="M45" s="8"/>
      <c r="N45" s="8"/>
      <c r="O45" s="114"/>
      <c r="P45" s="8"/>
      <c r="Q45" s="72"/>
      <c r="R45" s="8"/>
      <c r="S45" s="8"/>
      <c r="T45" s="114"/>
      <c r="U45" s="68"/>
      <c r="V45" s="8"/>
      <c r="W45" s="8"/>
      <c r="X45" s="8"/>
      <c r="Y45" s="114"/>
      <c r="Z45" s="68"/>
      <c r="AA45" s="68"/>
      <c r="AB45" s="68"/>
      <c r="AC45" s="68"/>
      <c r="AD45" s="68"/>
      <c r="AE45" s="68"/>
      <c r="AF45" s="68"/>
      <c r="AG45" s="68"/>
      <c r="AH45" s="68"/>
      <c r="AI45" s="68"/>
      <c r="AJ45" s="68"/>
      <c r="AK45" s="68"/>
      <c r="AL45" s="68"/>
      <c r="AM45" s="68"/>
      <c r="AN45" s="68"/>
      <c r="AO45" s="68"/>
    </row>
    <row r="46" spans="1:41">
      <c r="A46" s="7" t="s">
        <v>337</v>
      </c>
      <c r="B46" s="75">
        <v>0</v>
      </c>
      <c r="C46" s="23">
        <f>B46</f>
        <v>0</v>
      </c>
      <c r="D46" s="23">
        <f t="shared" ref="D46:F47" si="89">C46</f>
        <v>0</v>
      </c>
      <c r="E46" s="157">
        <f t="shared" si="89"/>
        <v>0</v>
      </c>
      <c r="F46" s="66">
        <f t="shared" si="89"/>
        <v>0</v>
      </c>
      <c r="G46" s="23">
        <v>0</v>
      </c>
      <c r="H46" s="23">
        <f>G46</f>
        <v>0</v>
      </c>
      <c r="I46" s="23">
        <f t="shared" ref="I46:J47" si="90">H46</f>
        <v>0</v>
      </c>
      <c r="J46" s="23">
        <f t="shared" si="90"/>
        <v>0</v>
      </c>
      <c r="K46" s="75">
        <f>F46</f>
        <v>0</v>
      </c>
      <c r="L46" s="75">
        <v>0</v>
      </c>
      <c r="M46" s="23">
        <f>L46</f>
        <v>0</v>
      </c>
      <c r="N46" s="23">
        <v>0</v>
      </c>
      <c r="O46" s="157">
        <v>0</v>
      </c>
      <c r="P46" s="23">
        <f>K46</f>
        <v>0</v>
      </c>
      <c r="Q46" s="75">
        <v>0</v>
      </c>
      <c r="R46" s="23">
        <f>Q46</f>
        <v>0</v>
      </c>
      <c r="S46" s="23">
        <v>0</v>
      </c>
      <c r="T46" s="157">
        <v>0</v>
      </c>
      <c r="U46" s="66">
        <v>0</v>
      </c>
      <c r="V46" s="23">
        <v>0</v>
      </c>
      <c r="W46" s="23">
        <f>V46</f>
        <v>0</v>
      </c>
      <c r="X46" s="23">
        <v>0</v>
      </c>
      <c r="Y46" s="157">
        <v>0</v>
      </c>
      <c r="Z46" s="66">
        <f>U46</f>
        <v>0</v>
      </c>
      <c r="AA46" s="66">
        <f>Z46</f>
        <v>0</v>
      </c>
      <c r="AB46" s="66">
        <f>AA46</f>
        <v>0</v>
      </c>
      <c r="AC46" s="66">
        <v>0</v>
      </c>
      <c r="AD46" s="66">
        <v>200</v>
      </c>
      <c r="AE46" s="66">
        <f>AD46</f>
        <v>200</v>
      </c>
      <c r="AF46" s="66">
        <f t="shared" ref="AF46:AO46" si="91">AE46</f>
        <v>200</v>
      </c>
      <c r="AG46" s="66">
        <f t="shared" si="91"/>
        <v>200</v>
      </c>
      <c r="AH46" s="66">
        <f t="shared" si="91"/>
        <v>200</v>
      </c>
      <c r="AI46" s="66">
        <f t="shared" si="91"/>
        <v>200</v>
      </c>
      <c r="AJ46" s="66">
        <f t="shared" si="91"/>
        <v>200</v>
      </c>
      <c r="AK46" s="66">
        <f t="shared" si="91"/>
        <v>200</v>
      </c>
      <c r="AL46" s="66">
        <f t="shared" si="91"/>
        <v>200</v>
      </c>
      <c r="AM46" s="66">
        <f t="shared" si="91"/>
        <v>200</v>
      </c>
      <c r="AN46" s="66">
        <f t="shared" si="91"/>
        <v>200</v>
      </c>
      <c r="AO46" s="66">
        <f t="shared" si="91"/>
        <v>200</v>
      </c>
    </row>
    <row r="47" spans="1:41">
      <c r="A47" s="7" t="s">
        <v>338</v>
      </c>
      <c r="B47" s="75">
        <v>0</v>
      </c>
      <c r="C47" s="23">
        <f>B47</f>
        <v>0</v>
      </c>
      <c r="D47" s="23">
        <f t="shared" ref="D47" si="92">C47</f>
        <v>0</v>
      </c>
      <c r="E47" s="157">
        <f t="shared" ref="E47" si="93">D47</f>
        <v>0</v>
      </c>
      <c r="F47" s="66">
        <f t="shared" si="89"/>
        <v>0</v>
      </c>
      <c r="G47" s="75">
        <v>0</v>
      </c>
      <c r="H47" s="23">
        <f>G47</f>
        <v>0</v>
      </c>
      <c r="I47" s="23">
        <f t="shared" si="90"/>
        <v>0</v>
      </c>
      <c r="J47" s="157">
        <f t="shared" si="90"/>
        <v>0</v>
      </c>
      <c r="K47" s="75">
        <f>F47</f>
        <v>0</v>
      </c>
      <c r="L47" s="75">
        <v>0</v>
      </c>
      <c r="M47" s="23">
        <f>L47</f>
        <v>0</v>
      </c>
      <c r="N47" s="23">
        <f t="shared" ref="N47:O47" si="94">M47</f>
        <v>0</v>
      </c>
      <c r="O47" s="157">
        <f t="shared" si="94"/>
        <v>0</v>
      </c>
      <c r="P47" s="23">
        <f>K47</f>
        <v>0</v>
      </c>
      <c r="Q47" s="75">
        <v>0</v>
      </c>
      <c r="R47" s="23">
        <f>Q47</f>
        <v>0</v>
      </c>
      <c r="S47" s="23">
        <f t="shared" ref="S47" si="95">R47</f>
        <v>0</v>
      </c>
      <c r="T47" s="157">
        <f t="shared" ref="T47" si="96">S47</f>
        <v>0</v>
      </c>
      <c r="U47" s="66">
        <v>0</v>
      </c>
      <c r="V47" s="23">
        <v>0</v>
      </c>
      <c r="W47" s="23">
        <f>V47</f>
        <v>0</v>
      </c>
      <c r="X47" s="23">
        <f t="shared" ref="X47" si="97">W47</f>
        <v>0</v>
      </c>
      <c r="Y47" s="157">
        <f t="shared" ref="Y47" si="98">X47</f>
        <v>0</v>
      </c>
      <c r="Z47" s="75">
        <f>U47</f>
        <v>0</v>
      </c>
      <c r="AA47" s="75">
        <f t="shared" ref="AA47:AC47" si="99">Z47</f>
        <v>0</v>
      </c>
      <c r="AB47" s="75">
        <f t="shared" si="99"/>
        <v>0</v>
      </c>
      <c r="AC47" s="75">
        <f t="shared" si="99"/>
        <v>0</v>
      </c>
      <c r="AD47" s="66">
        <v>0</v>
      </c>
      <c r="AE47" s="66">
        <v>0</v>
      </c>
      <c r="AF47" s="66">
        <v>250</v>
      </c>
      <c r="AG47" s="66">
        <f>AF47</f>
        <v>250</v>
      </c>
      <c r="AH47" s="66">
        <f t="shared" ref="AH47:AO47" si="100">AG47</f>
        <v>250</v>
      </c>
      <c r="AI47" s="66">
        <f t="shared" si="100"/>
        <v>250</v>
      </c>
      <c r="AJ47" s="66">
        <f t="shared" si="100"/>
        <v>250</v>
      </c>
      <c r="AK47" s="66">
        <f t="shared" si="100"/>
        <v>250</v>
      </c>
      <c r="AL47" s="66">
        <f t="shared" si="100"/>
        <v>250</v>
      </c>
      <c r="AM47" s="66">
        <f t="shared" si="100"/>
        <v>250</v>
      </c>
      <c r="AN47" s="66">
        <f t="shared" si="100"/>
        <v>250</v>
      </c>
      <c r="AO47" s="66">
        <f t="shared" si="100"/>
        <v>250</v>
      </c>
    </row>
    <row r="48" spans="1:41">
      <c r="A48" s="7" t="s">
        <v>339</v>
      </c>
      <c r="B48" s="75">
        <v>0</v>
      </c>
      <c r="C48" s="23">
        <v>0</v>
      </c>
      <c r="D48" s="23">
        <v>0</v>
      </c>
      <c r="E48" s="23">
        <v>0</v>
      </c>
      <c r="F48" s="66">
        <v>0</v>
      </c>
      <c r="G48" s="75">
        <v>0</v>
      </c>
      <c r="H48" s="23">
        <v>0</v>
      </c>
      <c r="I48" s="23">
        <v>0</v>
      </c>
      <c r="J48" s="23">
        <v>0</v>
      </c>
      <c r="K48" s="75">
        <v>0</v>
      </c>
      <c r="L48" s="75">
        <v>0</v>
      </c>
      <c r="M48" s="23">
        <v>0</v>
      </c>
      <c r="N48" s="23">
        <v>0</v>
      </c>
      <c r="O48" s="157">
        <v>0</v>
      </c>
      <c r="P48" s="23">
        <v>0</v>
      </c>
      <c r="Q48" s="75">
        <v>0</v>
      </c>
      <c r="R48" s="23">
        <v>0</v>
      </c>
      <c r="S48" s="23">
        <v>0</v>
      </c>
      <c r="T48" s="157">
        <v>0</v>
      </c>
      <c r="U48" s="66">
        <v>0</v>
      </c>
      <c r="V48" s="23">
        <v>0</v>
      </c>
      <c r="W48" s="23">
        <v>0</v>
      </c>
      <c r="X48" s="23">
        <v>0</v>
      </c>
      <c r="Y48" s="157">
        <v>0</v>
      </c>
      <c r="Z48" s="75">
        <v>0</v>
      </c>
      <c r="AA48" s="75">
        <v>0</v>
      </c>
      <c r="AB48" s="75">
        <v>0</v>
      </c>
      <c r="AC48" s="75">
        <v>0</v>
      </c>
      <c r="AD48" s="75">
        <v>0</v>
      </c>
      <c r="AE48" s="66">
        <v>100</v>
      </c>
      <c r="AF48" s="66">
        <f>AE48</f>
        <v>100</v>
      </c>
      <c r="AG48" s="66">
        <f t="shared" ref="AG48:AO48" si="101">AF48</f>
        <v>100</v>
      </c>
      <c r="AH48" s="66">
        <f t="shared" si="101"/>
        <v>100</v>
      </c>
      <c r="AI48" s="66">
        <f t="shared" si="101"/>
        <v>100</v>
      </c>
      <c r="AJ48" s="66">
        <f t="shared" si="101"/>
        <v>100</v>
      </c>
      <c r="AK48" s="66">
        <f t="shared" si="101"/>
        <v>100</v>
      </c>
      <c r="AL48" s="66">
        <f t="shared" si="101"/>
        <v>100</v>
      </c>
      <c r="AM48" s="66">
        <f t="shared" si="101"/>
        <v>100</v>
      </c>
      <c r="AN48" s="66">
        <f t="shared" si="101"/>
        <v>100</v>
      </c>
      <c r="AO48" s="66">
        <f t="shared" si="101"/>
        <v>100</v>
      </c>
    </row>
    <row r="49" spans="1:41">
      <c r="A49" s="52" t="s">
        <v>145</v>
      </c>
      <c r="B49" s="128">
        <f t="shared" ref="B49:AC49" si="102">SUM(B46:B48)</f>
        <v>0</v>
      </c>
      <c r="C49" s="140">
        <f t="shared" si="102"/>
        <v>0</v>
      </c>
      <c r="D49" s="140">
        <f t="shared" si="102"/>
        <v>0</v>
      </c>
      <c r="E49" s="140">
        <f t="shared" si="102"/>
        <v>0</v>
      </c>
      <c r="F49" s="263">
        <f t="shared" si="102"/>
        <v>0</v>
      </c>
      <c r="G49" s="128">
        <f t="shared" si="102"/>
        <v>0</v>
      </c>
      <c r="H49" s="140">
        <f t="shared" si="102"/>
        <v>0</v>
      </c>
      <c r="I49" s="140">
        <f t="shared" si="102"/>
        <v>0</v>
      </c>
      <c r="J49" s="140">
        <f t="shared" si="102"/>
        <v>0</v>
      </c>
      <c r="K49" s="128">
        <f t="shared" si="102"/>
        <v>0</v>
      </c>
      <c r="L49" s="128">
        <f t="shared" si="102"/>
        <v>0</v>
      </c>
      <c r="M49" s="140">
        <f t="shared" si="102"/>
        <v>0</v>
      </c>
      <c r="N49" s="140">
        <f t="shared" si="102"/>
        <v>0</v>
      </c>
      <c r="O49" s="267">
        <f t="shared" si="102"/>
        <v>0</v>
      </c>
      <c r="P49" s="140">
        <f t="shared" si="102"/>
        <v>0</v>
      </c>
      <c r="Q49" s="128">
        <f t="shared" ref="Q49:T49" si="103">SUM(Q46:Q48)</f>
        <v>0</v>
      </c>
      <c r="R49" s="140">
        <f t="shared" si="103"/>
        <v>0</v>
      </c>
      <c r="S49" s="140">
        <f t="shared" si="103"/>
        <v>0</v>
      </c>
      <c r="T49" s="267">
        <f t="shared" si="103"/>
        <v>0</v>
      </c>
      <c r="U49" s="263">
        <f t="shared" si="102"/>
        <v>0</v>
      </c>
      <c r="V49" s="140">
        <f t="shared" ref="V49:Y49" si="104">SUM(V46:V48)</f>
        <v>0</v>
      </c>
      <c r="W49" s="140">
        <f t="shared" si="104"/>
        <v>0</v>
      </c>
      <c r="X49" s="140">
        <f t="shared" si="104"/>
        <v>0</v>
      </c>
      <c r="Y49" s="267">
        <f t="shared" si="104"/>
        <v>0</v>
      </c>
      <c r="Z49" s="263">
        <f t="shared" si="102"/>
        <v>0</v>
      </c>
      <c r="AA49" s="263">
        <f t="shared" si="102"/>
        <v>0</v>
      </c>
      <c r="AB49" s="263">
        <f t="shared" si="102"/>
        <v>0</v>
      </c>
      <c r="AC49" s="263">
        <f t="shared" si="102"/>
        <v>0</v>
      </c>
      <c r="AD49" s="263">
        <f>SUM(AD46:AD48)</f>
        <v>200</v>
      </c>
      <c r="AE49" s="263">
        <f t="shared" ref="AE49:AO49" si="105">SUM(AE46:AE48)</f>
        <v>300</v>
      </c>
      <c r="AF49" s="263">
        <f t="shared" si="105"/>
        <v>550</v>
      </c>
      <c r="AG49" s="263">
        <f t="shared" si="105"/>
        <v>550</v>
      </c>
      <c r="AH49" s="263">
        <f t="shared" si="105"/>
        <v>550</v>
      </c>
      <c r="AI49" s="263">
        <f t="shared" si="105"/>
        <v>550</v>
      </c>
      <c r="AJ49" s="263">
        <f t="shared" si="105"/>
        <v>550</v>
      </c>
      <c r="AK49" s="263">
        <f t="shared" si="105"/>
        <v>550</v>
      </c>
      <c r="AL49" s="263">
        <f t="shared" si="105"/>
        <v>550</v>
      </c>
      <c r="AM49" s="263">
        <f t="shared" si="105"/>
        <v>550</v>
      </c>
      <c r="AN49" s="263">
        <f t="shared" si="105"/>
        <v>550</v>
      </c>
      <c r="AO49" s="263">
        <f t="shared" si="105"/>
        <v>550</v>
      </c>
    </row>
    <row r="50" spans="1:41" ht="5.15" customHeight="1">
      <c r="A50" s="52"/>
      <c r="B50" s="72"/>
      <c r="C50" s="8"/>
      <c r="D50" s="8"/>
      <c r="E50" s="114"/>
      <c r="F50" s="68"/>
      <c r="G50" s="8"/>
      <c r="H50" s="8"/>
      <c r="I50" s="8"/>
      <c r="J50" s="8"/>
      <c r="K50" s="72"/>
      <c r="L50" s="72"/>
      <c r="M50" s="8"/>
      <c r="N50" s="8"/>
      <c r="O50" s="114"/>
      <c r="P50" s="8"/>
      <c r="Q50" s="72"/>
      <c r="R50" s="8"/>
      <c r="S50" s="8"/>
      <c r="T50" s="114"/>
      <c r="U50" s="68"/>
      <c r="V50" s="8"/>
      <c r="W50" s="8"/>
      <c r="X50" s="8"/>
      <c r="Y50" s="114"/>
      <c r="Z50" s="68"/>
      <c r="AA50" s="68"/>
      <c r="AB50" s="68"/>
      <c r="AC50" s="68"/>
      <c r="AD50" s="66"/>
      <c r="AE50" s="66"/>
      <c r="AF50" s="66"/>
      <c r="AG50" s="66"/>
      <c r="AH50" s="66"/>
      <c r="AI50" s="66"/>
      <c r="AJ50" s="66"/>
      <c r="AK50" s="66"/>
      <c r="AL50" s="66"/>
      <c r="AM50" s="66"/>
      <c r="AN50" s="66"/>
      <c r="AO50" s="66"/>
    </row>
    <row r="51" spans="1:41">
      <c r="A51" s="105" t="s">
        <v>247</v>
      </c>
      <c r="B51" s="75">
        <f>B46*1.03</f>
        <v>0</v>
      </c>
      <c r="C51" s="140">
        <f>B51</f>
        <v>0</v>
      </c>
      <c r="D51" s="140">
        <f>C51</f>
        <v>0</v>
      </c>
      <c r="E51" s="267">
        <f>D51</f>
        <v>0</v>
      </c>
      <c r="F51" s="263">
        <f>E51</f>
        <v>0</v>
      </c>
      <c r="G51" s="23">
        <f>E51*1.03</f>
        <v>0</v>
      </c>
      <c r="H51" s="140">
        <f>G51</f>
        <v>0</v>
      </c>
      <c r="I51" s="140">
        <f>H51</f>
        <v>0</v>
      </c>
      <c r="J51" s="140">
        <f>I51</f>
        <v>0</v>
      </c>
      <c r="K51" s="128">
        <f>J51</f>
        <v>0</v>
      </c>
      <c r="L51" s="128">
        <f>P51</f>
        <v>0</v>
      </c>
      <c r="M51" s="140">
        <f>L51</f>
        <v>0</v>
      </c>
      <c r="N51" s="140">
        <f>M51</f>
        <v>0</v>
      </c>
      <c r="O51" s="267">
        <f>N51</f>
        <v>0</v>
      </c>
      <c r="P51" s="23">
        <f>K51*1.03</f>
        <v>0</v>
      </c>
      <c r="Q51" s="128">
        <f>U51</f>
        <v>0</v>
      </c>
      <c r="R51" s="140">
        <f>Q51</f>
        <v>0</v>
      </c>
      <c r="S51" s="140">
        <f>R51</f>
        <v>0</v>
      </c>
      <c r="T51" s="267">
        <f>S51</f>
        <v>0</v>
      </c>
      <c r="U51" s="66">
        <f>P51*1.03</f>
        <v>0</v>
      </c>
      <c r="V51" s="140">
        <f>Z51</f>
        <v>0</v>
      </c>
      <c r="W51" s="140">
        <f>V51</f>
        <v>0</v>
      </c>
      <c r="X51" s="140">
        <f>W51</f>
        <v>0</v>
      </c>
      <c r="Y51" s="267">
        <f>X51</f>
        <v>0</v>
      </c>
      <c r="Z51" s="66">
        <f>U51*1.03</f>
        <v>0</v>
      </c>
      <c r="AA51" s="66">
        <f t="shared" ref="AA51:AO51" si="106">Z51*1.03</f>
        <v>0</v>
      </c>
      <c r="AB51" s="66">
        <f t="shared" si="106"/>
        <v>0</v>
      </c>
      <c r="AC51" s="66">
        <v>0</v>
      </c>
      <c r="AD51" s="66">
        <v>275000</v>
      </c>
      <c r="AE51" s="66">
        <f t="shared" si="106"/>
        <v>283250</v>
      </c>
      <c r="AF51" s="66">
        <f t="shared" si="106"/>
        <v>291747.5</v>
      </c>
      <c r="AG51" s="66">
        <f t="shared" si="106"/>
        <v>300499.92499999999</v>
      </c>
      <c r="AH51" s="66">
        <f t="shared" si="106"/>
        <v>309514.92274999997</v>
      </c>
      <c r="AI51" s="66">
        <f t="shared" si="106"/>
        <v>318800.37043249997</v>
      </c>
      <c r="AJ51" s="66">
        <f t="shared" si="106"/>
        <v>328364.38154547499</v>
      </c>
      <c r="AK51" s="66">
        <f t="shared" si="106"/>
        <v>338215.31299183925</v>
      </c>
      <c r="AL51" s="66">
        <f t="shared" si="106"/>
        <v>348361.77238159446</v>
      </c>
      <c r="AM51" s="66">
        <f t="shared" si="106"/>
        <v>358812.62555304228</v>
      </c>
      <c r="AN51" s="66">
        <f t="shared" si="106"/>
        <v>369577.00431963353</v>
      </c>
      <c r="AO51" s="66">
        <f t="shared" si="106"/>
        <v>380664.31444922253</v>
      </c>
    </row>
    <row r="52" spans="1:41" ht="5.15" customHeight="1">
      <c r="A52" s="52"/>
      <c r="B52" s="72"/>
      <c r="C52" s="8"/>
      <c r="D52" s="8"/>
      <c r="E52" s="114"/>
      <c r="F52" s="68"/>
      <c r="G52" s="8"/>
      <c r="H52" s="8"/>
      <c r="I52" s="8"/>
      <c r="J52" s="8"/>
      <c r="K52" s="72"/>
      <c r="L52" s="72"/>
      <c r="M52" s="8"/>
      <c r="N52" s="8"/>
      <c r="O52" s="114"/>
      <c r="P52" s="8"/>
      <c r="Q52" s="72"/>
      <c r="R52" s="8"/>
      <c r="S52" s="8"/>
      <c r="T52" s="114"/>
      <c r="U52" s="68"/>
      <c r="V52" s="8"/>
      <c r="W52" s="8"/>
      <c r="X52" s="8"/>
      <c r="Y52" s="114"/>
      <c r="Z52" s="68"/>
      <c r="AA52" s="68"/>
      <c r="AB52" s="68"/>
      <c r="AC52" s="68"/>
      <c r="AD52" s="68"/>
      <c r="AE52" s="68"/>
      <c r="AF52" s="68"/>
      <c r="AG52" s="68"/>
      <c r="AH52" s="68"/>
      <c r="AI52" s="68"/>
      <c r="AJ52" s="68"/>
      <c r="AK52" s="68"/>
      <c r="AL52" s="68"/>
      <c r="AM52" s="68"/>
      <c r="AN52" s="68"/>
      <c r="AO52" s="68"/>
    </row>
    <row r="53" spans="1:41">
      <c r="A53" s="7" t="s">
        <v>340</v>
      </c>
      <c r="B53" s="73">
        <f t="shared" ref="B53:E55" si="107">(B46*B$51)/1000000/4</f>
        <v>0</v>
      </c>
      <c r="C53" s="19">
        <f t="shared" si="107"/>
        <v>0</v>
      </c>
      <c r="D53" s="19">
        <f t="shared" si="107"/>
        <v>0</v>
      </c>
      <c r="E53" s="83">
        <f t="shared" si="107"/>
        <v>0</v>
      </c>
      <c r="F53" s="56">
        <f>B53+C53+D53+E53</f>
        <v>0</v>
      </c>
      <c r="G53" s="19">
        <f t="shared" ref="G53:J55" si="108">(G46*G$51)/1000000/4</f>
        <v>0</v>
      </c>
      <c r="H53" s="19">
        <f t="shared" si="108"/>
        <v>0</v>
      </c>
      <c r="I53" s="19">
        <f t="shared" si="108"/>
        <v>0</v>
      </c>
      <c r="J53" s="19">
        <f t="shared" si="108"/>
        <v>0</v>
      </c>
      <c r="K53" s="73">
        <f>(K46*K$51)/1000000</f>
        <v>0</v>
      </c>
      <c r="L53" s="73">
        <f t="shared" ref="L53:O55" si="109">(L46*L$51)/1000000/4</f>
        <v>0</v>
      </c>
      <c r="M53" s="19">
        <f t="shared" si="109"/>
        <v>0</v>
      </c>
      <c r="N53" s="19">
        <f t="shared" si="109"/>
        <v>0</v>
      </c>
      <c r="O53" s="83">
        <f t="shared" si="109"/>
        <v>0</v>
      </c>
      <c r="P53" s="19">
        <f>SUM(L53:O53)</f>
        <v>0</v>
      </c>
      <c r="Q53" s="73">
        <f t="shared" ref="Q53:T53" si="110">(Q46*Q$51)/1000000/4</f>
        <v>0</v>
      </c>
      <c r="R53" s="19">
        <f t="shared" si="110"/>
        <v>0</v>
      </c>
      <c r="S53" s="19">
        <f t="shared" si="110"/>
        <v>0</v>
      </c>
      <c r="T53" s="83">
        <f t="shared" si="110"/>
        <v>0</v>
      </c>
      <c r="U53" s="56">
        <f t="shared" ref="U53:AI53" si="111">(U46*U$51)/1000000</f>
        <v>0</v>
      </c>
      <c r="V53" s="19">
        <f t="shared" ref="V53:Y53" si="112">(V46*V$51)/1000000/4</f>
        <v>0</v>
      </c>
      <c r="W53" s="19">
        <f t="shared" si="112"/>
        <v>0</v>
      </c>
      <c r="X53" s="19">
        <f t="shared" si="112"/>
        <v>0</v>
      </c>
      <c r="Y53" s="83">
        <f t="shared" si="112"/>
        <v>0</v>
      </c>
      <c r="Z53" s="56">
        <f t="shared" si="111"/>
        <v>0</v>
      </c>
      <c r="AA53" s="56">
        <f t="shared" si="111"/>
        <v>0</v>
      </c>
      <c r="AB53" s="56">
        <f t="shared" si="111"/>
        <v>0</v>
      </c>
      <c r="AC53" s="56">
        <f t="shared" si="111"/>
        <v>0</v>
      </c>
      <c r="AD53" s="56">
        <f>(AD46*AD$51)/1000000</f>
        <v>55</v>
      </c>
      <c r="AE53" s="56">
        <f t="shared" si="111"/>
        <v>56.65</v>
      </c>
      <c r="AF53" s="56">
        <f t="shared" si="111"/>
        <v>58.349499999999999</v>
      </c>
      <c r="AG53" s="56">
        <f t="shared" si="111"/>
        <v>60.099984999999997</v>
      </c>
      <c r="AH53" s="56">
        <f t="shared" si="111"/>
        <v>61.902984549999999</v>
      </c>
      <c r="AI53" s="56">
        <f t="shared" si="111"/>
        <v>63.760074086499998</v>
      </c>
      <c r="AJ53" s="56">
        <f t="shared" ref="AJ53:AK53" si="113">(AJ46*AJ$51)/1000000</f>
        <v>65.672876309094988</v>
      </c>
      <c r="AK53" s="56">
        <f t="shared" si="113"/>
        <v>67.643062598367848</v>
      </c>
      <c r="AL53" s="56">
        <f t="shared" ref="AL53:AM53" si="114">(AL46*AL$51)/1000000</f>
        <v>69.672354476318901</v>
      </c>
      <c r="AM53" s="56">
        <f t="shared" si="114"/>
        <v>71.762525110608465</v>
      </c>
      <c r="AN53" s="56">
        <f t="shared" ref="AN53:AO53" si="115">(AN46*AN$51)/1000000</f>
        <v>73.915400863926706</v>
      </c>
      <c r="AO53" s="56">
        <f t="shared" si="115"/>
        <v>76.132862889844503</v>
      </c>
    </row>
    <row r="54" spans="1:41">
      <c r="A54" s="7" t="s">
        <v>338</v>
      </c>
      <c r="B54" s="73">
        <f t="shared" si="107"/>
        <v>0</v>
      </c>
      <c r="C54" s="19">
        <f t="shared" si="107"/>
        <v>0</v>
      </c>
      <c r="D54" s="19">
        <f t="shared" si="107"/>
        <v>0</v>
      </c>
      <c r="E54" s="83">
        <f t="shared" si="107"/>
        <v>0</v>
      </c>
      <c r="F54" s="56">
        <f t="shared" ref="F54:F56" si="116">B54+C54+D54+E54</f>
        <v>0</v>
      </c>
      <c r="G54" s="19">
        <f t="shared" si="108"/>
        <v>0</v>
      </c>
      <c r="H54" s="19">
        <f t="shared" si="108"/>
        <v>0</v>
      </c>
      <c r="I54" s="19">
        <f t="shared" si="108"/>
        <v>0</v>
      </c>
      <c r="J54" s="19">
        <f t="shared" si="108"/>
        <v>0</v>
      </c>
      <c r="K54" s="73">
        <f>(K47*K$51)/1000000</f>
        <v>0</v>
      </c>
      <c r="L54" s="73">
        <f t="shared" si="109"/>
        <v>0</v>
      </c>
      <c r="M54" s="19">
        <f t="shared" si="109"/>
        <v>0</v>
      </c>
      <c r="N54" s="19">
        <f t="shared" si="109"/>
        <v>0</v>
      </c>
      <c r="O54" s="83">
        <f t="shared" si="109"/>
        <v>0</v>
      </c>
      <c r="P54" s="19">
        <f>SUM(L54:O54)</f>
        <v>0</v>
      </c>
      <c r="Q54" s="73">
        <f t="shared" ref="Q54:T54" si="117">(Q47*Q$51)/1000000/4</f>
        <v>0</v>
      </c>
      <c r="R54" s="19">
        <f t="shared" si="117"/>
        <v>0</v>
      </c>
      <c r="S54" s="19">
        <f t="shared" si="117"/>
        <v>0</v>
      </c>
      <c r="T54" s="83">
        <f t="shared" si="117"/>
        <v>0</v>
      </c>
      <c r="U54" s="56">
        <f t="shared" ref="U54:AI54" si="118">(U47*U$51)/1000000</f>
        <v>0</v>
      </c>
      <c r="V54" s="19">
        <f t="shared" ref="V54:Y54" si="119">(V47*V$51)/1000000/4</f>
        <v>0</v>
      </c>
      <c r="W54" s="19">
        <f t="shared" si="119"/>
        <v>0</v>
      </c>
      <c r="X54" s="19">
        <f t="shared" si="119"/>
        <v>0</v>
      </c>
      <c r="Y54" s="83">
        <f t="shared" si="119"/>
        <v>0</v>
      </c>
      <c r="Z54" s="56">
        <f t="shared" si="118"/>
        <v>0</v>
      </c>
      <c r="AA54" s="56">
        <f t="shared" si="118"/>
        <v>0</v>
      </c>
      <c r="AB54" s="56">
        <f t="shared" si="118"/>
        <v>0</v>
      </c>
      <c r="AC54" s="56">
        <f t="shared" si="118"/>
        <v>0</v>
      </c>
      <c r="AD54" s="56">
        <f t="shared" si="118"/>
        <v>0</v>
      </c>
      <c r="AE54" s="56">
        <f t="shared" si="118"/>
        <v>0</v>
      </c>
      <c r="AF54" s="56">
        <f t="shared" si="118"/>
        <v>72.936875000000001</v>
      </c>
      <c r="AG54" s="56">
        <f t="shared" si="118"/>
        <v>75.124981250000005</v>
      </c>
      <c r="AH54" s="56">
        <f t="shared" si="118"/>
        <v>77.378730687499981</v>
      </c>
      <c r="AI54" s="56">
        <f t="shared" si="118"/>
        <v>79.70009260812499</v>
      </c>
      <c r="AJ54" s="56">
        <f t="shared" ref="AJ54:AK54" si="120">(AJ47*AJ$51)/1000000</f>
        <v>82.09109538636875</v>
      </c>
      <c r="AK54" s="56">
        <f t="shared" si="120"/>
        <v>84.553828247959814</v>
      </c>
      <c r="AL54" s="56">
        <f t="shared" ref="AL54:AM54" si="121">(AL47*AL$51)/1000000</f>
        <v>87.090443095398626</v>
      </c>
      <c r="AM54" s="56">
        <f t="shared" si="121"/>
        <v>89.703156388260567</v>
      </c>
      <c r="AN54" s="56">
        <f t="shared" ref="AN54:AO54" si="122">(AN47*AN$51)/1000000</f>
        <v>92.394251079908386</v>
      </c>
      <c r="AO54" s="56">
        <f t="shared" si="122"/>
        <v>95.166078612305625</v>
      </c>
    </row>
    <row r="55" spans="1:41" ht="15" thickBot="1">
      <c r="A55" s="7" t="s">
        <v>339</v>
      </c>
      <c r="B55" s="73">
        <f t="shared" si="107"/>
        <v>0</v>
      </c>
      <c r="C55" s="19">
        <f t="shared" si="107"/>
        <v>0</v>
      </c>
      <c r="D55" s="19">
        <f t="shared" si="107"/>
        <v>0</v>
      </c>
      <c r="E55" s="83">
        <f t="shared" si="107"/>
        <v>0</v>
      </c>
      <c r="F55" s="56">
        <f>B55+C55+D55+E55</f>
        <v>0</v>
      </c>
      <c r="G55" s="19">
        <f t="shared" si="108"/>
        <v>0</v>
      </c>
      <c r="H55" s="19">
        <f t="shared" si="108"/>
        <v>0</v>
      </c>
      <c r="I55" s="19">
        <f t="shared" si="108"/>
        <v>0</v>
      </c>
      <c r="J55" s="19">
        <f t="shared" si="108"/>
        <v>0</v>
      </c>
      <c r="K55" s="73">
        <f>(K48*K$51)/1000000</f>
        <v>0</v>
      </c>
      <c r="L55" s="73">
        <f t="shared" si="109"/>
        <v>0</v>
      </c>
      <c r="M55" s="19">
        <f t="shared" si="109"/>
        <v>0</v>
      </c>
      <c r="N55" s="19">
        <f t="shared" si="109"/>
        <v>0</v>
      </c>
      <c r="O55" s="83">
        <f t="shared" si="109"/>
        <v>0</v>
      </c>
      <c r="P55" s="19">
        <f>(P48*P$51)/1000000</f>
        <v>0</v>
      </c>
      <c r="Q55" s="73">
        <f t="shared" ref="Q55:T55" si="123">(Q48*Q$51)/1000000/4</f>
        <v>0</v>
      </c>
      <c r="R55" s="19">
        <f t="shared" si="123"/>
        <v>0</v>
      </c>
      <c r="S55" s="19">
        <f t="shared" si="123"/>
        <v>0</v>
      </c>
      <c r="T55" s="83">
        <f t="shared" si="123"/>
        <v>0</v>
      </c>
      <c r="U55" s="611">
        <f t="shared" ref="U55:AI55" si="124">(U48*U$51)/1000000</f>
        <v>0</v>
      </c>
      <c r="V55" s="612">
        <f t="shared" ref="V55:Y55" si="125">(V48*V$51)/1000000/4</f>
        <v>0</v>
      </c>
      <c r="W55" s="612">
        <f t="shared" si="125"/>
        <v>0</v>
      </c>
      <c r="X55" s="612">
        <f t="shared" si="125"/>
        <v>0</v>
      </c>
      <c r="Y55" s="336">
        <f t="shared" si="125"/>
        <v>0</v>
      </c>
      <c r="Z55" s="56">
        <f t="shared" si="124"/>
        <v>0</v>
      </c>
      <c r="AA55" s="56">
        <f t="shared" si="124"/>
        <v>0</v>
      </c>
      <c r="AB55" s="56">
        <f t="shared" si="124"/>
        <v>0</v>
      </c>
      <c r="AC55" s="56">
        <f t="shared" si="124"/>
        <v>0</v>
      </c>
      <c r="AD55" s="56">
        <f t="shared" si="124"/>
        <v>0</v>
      </c>
      <c r="AE55" s="56">
        <f t="shared" si="124"/>
        <v>28.324999999999999</v>
      </c>
      <c r="AF55" s="56">
        <f t="shared" si="124"/>
        <v>29.17475</v>
      </c>
      <c r="AG55" s="56">
        <f t="shared" si="124"/>
        <v>30.049992499999998</v>
      </c>
      <c r="AH55" s="56">
        <f t="shared" si="124"/>
        <v>30.951492275</v>
      </c>
      <c r="AI55" s="56">
        <f t="shared" si="124"/>
        <v>31.880037043249999</v>
      </c>
      <c r="AJ55" s="56">
        <f t="shared" ref="AJ55:AK55" si="126">(AJ48*AJ$51)/1000000</f>
        <v>32.836438154547494</v>
      </c>
      <c r="AK55" s="56">
        <f t="shared" si="126"/>
        <v>33.821531299183924</v>
      </c>
      <c r="AL55" s="56">
        <f t="shared" ref="AL55:AM55" si="127">(AL48*AL$51)/1000000</f>
        <v>34.836177238159451</v>
      </c>
      <c r="AM55" s="56">
        <f t="shared" si="127"/>
        <v>35.881262555304232</v>
      </c>
      <c r="AN55" s="56">
        <f t="shared" ref="AN55:AO55" si="128">(AN48*AN$51)/1000000</f>
        <v>36.957700431963353</v>
      </c>
      <c r="AO55" s="56">
        <f t="shared" si="128"/>
        <v>38.066431444922252</v>
      </c>
    </row>
    <row r="56" spans="1:41" s="1" customFormat="1" ht="15" thickBot="1">
      <c r="A56" s="13" t="s">
        <v>248</v>
      </c>
      <c r="B56" s="408">
        <f>SUM(B53:B54)</f>
        <v>0</v>
      </c>
      <c r="C56" s="337">
        <f>SUM(C53:C54)</f>
        <v>0</v>
      </c>
      <c r="D56" s="337">
        <f>SUM(D53:D54)</f>
        <v>0</v>
      </c>
      <c r="E56" s="409">
        <f>SUM(E53:E54)</f>
        <v>0</v>
      </c>
      <c r="F56" s="268">
        <f t="shared" si="116"/>
        <v>0</v>
      </c>
      <c r="G56" s="270">
        <f>SUM(G53:G54)</f>
        <v>0</v>
      </c>
      <c r="H56" s="270">
        <f>SUM(H53:H54)</f>
        <v>0</v>
      </c>
      <c r="I56" s="270">
        <f>SUM(I53:I54)</f>
        <v>0</v>
      </c>
      <c r="J56" s="270">
        <f>SUM(J53:J54)</f>
        <v>0</v>
      </c>
      <c r="K56" s="268">
        <f>SUM(K53:K55)</f>
        <v>0</v>
      </c>
      <c r="L56" s="269">
        <f>SUM(L53:L54)</f>
        <v>0</v>
      </c>
      <c r="M56" s="270">
        <f>SUM(M53:M54)</f>
        <v>0</v>
      </c>
      <c r="N56" s="270">
        <f>SUM(N53:N54)</f>
        <v>0</v>
      </c>
      <c r="O56" s="271">
        <f>SUM(O53:O54)</f>
        <v>0</v>
      </c>
      <c r="P56" s="268">
        <f t="shared" ref="P56:AI56" si="129">SUM(P53:P55)</f>
        <v>0</v>
      </c>
      <c r="Q56" s="269">
        <f>SUM(Q53:Q54)</f>
        <v>0</v>
      </c>
      <c r="R56" s="270">
        <f>SUM(R53:R54)</f>
        <v>0</v>
      </c>
      <c r="S56" s="270">
        <f>SUM(S53:S54)</f>
        <v>0</v>
      </c>
      <c r="T56" s="271">
        <f>SUM(T53:T54)</f>
        <v>0</v>
      </c>
      <c r="U56" s="268">
        <f t="shared" si="129"/>
        <v>0</v>
      </c>
      <c r="V56" s="270"/>
      <c r="W56" s="270"/>
      <c r="X56" s="270"/>
      <c r="Y56" s="271"/>
      <c r="Z56" s="268">
        <f t="shared" si="129"/>
        <v>0</v>
      </c>
      <c r="AA56" s="268">
        <f t="shared" si="129"/>
        <v>0</v>
      </c>
      <c r="AB56" s="268">
        <f t="shared" si="129"/>
        <v>0</v>
      </c>
      <c r="AC56" s="268">
        <f t="shared" si="129"/>
        <v>0</v>
      </c>
      <c r="AD56" s="268">
        <f t="shared" si="129"/>
        <v>55</v>
      </c>
      <c r="AE56" s="268">
        <f t="shared" si="129"/>
        <v>84.974999999999994</v>
      </c>
      <c r="AF56" s="268">
        <f>SUM(AF53:AF55)</f>
        <v>160.46112499999998</v>
      </c>
      <c r="AG56" s="268">
        <f t="shared" si="129"/>
        <v>165.27495875</v>
      </c>
      <c r="AH56" s="268">
        <f t="shared" si="129"/>
        <v>170.23320751249997</v>
      </c>
      <c r="AI56" s="268">
        <f t="shared" si="129"/>
        <v>175.34020373787502</v>
      </c>
      <c r="AJ56" s="268">
        <f t="shared" ref="AJ56:AK56" si="130">SUM(AJ53:AJ55)</f>
        <v>180.60040985001123</v>
      </c>
      <c r="AK56" s="268">
        <f t="shared" si="130"/>
        <v>186.01842214551161</v>
      </c>
      <c r="AL56" s="268">
        <f t="shared" ref="AL56:AM56" si="131">SUM(AL53:AL55)</f>
        <v>191.59897480987698</v>
      </c>
      <c r="AM56" s="268">
        <f t="shared" si="131"/>
        <v>197.34694405417326</v>
      </c>
      <c r="AN56" s="268">
        <f t="shared" ref="AN56:AO56" si="132">SUM(AN53:AN55)</f>
        <v>203.26735237579845</v>
      </c>
      <c r="AO56" s="268">
        <f t="shared" si="132"/>
        <v>209.36537294707236</v>
      </c>
    </row>
    <row r="57" spans="1:41" ht="15.75" customHeight="1" thickBot="1">
      <c r="A57" s="7"/>
      <c r="B57" s="130"/>
      <c r="C57" s="62"/>
      <c r="D57" s="62"/>
      <c r="E57" s="131"/>
      <c r="F57" s="131"/>
      <c r="G57" s="8"/>
      <c r="H57" s="8"/>
      <c r="I57" s="8"/>
      <c r="J57" s="8"/>
      <c r="K57" s="130"/>
      <c r="L57" s="130"/>
      <c r="M57" s="62"/>
      <c r="N57" s="62"/>
      <c r="O57" s="131"/>
      <c r="P57" s="8"/>
      <c r="Q57" s="130"/>
      <c r="R57" s="62"/>
      <c r="S57" s="62"/>
      <c r="T57" s="131"/>
      <c r="U57" s="68"/>
      <c r="V57" s="8"/>
      <c r="W57" s="8"/>
      <c r="X57" s="8"/>
      <c r="Y57" s="8"/>
      <c r="Z57" s="68"/>
      <c r="AA57" s="68"/>
      <c r="AB57" s="68"/>
      <c r="AC57" s="68"/>
      <c r="AD57" s="55"/>
      <c r="AE57" s="55"/>
      <c r="AF57" s="55"/>
      <c r="AG57" s="55"/>
      <c r="AH57" s="55"/>
      <c r="AI57" s="55"/>
      <c r="AJ57" s="55"/>
      <c r="AK57" s="55"/>
      <c r="AL57" s="55"/>
      <c r="AM57" s="55"/>
      <c r="AN57" s="55"/>
      <c r="AO57" s="55"/>
    </row>
    <row r="58" spans="1:41" ht="15" thickBot="1">
      <c r="A58" s="2" t="s">
        <v>67</v>
      </c>
      <c r="B58" s="74"/>
      <c r="C58" s="22"/>
      <c r="D58" s="22"/>
      <c r="E58" s="116"/>
      <c r="F58" s="116"/>
      <c r="G58" s="22"/>
      <c r="H58" s="22"/>
      <c r="I58" s="22"/>
      <c r="J58" s="22"/>
      <c r="K58" s="74"/>
      <c r="L58" s="74"/>
      <c r="M58" s="22"/>
      <c r="N58" s="22"/>
      <c r="O58" s="116"/>
      <c r="P58" s="22"/>
      <c r="Q58" s="74"/>
      <c r="R58" s="22"/>
      <c r="S58" s="22"/>
      <c r="T58" s="116"/>
      <c r="U58" s="51"/>
      <c r="V58" s="22"/>
      <c r="W58" s="22"/>
      <c r="X58" s="22"/>
      <c r="Y58" s="22"/>
      <c r="Z58" s="51"/>
      <c r="AA58" s="51"/>
      <c r="AB58" s="51"/>
      <c r="AC58" s="51"/>
      <c r="AD58" s="51"/>
      <c r="AE58" s="51"/>
      <c r="AF58" s="51"/>
      <c r="AG58" s="51"/>
      <c r="AH58" s="51"/>
      <c r="AI58" s="51"/>
      <c r="AJ58" s="51"/>
      <c r="AK58" s="51"/>
      <c r="AL58" s="51"/>
      <c r="AM58" s="51"/>
      <c r="AN58" s="51"/>
      <c r="AO58" s="51"/>
    </row>
    <row r="59" spans="1:41" ht="5.15" customHeight="1">
      <c r="A59" s="7"/>
      <c r="B59" s="72"/>
      <c r="C59" s="8"/>
      <c r="D59" s="8"/>
      <c r="E59" s="114"/>
      <c r="F59" s="114"/>
      <c r="G59" s="8"/>
      <c r="H59" s="8"/>
      <c r="I59" s="8"/>
      <c r="J59" s="8"/>
      <c r="K59" s="72"/>
      <c r="L59" s="72"/>
      <c r="M59" s="8"/>
      <c r="N59" s="8"/>
      <c r="O59" s="114"/>
      <c r="P59" s="8"/>
      <c r="Q59" s="72"/>
      <c r="R59" s="8"/>
      <c r="S59" s="8"/>
      <c r="T59" s="114"/>
      <c r="U59" s="68"/>
      <c r="V59" s="8"/>
      <c r="W59" s="8"/>
      <c r="X59" s="8"/>
      <c r="Y59" s="114"/>
      <c r="Z59" s="68"/>
      <c r="AA59" s="68"/>
      <c r="AB59" s="68"/>
      <c r="AC59" s="68"/>
      <c r="AD59" s="68"/>
      <c r="AE59" s="68"/>
      <c r="AF59" s="68"/>
      <c r="AG59" s="68"/>
      <c r="AH59" s="68"/>
      <c r="AI59" s="68"/>
      <c r="AJ59" s="68"/>
      <c r="AK59" s="68"/>
      <c r="AL59" s="68"/>
      <c r="AM59" s="68"/>
      <c r="AN59" s="68"/>
      <c r="AO59" s="68"/>
    </row>
    <row r="60" spans="1:41">
      <c r="A60" s="7" t="s">
        <v>340</v>
      </c>
      <c r="B60" s="61">
        <v>0</v>
      </c>
      <c r="C60" s="9">
        <v>0</v>
      </c>
      <c r="D60" s="9">
        <v>0</v>
      </c>
      <c r="E60" s="83">
        <f>F60-B60-C60-D60</f>
        <v>0</v>
      </c>
      <c r="F60" s="99">
        <v>0</v>
      </c>
      <c r="G60" s="61">
        <v>0</v>
      </c>
      <c r="H60" s="9">
        <v>0</v>
      </c>
      <c r="I60" s="9">
        <v>0</v>
      </c>
      <c r="J60" s="19">
        <f>K60-G60-H60-I60</f>
        <v>0</v>
      </c>
      <c r="K60" s="61">
        <v>0</v>
      </c>
      <c r="L60" s="61">
        <v>0</v>
      </c>
      <c r="M60" s="9">
        <v>0</v>
      </c>
      <c r="N60" s="9">
        <v>0</v>
      </c>
      <c r="O60" s="83">
        <v>0</v>
      </c>
      <c r="P60" s="19">
        <f>L60+M60+N60+O60</f>
        <v>0</v>
      </c>
      <c r="Q60" s="61">
        <v>0</v>
      </c>
      <c r="R60" s="9">
        <v>0</v>
      </c>
      <c r="S60" s="9">
        <v>0</v>
      </c>
      <c r="T60" s="83">
        <v>0</v>
      </c>
      <c r="U60" s="49">
        <v>0</v>
      </c>
      <c r="V60" s="9">
        <v>0</v>
      </c>
      <c r="W60" s="9">
        <v>0</v>
      </c>
      <c r="X60" s="9">
        <v>0</v>
      </c>
      <c r="Y60" s="83">
        <v>0</v>
      </c>
      <c r="Z60" s="49">
        <f>U60*1.03</f>
        <v>0</v>
      </c>
      <c r="AA60" s="49">
        <f>Z60*1.03</f>
        <v>0</v>
      </c>
      <c r="AB60" s="49">
        <f>AA60*1.03</f>
        <v>0</v>
      </c>
      <c r="AC60" s="49">
        <v>0</v>
      </c>
      <c r="AD60" s="49">
        <v>100</v>
      </c>
      <c r="AE60" s="49">
        <f>AD60*1.03</f>
        <v>103</v>
      </c>
      <c r="AF60" s="49">
        <f>AE60*1.03</f>
        <v>106.09</v>
      </c>
      <c r="AG60" s="49">
        <f>AF60*1.03</f>
        <v>109.2727</v>
      </c>
      <c r="AH60" s="49">
        <f t="shared" ref="AH60:AO60" si="133">AG60*1.03</f>
        <v>112.550881</v>
      </c>
      <c r="AI60" s="49">
        <f t="shared" si="133"/>
        <v>115.92740743</v>
      </c>
      <c r="AJ60" s="49">
        <f t="shared" si="133"/>
        <v>119.4052296529</v>
      </c>
      <c r="AK60" s="49">
        <f t="shared" si="133"/>
        <v>122.987386542487</v>
      </c>
      <c r="AL60" s="49">
        <f t="shared" si="133"/>
        <v>126.67700813876162</v>
      </c>
      <c r="AM60" s="49">
        <f t="shared" si="133"/>
        <v>130.47731838292447</v>
      </c>
      <c r="AN60" s="49">
        <f t="shared" si="133"/>
        <v>134.39163793441222</v>
      </c>
      <c r="AO60" s="49">
        <f t="shared" si="133"/>
        <v>138.4233870724446</v>
      </c>
    </row>
    <row r="61" spans="1:41">
      <c r="A61" s="7" t="s">
        <v>338</v>
      </c>
      <c r="B61" s="61">
        <v>0</v>
      </c>
      <c r="C61" s="9">
        <v>0</v>
      </c>
      <c r="D61" s="9">
        <v>0</v>
      </c>
      <c r="E61" s="83">
        <f>F61-B61-C61-D61</f>
        <v>0</v>
      </c>
      <c r="F61" s="99">
        <v>0</v>
      </c>
      <c r="G61" s="61">
        <v>0</v>
      </c>
      <c r="H61" s="9">
        <v>0</v>
      </c>
      <c r="I61" s="9">
        <v>0</v>
      </c>
      <c r="J61" s="19">
        <f>K61-G61-H61-I61</f>
        <v>0</v>
      </c>
      <c r="K61" s="61">
        <v>0</v>
      </c>
      <c r="L61" s="61">
        <v>0</v>
      </c>
      <c r="M61" s="9">
        <v>0</v>
      </c>
      <c r="N61" s="9">
        <v>0</v>
      </c>
      <c r="O61" s="83">
        <v>0</v>
      </c>
      <c r="P61" s="9">
        <f>L61+M61+N61+O61</f>
        <v>0</v>
      </c>
      <c r="Q61" s="61">
        <v>0</v>
      </c>
      <c r="R61" s="9">
        <v>0</v>
      </c>
      <c r="S61" s="9">
        <v>0</v>
      </c>
      <c r="T61" s="83">
        <v>0</v>
      </c>
      <c r="U61" s="49">
        <v>0</v>
      </c>
      <c r="V61" s="9">
        <v>0</v>
      </c>
      <c r="W61" s="9">
        <v>0</v>
      </c>
      <c r="X61" s="9">
        <v>0</v>
      </c>
      <c r="Y61" s="83">
        <v>0</v>
      </c>
      <c r="Z61" s="49">
        <f>U61*1.05</f>
        <v>0</v>
      </c>
      <c r="AA61" s="49">
        <f>Z61*1.05</f>
        <v>0</v>
      </c>
      <c r="AB61" s="49">
        <f>AA61*1.05</f>
        <v>0</v>
      </c>
      <c r="AC61" s="49">
        <f>AB61*1.05</f>
        <v>0</v>
      </c>
      <c r="AD61" s="49">
        <f t="shared" ref="AD61:AE61" si="134">AC61*1.05</f>
        <v>0</v>
      </c>
      <c r="AE61" s="49">
        <f t="shared" si="134"/>
        <v>0</v>
      </c>
      <c r="AF61" s="49">
        <v>100</v>
      </c>
      <c r="AG61" s="49">
        <f>AF61*(1.03)</f>
        <v>103</v>
      </c>
      <c r="AH61" s="49">
        <f t="shared" ref="AH61:AO61" si="135">AG61*(1.03)</f>
        <v>106.09</v>
      </c>
      <c r="AI61" s="49">
        <f t="shared" si="135"/>
        <v>109.2727</v>
      </c>
      <c r="AJ61" s="49">
        <f t="shared" si="135"/>
        <v>112.550881</v>
      </c>
      <c r="AK61" s="49">
        <f t="shared" si="135"/>
        <v>115.92740743</v>
      </c>
      <c r="AL61" s="49">
        <f t="shared" si="135"/>
        <v>119.4052296529</v>
      </c>
      <c r="AM61" s="49">
        <f t="shared" si="135"/>
        <v>122.987386542487</v>
      </c>
      <c r="AN61" s="49">
        <f t="shared" si="135"/>
        <v>126.67700813876162</v>
      </c>
      <c r="AO61" s="49">
        <f t="shared" si="135"/>
        <v>130.47731838292447</v>
      </c>
    </row>
    <row r="62" spans="1:41" ht="15" thickBot="1">
      <c r="A62" s="7" t="s">
        <v>339</v>
      </c>
      <c r="B62" s="410">
        <v>0</v>
      </c>
      <c r="C62" s="411">
        <v>0</v>
      </c>
      <c r="D62" s="411">
        <v>0</v>
      </c>
      <c r="E62" s="336">
        <v>0</v>
      </c>
      <c r="F62" s="99">
        <v>0</v>
      </c>
      <c r="G62" s="61">
        <v>0</v>
      </c>
      <c r="H62" s="9">
        <v>0</v>
      </c>
      <c r="I62" s="9">
        <v>0</v>
      </c>
      <c r="J62" s="19">
        <v>0</v>
      </c>
      <c r="K62" s="61">
        <v>0</v>
      </c>
      <c r="L62" s="61">
        <v>0</v>
      </c>
      <c r="M62" s="9">
        <v>0</v>
      </c>
      <c r="N62" s="9">
        <v>0</v>
      </c>
      <c r="O62" s="83">
        <f>P62-L62-M62-N62</f>
        <v>0</v>
      </c>
      <c r="P62" s="9">
        <v>0</v>
      </c>
      <c r="Q62" s="61">
        <v>0</v>
      </c>
      <c r="R62" s="9">
        <v>0</v>
      </c>
      <c r="S62" s="9">
        <v>0</v>
      </c>
      <c r="T62" s="83">
        <f>U62-Q62-R62-S62</f>
        <v>0</v>
      </c>
      <c r="U62" s="49">
        <v>0</v>
      </c>
      <c r="V62" s="9">
        <v>0</v>
      </c>
      <c r="W62" s="9">
        <v>0</v>
      </c>
      <c r="X62" s="9">
        <v>0</v>
      </c>
      <c r="Y62" s="83">
        <f>Z62-V62-W62-X62</f>
        <v>0</v>
      </c>
      <c r="Z62" s="49">
        <v>0</v>
      </c>
      <c r="AA62" s="49">
        <v>0</v>
      </c>
      <c r="AB62" s="49">
        <v>0</v>
      </c>
      <c r="AC62" s="49">
        <v>0</v>
      </c>
      <c r="AD62" s="49">
        <v>0</v>
      </c>
      <c r="AE62" s="49">
        <v>50</v>
      </c>
      <c r="AF62" s="49">
        <f>AE62*1.05</f>
        <v>52.5</v>
      </c>
      <c r="AG62" s="49">
        <f t="shared" ref="AG62:AO62" si="136">AF62*1.05</f>
        <v>55.125</v>
      </c>
      <c r="AH62" s="49">
        <f t="shared" si="136"/>
        <v>57.881250000000001</v>
      </c>
      <c r="AI62" s="49">
        <f t="shared" si="136"/>
        <v>60.775312500000005</v>
      </c>
      <c r="AJ62" s="49">
        <f t="shared" si="136"/>
        <v>63.814078125000009</v>
      </c>
      <c r="AK62" s="49">
        <f t="shared" si="136"/>
        <v>67.004782031250016</v>
      </c>
      <c r="AL62" s="49">
        <f t="shared" si="136"/>
        <v>70.355021132812524</v>
      </c>
      <c r="AM62" s="49">
        <f t="shared" si="136"/>
        <v>73.872772189453158</v>
      </c>
      <c r="AN62" s="49">
        <f t="shared" si="136"/>
        <v>77.566410798925816</v>
      </c>
      <c r="AO62" s="49">
        <f t="shared" si="136"/>
        <v>81.444731338872103</v>
      </c>
    </row>
    <row r="63" spans="1:41" s="1" customFormat="1" ht="15" thickBot="1">
      <c r="A63" s="2" t="s">
        <v>100</v>
      </c>
      <c r="B63" s="341">
        <f t="shared" ref="B63:J63" si="137">SUM(B60:B61)</f>
        <v>0</v>
      </c>
      <c r="C63" s="335">
        <f t="shared" si="137"/>
        <v>0</v>
      </c>
      <c r="D63" s="335">
        <f t="shared" si="137"/>
        <v>0</v>
      </c>
      <c r="E63" s="335">
        <f t="shared" si="137"/>
        <v>0</v>
      </c>
      <c r="F63" s="268">
        <f t="shared" si="137"/>
        <v>0</v>
      </c>
      <c r="G63" s="270">
        <f t="shared" si="137"/>
        <v>0</v>
      </c>
      <c r="H63" s="270">
        <f t="shared" si="137"/>
        <v>0</v>
      </c>
      <c r="I63" s="270">
        <f t="shared" si="137"/>
        <v>0</v>
      </c>
      <c r="J63" s="270">
        <f t="shared" si="137"/>
        <v>0</v>
      </c>
      <c r="K63" s="268">
        <f>SUM(K60:K62)</f>
        <v>0</v>
      </c>
      <c r="L63" s="269">
        <f>SUM(L60:L61)</f>
        <v>0</v>
      </c>
      <c r="M63" s="270">
        <f>SUM(M60:M61)</f>
        <v>0</v>
      </c>
      <c r="N63" s="270">
        <f>SUM(N60:N61)</f>
        <v>0</v>
      </c>
      <c r="O63" s="271">
        <f>SUM(O60:O61)</f>
        <v>0</v>
      </c>
      <c r="P63" s="268">
        <f>SUM(P60:P62)</f>
        <v>0</v>
      </c>
      <c r="Q63" s="269">
        <f>SUM(Q60:Q62)</f>
        <v>0</v>
      </c>
      <c r="R63" s="269">
        <f t="shared" ref="R63:T63" si="138">SUM(R60:R62)</f>
        <v>0</v>
      </c>
      <c r="S63" s="269">
        <f t="shared" si="138"/>
        <v>0</v>
      </c>
      <c r="T63" s="269">
        <f t="shared" si="138"/>
        <v>0</v>
      </c>
      <c r="U63" s="268">
        <f>SUM(U60:U62)</f>
        <v>0</v>
      </c>
      <c r="V63" s="270">
        <f>SUM(V60:V62)</f>
        <v>0</v>
      </c>
      <c r="W63" s="270">
        <f t="shared" ref="W63:Y63" si="139">SUM(W60:W62)</f>
        <v>0</v>
      </c>
      <c r="X63" s="270">
        <f t="shared" si="139"/>
        <v>0</v>
      </c>
      <c r="Y63" s="271">
        <f t="shared" si="139"/>
        <v>0</v>
      </c>
      <c r="Z63" s="268">
        <f t="shared" ref="Z63:AI63" si="140">SUM(Z60:Z62)</f>
        <v>0</v>
      </c>
      <c r="AA63" s="268">
        <f t="shared" si="140"/>
        <v>0</v>
      </c>
      <c r="AB63" s="268">
        <f t="shared" si="140"/>
        <v>0</v>
      </c>
      <c r="AC63" s="268">
        <f t="shared" si="140"/>
        <v>0</v>
      </c>
      <c r="AD63" s="268">
        <f t="shared" si="140"/>
        <v>100</v>
      </c>
      <c r="AE63" s="268">
        <f t="shared" si="140"/>
        <v>153</v>
      </c>
      <c r="AF63" s="268">
        <f>SUM(AF60:AF62)</f>
        <v>258.59000000000003</v>
      </c>
      <c r="AG63" s="268">
        <f t="shared" si="140"/>
        <v>267.39769999999999</v>
      </c>
      <c r="AH63" s="268">
        <f t="shared" si="140"/>
        <v>276.522131</v>
      </c>
      <c r="AI63" s="268">
        <f t="shared" si="140"/>
        <v>285.97541992999999</v>
      </c>
      <c r="AJ63" s="268">
        <f t="shared" ref="AJ63:AK63" si="141">SUM(AJ60:AJ62)</f>
        <v>295.77018877789999</v>
      </c>
      <c r="AK63" s="268">
        <f t="shared" si="141"/>
        <v>305.91957600373701</v>
      </c>
      <c r="AL63" s="268">
        <f t="shared" ref="AL63:AM63" si="142">SUM(AL60:AL62)</f>
        <v>316.43725892447412</v>
      </c>
      <c r="AM63" s="268">
        <f t="shared" si="142"/>
        <v>327.33747711486461</v>
      </c>
      <c r="AN63" s="268">
        <f t="shared" ref="AN63:AO63" si="143">SUM(AN60:AN62)</f>
        <v>338.63505687209965</v>
      </c>
      <c r="AO63" s="268">
        <f t="shared" si="143"/>
        <v>350.34543679424115</v>
      </c>
    </row>
    <row r="64" spans="1:41" ht="5.15" customHeight="1" thickBot="1">
      <c r="A64" s="7"/>
      <c r="F64" s="68"/>
      <c r="K64" s="68"/>
      <c r="P64" s="68"/>
      <c r="Q64" s="72"/>
      <c r="R64" s="72"/>
      <c r="S64" s="72"/>
      <c r="T64" s="72"/>
      <c r="U64" s="68"/>
      <c r="V64" s="8"/>
      <c r="W64" s="8"/>
      <c r="X64" s="8"/>
      <c r="Y64" s="8"/>
      <c r="Z64" s="68"/>
      <c r="AA64" s="68"/>
      <c r="AB64" s="68"/>
      <c r="AC64" s="68"/>
      <c r="AD64" s="68"/>
      <c r="AE64" s="68"/>
      <c r="AF64" s="68"/>
      <c r="AG64" s="68"/>
      <c r="AH64" s="68"/>
      <c r="AI64" s="68"/>
      <c r="AJ64" s="68"/>
      <c r="AK64" s="68"/>
      <c r="AL64" s="68"/>
      <c r="AM64" s="68"/>
      <c r="AN64" s="68"/>
      <c r="AO64" s="68"/>
    </row>
    <row r="65" spans="1:41" ht="15" thickBot="1">
      <c r="A65" s="2" t="s">
        <v>95</v>
      </c>
      <c r="B65" s="270">
        <f t="shared" ref="B65:AI65" si="144">B56+B63</f>
        <v>0</v>
      </c>
      <c r="C65" s="270">
        <f t="shared" si="144"/>
        <v>0</v>
      </c>
      <c r="D65" s="270">
        <f t="shared" si="144"/>
        <v>0</v>
      </c>
      <c r="E65" s="270">
        <f t="shared" si="144"/>
        <v>0</v>
      </c>
      <c r="F65" s="50">
        <f t="shared" si="144"/>
        <v>0</v>
      </c>
      <c r="G65" s="270">
        <f t="shared" si="144"/>
        <v>0</v>
      </c>
      <c r="H65" s="270">
        <f t="shared" si="144"/>
        <v>0</v>
      </c>
      <c r="I65" s="270">
        <f t="shared" si="144"/>
        <v>0</v>
      </c>
      <c r="J65" s="270">
        <f t="shared" si="144"/>
        <v>0</v>
      </c>
      <c r="K65" s="50">
        <f t="shared" si="144"/>
        <v>0</v>
      </c>
      <c r="L65" s="337">
        <f t="shared" si="144"/>
        <v>0</v>
      </c>
      <c r="M65" s="337">
        <f t="shared" si="144"/>
        <v>0</v>
      </c>
      <c r="N65" s="337">
        <f t="shared" si="144"/>
        <v>0</v>
      </c>
      <c r="O65" s="337">
        <f t="shared" si="144"/>
        <v>0</v>
      </c>
      <c r="P65" s="50">
        <f t="shared" si="144"/>
        <v>0</v>
      </c>
      <c r="Q65" s="269">
        <f t="shared" si="144"/>
        <v>0</v>
      </c>
      <c r="R65" s="270">
        <f t="shared" si="144"/>
        <v>0</v>
      </c>
      <c r="S65" s="270">
        <f t="shared" si="144"/>
        <v>0</v>
      </c>
      <c r="T65" s="271">
        <f t="shared" si="144"/>
        <v>0</v>
      </c>
      <c r="U65" s="50">
        <f t="shared" si="144"/>
        <v>0</v>
      </c>
      <c r="V65" s="270">
        <f t="shared" ref="V65:Y65" si="145">V56+V63</f>
        <v>0</v>
      </c>
      <c r="W65" s="270">
        <f t="shared" si="145"/>
        <v>0</v>
      </c>
      <c r="X65" s="270">
        <f t="shared" si="145"/>
        <v>0</v>
      </c>
      <c r="Y65" s="271">
        <f t="shared" si="145"/>
        <v>0</v>
      </c>
      <c r="Z65" s="50">
        <f t="shared" si="144"/>
        <v>0</v>
      </c>
      <c r="AA65" s="50">
        <f t="shared" si="144"/>
        <v>0</v>
      </c>
      <c r="AB65" s="50">
        <f t="shared" si="144"/>
        <v>0</v>
      </c>
      <c r="AC65" s="50">
        <f t="shared" si="144"/>
        <v>0</v>
      </c>
      <c r="AD65" s="50">
        <f t="shared" si="144"/>
        <v>155</v>
      </c>
      <c r="AE65" s="50">
        <f>AE56+AE63</f>
        <v>237.97499999999999</v>
      </c>
      <c r="AF65" s="50">
        <f t="shared" si="144"/>
        <v>419.05112500000001</v>
      </c>
      <c r="AG65" s="50">
        <f t="shared" si="144"/>
        <v>432.67265874999998</v>
      </c>
      <c r="AH65" s="50">
        <f t="shared" si="144"/>
        <v>446.75533851249997</v>
      </c>
      <c r="AI65" s="50">
        <f t="shared" si="144"/>
        <v>461.315623667875</v>
      </c>
      <c r="AJ65" s="50">
        <f t="shared" ref="AJ65:AK65" si="146">AJ56+AJ63</f>
        <v>476.37059862791125</v>
      </c>
      <c r="AK65" s="50">
        <f t="shared" si="146"/>
        <v>491.93799814924864</v>
      </c>
      <c r="AL65" s="50">
        <f t="shared" ref="AL65:AM65" si="147">AL56+AL63</f>
        <v>508.03623373435107</v>
      </c>
      <c r="AM65" s="50">
        <f t="shared" si="147"/>
        <v>524.68442116903793</v>
      </c>
      <c r="AN65" s="50">
        <f t="shared" ref="AN65:AO65" si="148">AN56+AN63</f>
        <v>541.90240924789805</v>
      </c>
      <c r="AO65" s="50">
        <f t="shared" si="148"/>
        <v>559.71080974131348</v>
      </c>
    </row>
    <row r="66" spans="1:41" ht="5.15" customHeight="1" thickBot="1">
      <c r="A66" s="21"/>
      <c r="B66" s="5"/>
      <c r="C66" s="5"/>
      <c r="D66" s="5"/>
      <c r="E66" s="5"/>
      <c r="F66" s="48"/>
      <c r="G66" s="5"/>
      <c r="H66" s="5"/>
      <c r="I66" s="5"/>
      <c r="J66" s="5"/>
      <c r="K66" s="60"/>
      <c r="L66" s="85"/>
      <c r="M66" s="40"/>
      <c r="N66" s="40"/>
      <c r="O66" s="38"/>
      <c r="P66" s="10"/>
      <c r="Q66" s="5"/>
      <c r="R66" s="5"/>
      <c r="S66" s="5"/>
      <c r="T66" s="5"/>
      <c r="U66" s="48"/>
      <c r="V66" s="5"/>
      <c r="W66" s="5"/>
      <c r="X66" s="5"/>
      <c r="Y66" s="5"/>
      <c r="Z66" s="48"/>
      <c r="AA66" s="48"/>
      <c r="AB66" s="48"/>
      <c r="AC66" s="48"/>
      <c r="AD66" s="48"/>
      <c r="AE66" s="48"/>
      <c r="AF66" s="48"/>
      <c r="AG66" s="48"/>
      <c r="AH66" s="48"/>
      <c r="AI66" s="48"/>
      <c r="AJ66" s="48"/>
      <c r="AK66" s="48"/>
      <c r="AL66" s="48"/>
      <c r="AM66" s="48"/>
      <c r="AN66" s="48"/>
      <c r="AO66" s="48"/>
    </row>
    <row r="67" spans="1:41" ht="15" thickBot="1">
      <c r="A67" s="2" t="s">
        <v>68</v>
      </c>
      <c r="B67" s="270">
        <f>B65+B38</f>
        <v>0</v>
      </c>
      <c r="C67" s="270">
        <f>C65+C38</f>
        <v>0</v>
      </c>
      <c r="D67" s="270">
        <f>D65+D38</f>
        <v>0</v>
      </c>
      <c r="E67" s="270">
        <f>E65+E38</f>
        <v>0</v>
      </c>
      <c r="F67" s="50">
        <f>B67+C67</f>
        <v>0</v>
      </c>
      <c r="G67" s="270">
        <f>G65+G38</f>
        <v>0</v>
      </c>
      <c r="H67" s="270">
        <f>H65+H38</f>
        <v>0</v>
      </c>
      <c r="I67" s="270">
        <f>I65+I38</f>
        <v>0</v>
      </c>
      <c r="J67" s="270">
        <f>J65+J38</f>
        <v>0</v>
      </c>
      <c r="K67" s="424">
        <f>'INCOME STATEMENT'!K12</f>
        <v>7.6070000000000002</v>
      </c>
      <c r="L67" s="424">
        <f>'INCOME STATEMENT'!L12</f>
        <v>3.5</v>
      </c>
      <c r="M67" s="63">
        <f>'INCOME STATEMENT'!M12</f>
        <v>4.7870000000000008</v>
      </c>
      <c r="N67" s="44">
        <f t="shared" ref="N67:AI67" si="149">N38+N65</f>
        <v>3.25</v>
      </c>
      <c r="O67" s="133">
        <f t="shared" si="149"/>
        <v>2.8859999999999988</v>
      </c>
      <c r="P67" s="76">
        <f t="shared" si="149"/>
        <v>14.423</v>
      </c>
      <c r="Q67" s="424">
        <f>'INCOME STATEMENT'!Q12</f>
        <v>3.5</v>
      </c>
      <c r="R67" s="63">
        <f>'INCOME STATEMENT'!R12</f>
        <v>4.0730000000000004</v>
      </c>
      <c r="S67" s="63">
        <f>'INCOME STATEMENT'!S12</f>
        <v>4.4039999999999999</v>
      </c>
      <c r="T67" s="63">
        <f>'INCOME STATEMENT'!T12</f>
        <v>18.757000000000001</v>
      </c>
      <c r="U67" s="50">
        <f t="shared" si="149"/>
        <v>30.688000000000002</v>
      </c>
      <c r="V67" s="76">
        <f t="shared" si="149"/>
        <v>6.5</v>
      </c>
      <c r="W67" s="44">
        <f t="shared" si="149"/>
        <v>6.6</v>
      </c>
      <c r="X67" s="44">
        <f t="shared" si="149"/>
        <v>7.2</v>
      </c>
      <c r="Y67" s="133">
        <f t="shared" si="149"/>
        <v>7.5</v>
      </c>
      <c r="Z67" s="50">
        <f t="shared" si="149"/>
        <v>27.8</v>
      </c>
      <c r="AA67" s="50">
        <f t="shared" si="149"/>
        <v>29.19</v>
      </c>
      <c r="AB67" s="50">
        <f t="shared" si="149"/>
        <v>30.649500000000003</v>
      </c>
      <c r="AC67" s="50">
        <f t="shared" si="149"/>
        <v>36.415575000000011</v>
      </c>
      <c r="AD67" s="50">
        <f t="shared" si="149"/>
        <v>193.23635375000001</v>
      </c>
      <c r="AE67" s="50">
        <f>AE38+AE65</f>
        <v>278.12317143749999</v>
      </c>
      <c r="AF67" s="50">
        <f t="shared" si="149"/>
        <v>461.20670500937501</v>
      </c>
      <c r="AG67" s="50">
        <f t="shared" si="149"/>
        <v>476.39615065890627</v>
      </c>
      <c r="AH67" s="50">
        <f t="shared" si="149"/>
        <v>492.10894190288593</v>
      </c>
      <c r="AI67" s="50">
        <f t="shared" si="149"/>
        <v>508.36416222039566</v>
      </c>
      <c r="AJ67" s="50">
        <f t="shared" ref="AJ67:AK67" si="150">AJ38+AJ65</f>
        <v>525.18163675045184</v>
      </c>
      <c r="AK67" s="50">
        <f t="shared" si="150"/>
        <v>542.58196299958195</v>
      </c>
      <c r="AL67" s="50">
        <f t="shared" ref="AL67:AM67" si="151">AL38+AL65</f>
        <v>560.58654289351671</v>
      </c>
      <c r="AM67" s="50">
        <f t="shared" si="151"/>
        <v>579.21761623446696</v>
      </c>
      <c r="AN67" s="50">
        <f t="shared" ref="AN67:AO67" si="152">AN38+AN65</f>
        <v>598.49829562835282</v>
      </c>
      <c r="AO67" s="50">
        <f t="shared" si="152"/>
        <v>618.45260294939783</v>
      </c>
    </row>
    <row r="68" spans="1:41" ht="15" thickBot="1"/>
    <row r="69" spans="1:41" s="1" customFormat="1" ht="15" thickBot="1">
      <c r="A69" s="2" t="s">
        <v>71</v>
      </c>
      <c r="B69" s="44">
        <f t="shared" ref="B69:AI69" si="153">B22+B67</f>
        <v>0</v>
      </c>
      <c r="C69" s="44">
        <f t="shared" si="153"/>
        <v>0</v>
      </c>
      <c r="D69" s="44">
        <f t="shared" si="153"/>
        <v>0</v>
      </c>
      <c r="E69" s="44">
        <f t="shared" si="153"/>
        <v>0</v>
      </c>
      <c r="F69" s="50">
        <f t="shared" si="153"/>
        <v>0</v>
      </c>
      <c r="G69" s="44">
        <f>G22+G67</f>
        <v>0</v>
      </c>
      <c r="H69" s="44">
        <f t="shared" si="153"/>
        <v>0</v>
      </c>
      <c r="I69" s="44">
        <f t="shared" si="153"/>
        <v>0</v>
      </c>
      <c r="J69" s="44">
        <f t="shared" si="153"/>
        <v>0</v>
      </c>
      <c r="K69" s="76">
        <f>K22+K67</f>
        <v>57.281999999999996</v>
      </c>
      <c r="L69" s="76">
        <f t="shared" si="153"/>
        <v>17.5</v>
      </c>
      <c r="M69" s="44">
        <f t="shared" si="153"/>
        <v>21.776000000000003</v>
      </c>
      <c r="N69" s="44">
        <f t="shared" si="153"/>
        <v>21.1</v>
      </c>
      <c r="O69" s="133">
        <f t="shared" si="153"/>
        <v>22.571999999999999</v>
      </c>
      <c r="P69" s="44">
        <f>P22+P67</f>
        <v>82.945999999999998</v>
      </c>
      <c r="Q69" s="76">
        <f t="shared" si="153"/>
        <v>25.5</v>
      </c>
      <c r="R69" s="44">
        <f t="shared" si="153"/>
        <v>28.706000000000003</v>
      </c>
      <c r="S69" s="44">
        <f t="shared" si="153"/>
        <v>31.498000000000001</v>
      </c>
      <c r="T69" s="133">
        <f t="shared" si="153"/>
        <v>83.378999999999991</v>
      </c>
      <c r="U69" s="133">
        <f t="shared" si="153"/>
        <v>169.03699999999998</v>
      </c>
      <c r="V69" s="76">
        <f t="shared" si="153"/>
        <v>37.75</v>
      </c>
      <c r="W69" s="44">
        <f t="shared" si="153"/>
        <v>39.85</v>
      </c>
      <c r="X69" s="44">
        <f t="shared" si="153"/>
        <v>44.45</v>
      </c>
      <c r="Y69" s="133">
        <f t="shared" si="153"/>
        <v>50.75</v>
      </c>
      <c r="Z69" s="50">
        <f t="shared" si="153"/>
        <v>172.8</v>
      </c>
      <c r="AA69" s="50">
        <f t="shared" si="153"/>
        <v>204.19</v>
      </c>
      <c r="AB69" s="50">
        <f t="shared" si="153"/>
        <v>255.68150000000003</v>
      </c>
      <c r="AC69" s="50">
        <f t="shared" si="153"/>
        <v>251.41263500000002</v>
      </c>
      <c r="AD69" s="50">
        <f t="shared" si="153"/>
        <v>388.23263055000007</v>
      </c>
      <c r="AE69" s="50">
        <f t="shared" si="153"/>
        <v>429.2539567915</v>
      </c>
      <c r="AF69" s="50">
        <f t="shared" si="153"/>
        <v>543.50846518649496</v>
      </c>
      <c r="AG69" s="50">
        <f t="shared" si="153"/>
        <v>540.90656746696482</v>
      </c>
      <c r="AH69" s="50">
        <f t="shared" si="153"/>
        <v>548.86695523209255</v>
      </c>
      <c r="AI69" s="50">
        <f t="shared" si="153"/>
        <v>566.35091594947846</v>
      </c>
      <c r="AJ69" s="50">
        <f t="shared" ref="AJ69:AK69" si="154">AJ22+AJ67</f>
        <v>584.43399309140716</v>
      </c>
      <c r="AK69" s="50">
        <f t="shared" si="154"/>
        <v>603.1378900307659</v>
      </c>
      <c r="AL69" s="50">
        <f t="shared" ref="AL69:AM69" si="155">AL22+AL67</f>
        <v>622.48514773563613</v>
      </c>
      <c r="AM69" s="50">
        <f t="shared" si="155"/>
        <v>642.49917922185</v>
      </c>
      <c r="AN69" s="50">
        <f t="shared" ref="AN69:AO69" si="156">AN22+AN67</f>
        <v>663.20430550535741</v>
      </c>
      <c r="AO69" s="50">
        <f t="shared" si="156"/>
        <v>684.62579312271248</v>
      </c>
    </row>
    <row r="71" spans="1:41" ht="15" thickBot="1">
      <c r="F71" s="103"/>
      <c r="K71" s="103"/>
      <c r="P71" s="103"/>
      <c r="U71" s="103"/>
      <c r="Z71" s="103"/>
      <c r="AA71" s="103"/>
      <c r="AB71" s="103"/>
      <c r="AC71" s="103"/>
      <c r="AD71" s="103"/>
      <c r="AE71" s="103"/>
      <c r="AF71" s="103"/>
      <c r="AG71" s="103"/>
      <c r="AH71" s="103"/>
      <c r="AI71" s="103"/>
      <c r="AJ71" s="103"/>
      <c r="AK71" s="103"/>
      <c r="AL71" s="103"/>
      <c r="AM71" s="103"/>
      <c r="AN71" s="103"/>
      <c r="AO71" s="103"/>
    </row>
    <row r="72" spans="1:41" ht="15" thickBot="1">
      <c r="A72" s="47"/>
      <c r="B72" s="132" t="str">
        <f t="shared" ref="B72:AI72" si="157">B3</f>
        <v>1Q22</v>
      </c>
      <c r="C72" s="132" t="str">
        <f t="shared" si="157"/>
        <v>2Q22</v>
      </c>
      <c r="D72" s="132" t="str">
        <f t="shared" si="157"/>
        <v>3Q22</v>
      </c>
      <c r="E72" s="4" t="str">
        <f t="shared" si="157"/>
        <v>4Q22</v>
      </c>
      <c r="F72" s="54">
        <f t="shared" si="157"/>
        <v>2022</v>
      </c>
      <c r="G72" s="132" t="str">
        <f t="shared" si="157"/>
        <v>1Q23</v>
      </c>
      <c r="H72" s="132" t="str">
        <f t="shared" si="157"/>
        <v>2Q23</v>
      </c>
      <c r="I72" s="132" t="str">
        <f t="shared" si="157"/>
        <v>3Q23</v>
      </c>
      <c r="J72" s="132" t="str">
        <f t="shared" si="157"/>
        <v>4Q23</v>
      </c>
      <c r="K72" s="234">
        <f t="shared" si="157"/>
        <v>2023</v>
      </c>
      <c r="L72" s="159" t="str">
        <f t="shared" si="157"/>
        <v>1Q24</v>
      </c>
      <c r="M72" s="159" t="str">
        <f t="shared" si="157"/>
        <v>2Q24</v>
      </c>
      <c r="N72" s="159" t="str">
        <f t="shared" si="157"/>
        <v>3Q24</v>
      </c>
      <c r="O72" s="331" t="str">
        <f t="shared" si="157"/>
        <v>4Q24</v>
      </c>
      <c r="P72" s="84">
        <f t="shared" si="157"/>
        <v>2024</v>
      </c>
      <c r="Q72" s="26" t="str">
        <f>Q3</f>
        <v>1Q25</v>
      </c>
      <c r="R72" s="132" t="str">
        <f t="shared" ref="R72:T72" si="158">R3</f>
        <v>2Q25</v>
      </c>
      <c r="S72" s="132" t="str">
        <f t="shared" si="158"/>
        <v>3Q25</v>
      </c>
      <c r="T72" s="4" t="str">
        <f t="shared" si="158"/>
        <v>4Q25</v>
      </c>
      <c r="U72" s="330">
        <f t="shared" si="157"/>
        <v>2025</v>
      </c>
      <c r="V72" s="26" t="str">
        <f>V3</f>
        <v>1Q26E</v>
      </c>
      <c r="W72" s="132" t="str">
        <f t="shared" ref="W72:Y72" si="159">W3</f>
        <v>2Q26E</v>
      </c>
      <c r="X72" s="132" t="str">
        <f t="shared" si="159"/>
        <v>3Q26E</v>
      </c>
      <c r="Y72" s="4" t="str">
        <f t="shared" si="159"/>
        <v>4Q26E</v>
      </c>
      <c r="Z72" s="123" t="str">
        <f t="shared" si="157"/>
        <v>2026E</v>
      </c>
      <c r="AA72" s="414" t="str">
        <f t="shared" si="157"/>
        <v>2027E</v>
      </c>
      <c r="AB72" s="123" t="str">
        <f t="shared" si="157"/>
        <v>2028E</v>
      </c>
      <c r="AC72" s="123" t="str">
        <f t="shared" si="157"/>
        <v>2029E</v>
      </c>
      <c r="AD72" s="54" t="str">
        <f t="shared" si="157"/>
        <v>2030E</v>
      </c>
      <c r="AE72" s="54" t="str">
        <f t="shared" si="157"/>
        <v>2031E</v>
      </c>
      <c r="AF72" s="54" t="str">
        <f t="shared" si="157"/>
        <v>2032E</v>
      </c>
      <c r="AG72" s="54" t="str">
        <f t="shared" si="157"/>
        <v>2033E</v>
      </c>
      <c r="AH72" s="54" t="str">
        <f t="shared" si="157"/>
        <v>2034E</v>
      </c>
      <c r="AI72" s="54" t="str">
        <f t="shared" si="157"/>
        <v>2035E</v>
      </c>
      <c r="AJ72" s="54" t="str">
        <f t="shared" ref="AJ72:AK72" si="160">AJ3</f>
        <v>2036E</v>
      </c>
      <c r="AK72" s="54" t="str">
        <f t="shared" si="160"/>
        <v>2037E</v>
      </c>
      <c r="AL72" s="54" t="str">
        <f t="shared" ref="AL72:AM72" si="161">AL3</f>
        <v>2038E</v>
      </c>
      <c r="AM72" s="54" t="str">
        <f t="shared" si="161"/>
        <v>2039E</v>
      </c>
      <c r="AN72" s="54" t="str">
        <f t="shared" ref="AN72:AO72" si="162">AN3</f>
        <v>2040E</v>
      </c>
      <c r="AO72" s="54" t="str">
        <f t="shared" si="162"/>
        <v>2041E</v>
      </c>
    </row>
    <row r="73" spans="1:41" ht="5.15" customHeight="1" thickBot="1">
      <c r="A73" s="52"/>
      <c r="B73" s="8"/>
      <c r="C73" s="8"/>
      <c r="D73" s="8"/>
      <c r="E73" s="8"/>
      <c r="F73" s="55"/>
      <c r="G73" s="8"/>
      <c r="H73" s="8"/>
      <c r="I73" s="8"/>
      <c r="J73" s="8"/>
      <c r="K73" s="55"/>
      <c r="L73" s="62"/>
      <c r="M73" s="62"/>
      <c r="N73" s="62"/>
      <c r="O73" s="62"/>
      <c r="P73" s="55"/>
      <c r="Q73" s="8"/>
      <c r="R73" s="8"/>
      <c r="S73" s="8"/>
      <c r="T73" s="8"/>
      <c r="U73" s="55"/>
      <c r="V73" s="72"/>
      <c r="W73" s="8"/>
      <c r="X73" s="8"/>
      <c r="Y73" s="8"/>
      <c r="Z73" s="130"/>
      <c r="AA73" s="55"/>
      <c r="AB73" s="62"/>
      <c r="AC73" s="55"/>
      <c r="AD73" s="55"/>
      <c r="AE73" s="55"/>
      <c r="AF73" s="55"/>
      <c r="AG73" s="55"/>
      <c r="AH73" s="55"/>
      <c r="AI73" s="55"/>
      <c r="AJ73" s="55"/>
      <c r="AK73" s="55"/>
      <c r="AL73" s="55"/>
      <c r="AM73" s="55"/>
      <c r="AN73" s="55"/>
      <c r="AO73" s="55"/>
    </row>
    <row r="74" spans="1:41" ht="15" thickBot="1">
      <c r="A74" s="13" t="s">
        <v>27</v>
      </c>
      <c r="F74" s="52"/>
      <c r="K74" s="52"/>
      <c r="P74" s="52"/>
      <c r="U74" s="52"/>
      <c r="V74" s="7"/>
      <c r="Z74" s="7"/>
      <c r="AA74" s="52"/>
      <c r="AC74" s="52"/>
      <c r="AD74" s="52"/>
      <c r="AE74" s="52"/>
      <c r="AF74" s="52"/>
      <c r="AG74" s="52"/>
      <c r="AH74" s="52"/>
      <c r="AI74" s="52"/>
      <c r="AJ74" s="52"/>
      <c r="AK74" s="52"/>
      <c r="AL74" s="52"/>
      <c r="AM74" s="52"/>
      <c r="AN74" s="52"/>
      <c r="AO74" s="52"/>
    </row>
    <row r="75" spans="1:41" ht="5.15" customHeight="1">
      <c r="A75" s="52"/>
      <c r="B75" s="8"/>
      <c r="C75" s="8"/>
      <c r="D75" s="8"/>
      <c r="E75" s="8"/>
      <c r="F75" s="68"/>
      <c r="G75" s="8"/>
      <c r="H75" s="8"/>
      <c r="I75" s="8"/>
      <c r="J75" s="8"/>
      <c r="K75" s="68"/>
      <c r="L75" s="8"/>
      <c r="M75" s="8"/>
      <c r="N75" s="8"/>
      <c r="O75" s="8"/>
      <c r="P75" s="68"/>
      <c r="Q75" s="8"/>
      <c r="R75" s="8"/>
      <c r="S75" s="8"/>
      <c r="T75" s="8"/>
      <c r="U75" s="68"/>
      <c r="V75" s="72"/>
      <c r="W75" s="8"/>
      <c r="X75" s="8"/>
      <c r="Y75" s="8"/>
      <c r="Z75" s="72"/>
      <c r="AA75" s="68"/>
      <c r="AB75" s="8"/>
      <c r="AC75" s="68"/>
      <c r="AD75" s="68"/>
      <c r="AE75" s="68"/>
      <c r="AF75" s="68"/>
      <c r="AG75" s="68"/>
      <c r="AH75" s="68"/>
      <c r="AI75" s="68"/>
      <c r="AJ75" s="68"/>
      <c r="AK75" s="68"/>
      <c r="AL75" s="68"/>
      <c r="AM75" s="68"/>
      <c r="AN75" s="68"/>
      <c r="AO75" s="68"/>
    </row>
    <row r="76" spans="1:41">
      <c r="A76" s="7" t="s">
        <v>309</v>
      </c>
      <c r="B76" s="265"/>
      <c r="C76" s="265"/>
      <c r="D76" s="312"/>
      <c r="E76" s="312"/>
      <c r="F76" s="69"/>
      <c r="G76" s="312"/>
      <c r="H76" s="312"/>
      <c r="I76" s="312"/>
      <c r="J76" s="312"/>
      <c r="K76" s="69"/>
      <c r="L76" s="15"/>
      <c r="M76" s="15"/>
      <c r="N76" s="15"/>
      <c r="O76" s="15"/>
      <c r="P76" s="59"/>
      <c r="Q76" s="265"/>
      <c r="R76" s="265"/>
      <c r="S76" s="265"/>
      <c r="T76" s="265"/>
      <c r="U76" s="69"/>
      <c r="V76" s="71"/>
      <c r="W76" s="15"/>
      <c r="X76" s="15"/>
      <c r="Y76" s="15"/>
      <c r="Z76" s="71"/>
      <c r="AA76" s="69"/>
      <c r="AB76" s="15"/>
      <c r="AC76" s="59">
        <v>0.03</v>
      </c>
      <c r="AD76" s="69">
        <f>AC76</f>
        <v>0.03</v>
      </c>
      <c r="AE76" s="69">
        <f t="shared" ref="AE76:AO76" si="163">AD76</f>
        <v>0.03</v>
      </c>
      <c r="AF76" s="69">
        <f t="shared" si="163"/>
        <v>0.03</v>
      </c>
      <c r="AG76" s="69">
        <f t="shared" si="163"/>
        <v>0.03</v>
      </c>
      <c r="AH76" s="69">
        <f t="shared" si="163"/>
        <v>0.03</v>
      </c>
      <c r="AI76" s="69">
        <f t="shared" si="163"/>
        <v>0.03</v>
      </c>
      <c r="AJ76" s="69">
        <f t="shared" si="163"/>
        <v>0.03</v>
      </c>
      <c r="AK76" s="69">
        <f t="shared" si="163"/>
        <v>0.03</v>
      </c>
      <c r="AL76" s="69">
        <f t="shared" si="163"/>
        <v>0.03</v>
      </c>
      <c r="AM76" s="69">
        <f t="shared" si="163"/>
        <v>0.03</v>
      </c>
      <c r="AN76" s="69">
        <f t="shared" si="163"/>
        <v>0.03</v>
      </c>
      <c r="AO76" s="69">
        <f t="shared" si="163"/>
        <v>0.03</v>
      </c>
    </row>
    <row r="77" spans="1:41">
      <c r="A77" s="7"/>
      <c r="B77" s="265"/>
      <c r="C77" s="265"/>
      <c r="D77" s="312"/>
      <c r="E77" s="312"/>
      <c r="F77" s="69"/>
      <c r="G77" s="312"/>
      <c r="H77" s="312"/>
      <c r="I77" s="312"/>
      <c r="J77" s="312"/>
      <c r="K77" s="69"/>
      <c r="L77" s="15"/>
      <c r="M77" s="15"/>
      <c r="N77" s="15"/>
      <c r="O77" s="15"/>
      <c r="P77" s="59"/>
      <c r="Q77" s="265"/>
      <c r="R77" s="265"/>
      <c r="S77" s="265"/>
      <c r="T77" s="265"/>
      <c r="U77" s="69"/>
      <c r="V77" s="71"/>
      <c r="W77" s="15"/>
      <c r="X77" s="15"/>
      <c r="Y77" s="15"/>
      <c r="Z77" s="71"/>
      <c r="AA77" s="69"/>
      <c r="AB77" s="15"/>
      <c r="AC77" s="69"/>
      <c r="AD77" s="69"/>
      <c r="AE77" s="69"/>
      <c r="AF77" s="69"/>
      <c r="AG77" s="69"/>
      <c r="AH77" s="69"/>
      <c r="AI77" s="69"/>
      <c r="AJ77" s="69"/>
      <c r="AK77" s="69"/>
      <c r="AL77" s="69"/>
      <c r="AM77" s="69"/>
      <c r="AN77" s="69"/>
      <c r="AO77" s="69"/>
    </row>
    <row r="78" spans="1:41">
      <c r="A78" s="7" t="s">
        <v>350</v>
      </c>
      <c r="B78" s="264"/>
      <c r="C78" s="264"/>
      <c r="D78" s="264"/>
      <c r="E78" s="264"/>
      <c r="F78" s="272"/>
      <c r="G78" s="264"/>
      <c r="H78" s="264"/>
      <c r="I78" s="264"/>
      <c r="J78" s="264"/>
      <c r="K78" s="272"/>
      <c r="L78" s="264"/>
      <c r="M78" s="264"/>
      <c r="N78" s="264"/>
      <c r="O78" s="264"/>
      <c r="P78" s="272"/>
      <c r="Q78" s="264"/>
      <c r="R78" s="264"/>
      <c r="S78" s="264"/>
      <c r="T78" s="264"/>
      <c r="U78" s="272"/>
      <c r="V78" s="181"/>
      <c r="W78" s="264"/>
      <c r="X78" s="264"/>
      <c r="Y78" s="264"/>
      <c r="Z78" s="181"/>
      <c r="AA78" s="272"/>
      <c r="AB78" s="264"/>
      <c r="AC78" s="69">
        <v>0.06</v>
      </c>
      <c r="AD78" s="69">
        <f>AC78</f>
        <v>0.06</v>
      </c>
      <c r="AE78" s="69">
        <f t="shared" ref="AE78:AO78" si="164">AD78</f>
        <v>0.06</v>
      </c>
      <c r="AF78" s="69">
        <f t="shared" si="164"/>
        <v>0.06</v>
      </c>
      <c r="AG78" s="69">
        <f t="shared" si="164"/>
        <v>0.06</v>
      </c>
      <c r="AH78" s="69">
        <f t="shared" si="164"/>
        <v>0.06</v>
      </c>
      <c r="AI78" s="69">
        <f t="shared" si="164"/>
        <v>0.06</v>
      </c>
      <c r="AJ78" s="69">
        <f t="shared" si="164"/>
        <v>0.06</v>
      </c>
      <c r="AK78" s="69">
        <f t="shared" si="164"/>
        <v>0.06</v>
      </c>
      <c r="AL78" s="69">
        <f t="shared" si="164"/>
        <v>0.06</v>
      </c>
      <c r="AM78" s="69">
        <f t="shared" si="164"/>
        <v>0.06</v>
      </c>
      <c r="AN78" s="69">
        <f t="shared" si="164"/>
        <v>0.06</v>
      </c>
      <c r="AO78" s="69">
        <f t="shared" si="164"/>
        <v>0.06</v>
      </c>
    </row>
    <row r="79" spans="1:41">
      <c r="A79" s="7" t="s">
        <v>27</v>
      </c>
      <c r="B79" s="264"/>
      <c r="C79" s="264"/>
      <c r="D79" s="264"/>
      <c r="E79" s="264"/>
      <c r="F79" s="272"/>
      <c r="G79" s="264"/>
      <c r="H79" s="264"/>
      <c r="I79" s="264"/>
      <c r="J79" s="264"/>
      <c r="K79" s="272"/>
      <c r="L79" s="264"/>
      <c r="M79" s="264"/>
      <c r="N79" s="264"/>
      <c r="O79" s="264"/>
      <c r="P79" s="272"/>
      <c r="Q79" s="264"/>
      <c r="R79" s="264"/>
      <c r="S79" s="264"/>
      <c r="T79" s="264"/>
      <c r="U79" s="272"/>
      <c r="V79" s="181"/>
      <c r="W79" s="264"/>
      <c r="X79" s="264"/>
      <c r="Y79" s="264"/>
      <c r="Z79" s="181"/>
      <c r="AA79" s="272"/>
      <c r="AB79" s="264"/>
      <c r="AC79" s="69"/>
      <c r="AD79" s="69"/>
      <c r="AE79" s="69"/>
      <c r="AF79" s="69"/>
      <c r="AG79" s="69"/>
      <c r="AH79" s="69"/>
      <c r="AI79" s="69"/>
      <c r="AJ79" s="69"/>
      <c r="AK79" s="69"/>
      <c r="AL79" s="69"/>
      <c r="AM79" s="69"/>
      <c r="AN79" s="69"/>
      <c r="AO79" s="69"/>
    </row>
    <row r="80" spans="1:41">
      <c r="A80" s="7" t="s">
        <v>352</v>
      </c>
      <c r="B80" s="264"/>
      <c r="C80" s="264"/>
      <c r="D80" s="264"/>
      <c r="E80" s="264"/>
      <c r="F80" s="272"/>
      <c r="G80" s="264"/>
      <c r="H80" s="264"/>
      <c r="I80" s="264"/>
      <c r="J80" s="264"/>
      <c r="K80" s="272"/>
      <c r="L80" s="264"/>
      <c r="M80" s="264"/>
      <c r="N80" s="264"/>
      <c r="O80" s="264"/>
      <c r="P80" s="272"/>
      <c r="Q80" s="264"/>
      <c r="R80" s="264"/>
      <c r="S80" s="264"/>
      <c r="T80" s="264"/>
      <c r="U80" s="272"/>
      <c r="V80" s="181"/>
      <c r="W80" s="264"/>
      <c r="X80" s="264"/>
      <c r="Y80" s="264"/>
      <c r="Z80" s="181"/>
      <c r="AA80" s="272"/>
      <c r="AB80" s="264"/>
      <c r="AC80" s="69"/>
      <c r="AD80" s="69"/>
      <c r="AE80" s="69"/>
      <c r="AF80" s="69"/>
      <c r="AG80" s="69"/>
      <c r="AH80" s="69"/>
      <c r="AI80" s="69"/>
      <c r="AJ80" s="69"/>
      <c r="AK80" s="69"/>
      <c r="AL80" s="69"/>
      <c r="AM80" s="69"/>
      <c r="AN80" s="69"/>
      <c r="AO80" s="69"/>
    </row>
    <row r="81" spans="1:41">
      <c r="B81" s="264"/>
      <c r="C81" s="264"/>
      <c r="D81" s="264"/>
      <c r="E81" s="264"/>
      <c r="F81" s="272"/>
      <c r="G81" s="264"/>
      <c r="H81" s="264"/>
      <c r="I81" s="264"/>
      <c r="J81" s="264"/>
      <c r="K81" s="272"/>
      <c r="L81" s="264"/>
      <c r="M81" s="264"/>
      <c r="N81" s="264"/>
      <c r="O81" s="264"/>
      <c r="P81" s="272"/>
      <c r="Q81" s="264"/>
      <c r="R81" s="264"/>
      <c r="S81" s="264"/>
      <c r="T81" s="264"/>
      <c r="U81" s="272"/>
      <c r="V81" s="181"/>
      <c r="W81" s="264"/>
      <c r="X81" s="264"/>
      <c r="Y81" s="264"/>
      <c r="Z81" s="181"/>
      <c r="AA81" s="272"/>
      <c r="AB81" s="264"/>
      <c r="AC81" s="69"/>
      <c r="AD81" s="69"/>
      <c r="AE81" s="69"/>
      <c r="AF81" s="69"/>
      <c r="AG81" s="69"/>
      <c r="AH81" s="69"/>
      <c r="AI81" s="69"/>
      <c r="AJ81" s="69"/>
      <c r="AK81" s="69"/>
      <c r="AL81" s="69"/>
      <c r="AM81" s="69"/>
      <c r="AN81" s="69"/>
      <c r="AO81" s="69"/>
    </row>
    <row r="82" spans="1:41">
      <c r="A82" s="7" t="s">
        <v>348</v>
      </c>
      <c r="B82" s="264"/>
      <c r="C82" s="264"/>
      <c r="D82" s="264"/>
      <c r="E82" s="264"/>
      <c r="F82" s="272"/>
      <c r="G82" s="264"/>
      <c r="H82" s="264"/>
      <c r="I82" s="264"/>
      <c r="J82" s="264"/>
      <c r="K82" s="272"/>
      <c r="L82" s="264"/>
      <c r="M82" s="264"/>
      <c r="N82" s="264"/>
      <c r="O82" s="264"/>
      <c r="P82" s="272"/>
      <c r="Q82" s="264"/>
      <c r="R82" s="264"/>
      <c r="S82" s="264"/>
      <c r="T82" s="264"/>
      <c r="U82" s="272"/>
      <c r="V82" s="181"/>
      <c r="W82" s="264"/>
      <c r="X82" s="264"/>
      <c r="Y82" s="264"/>
      <c r="Z82" s="181"/>
      <c r="AA82" s="272"/>
      <c r="AB82" s="264"/>
      <c r="AC82" s="406">
        <f>AC76*REVENUES!N8</f>
        <v>0</v>
      </c>
      <c r="AD82" s="406">
        <f>AD76*REVENUES!O8</f>
        <v>1.65</v>
      </c>
      <c r="AE82" s="406">
        <f>AE76*REVENUES!P8</f>
        <v>6</v>
      </c>
      <c r="AF82" s="406">
        <f>AF76*REVENUES!Q8</f>
        <v>10.5</v>
      </c>
      <c r="AG82" s="406">
        <f>AG76*REVENUES!R8</f>
        <v>15.75</v>
      </c>
      <c r="AH82" s="406">
        <f>AH76*REVENUES!S8</f>
        <v>18.75</v>
      </c>
      <c r="AI82" s="406">
        <f>AI76*REVENUES!T8</f>
        <v>21.000000000000004</v>
      </c>
      <c r="AJ82" s="406">
        <f>AJ76*REVENUES!U8</f>
        <v>23.100000000000005</v>
      </c>
      <c r="AK82" s="406">
        <f>AK76*REVENUES!V8</f>
        <v>24.948000000000008</v>
      </c>
      <c r="AL82" s="406">
        <f>AL76*REVENUES!W8</f>
        <v>26.444880000000008</v>
      </c>
      <c r="AM82" s="406">
        <f>AM76*REVENUES!X8</f>
        <v>27.767124000000013</v>
      </c>
      <c r="AN82" s="406">
        <f>AN76*REVENUES!Y8</f>
        <v>28.87780896000001</v>
      </c>
      <c r="AO82" s="406">
        <f>AO76*REVENUES!Z8</f>
        <v>29.744143228800013</v>
      </c>
    </row>
    <row r="83" spans="1:41">
      <c r="A83" s="7" t="s">
        <v>349</v>
      </c>
      <c r="B83" s="264"/>
      <c r="C83" s="264"/>
      <c r="D83" s="264"/>
      <c r="E83" s="264"/>
      <c r="F83" s="272"/>
      <c r="G83" s="264"/>
      <c r="H83" s="264"/>
      <c r="I83" s="264"/>
      <c r="J83" s="264"/>
      <c r="K83" s="272"/>
      <c r="L83" s="264"/>
      <c r="M83" s="264"/>
      <c r="N83" s="264"/>
      <c r="O83" s="264"/>
      <c r="P83" s="272"/>
      <c r="Q83" s="264"/>
      <c r="R83" s="264"/>
      <c r="S83" s="264"/>
      <c r="T83" s="264"/>
      <c r="U83" s="272"/>
      <c r="V83" s="181"/>
      <c r="W83" s="264"/>
      <c r="X83" s="264"/>
      <c r="Y83" s="264"/>
      <c r="Z83" s="181"/>
      <c r="AA83" s="272"/>
      <c r="AB83" s="264"/>
      <c r="AC83" s="406">
        <f>AC76*REVENUES!N12</f>
        <v>0</v>
      </c>
      <c r="AD83" s="406">
        <f>AD76*REVENUES!O12</f>
        <v>0</v>
      </c>
      <c r="AE83" s="406">
        <f>AE76*REVENUES!P12</f>
        <v>0</v>
      </c>
      <c r="AF83" s="406">
        <f>AF76*REVENUES!Q12</f>
        <v>3</v>
      </c>
      <c r="AG83" s="406">
        <f>AG76*REVENUES!R12</f>
        <v>7.5</v>
      </c>
      <c r="AH83" s="406">
        <f>AH76*REVENUES!S12</f>
        <v>13.5</v>
      </c>
      <c r="AI83" s="406">
        <f>AI76*REVENUES!T12</f>
        <v>19.5</v>
      </c>
      <c r="AJ83" s="406">
        <f>AJ76*REVENUES!U12</f>
        <v>24.75</v>
      </c>
      <c r="AK83" s="406">
        <f>AK76*REVENUES!V12</f>
        <v>28.5</v>
      </c>
      <c r="AL83" s="406">
        <f>AL76*REVENUES!W12</f>
        <v>31.5</v>
      </c>
      <c r="AM83" s="406">
        <f>AM76*REVENUES!X12</f>
        <v>33.75</v>
      </c>
      <c r="AN83" s="406">
        <f>AN76*REVENUES!Y12</f>
        <v>35.4375</v>
      </c>
      <c r="AO83" s="406">
        <f>AO76*REVENUES!Z12</f>
        <v>37.209375000000001</v>
      </c>
    </row>
    <row r="84" spans="1:41" ht="15" thickBot="1">
      <c r="A84" s="7" t="s">
        <v>339</v>
      </c>
      <c r="F84" s="381"/>
      <c r="K84" s="381"/>
      <c r="P84" s="381"/>
      <c r="U84" s="52"/>
      <c r="V84" s="7"/>
      <c r="Z84" s="17"/>
      <c r="AA84" s="381"/>
      <c r="AC84" s="415">
        <f>AC78*REVENUES!N18</f>
        <v>0</v>
      </c>
      <c r="AD84" s="415">
        <f>AD78*REVENUES!O18</f>
        <v>0</v>
      </c>
      <c r="AE84" s="415">
        <f>AE78*REVENUES!P18</f>
        <v>7.1055404232071018</v>
      </c>
      <c r="AF84" s="415">
        <f>AF78*REVENUES!Q18</f>
        <v>22.404834785435469</v>
      </c>
      <c r="AG84" s="415">
        <f>AG78*REVENUES!R18</f>
        <v>39.247669335386583</v>
      </c>
      <c r="AH84" s="415">
        <f>AH78*REVENUES!S18</f>
        <v>49.50151542594967</v>
      </c>
      <c r="AI84" s="415">
        <f>AI78*REVENUES!T18</f>
        <v>60.699995753185142</v>
      </c>
      <c r="AJ84" s="415">
        <f>AJ78*REVENUES!U18</f>
        <v>72.912834898726004</v>
      </c>
      <c r="AK84" s="415">
        <f>AK78*REVENUES!V18</f>
        <v>86.21441451034417</v>
      </c>
      <c r="AL84" s="415">
        <f>AL78*REVENUES!W18</f>
        <v>95.649863725047112</v>
      </c>
      <c r="AM84" s="415">
        <f>AM78*REVENUES!X18</f>
        <v>105.82398870337977</v>
      </c>
      <c r="AN84" s="415">
        <f>AN78*REVENUES!Y18</f>
        <v>116.78761849302167</v>
      </c>
      <c r="AO84" s="415">
        <f>AO78*REVENUES!Z18</f>
        <v>120.29124704781232</v>
      </c>
    </row>
    <row r="85" spans="1:41" ht="15" thickBot="1">
      <c r="A85" s="13" t="s">
        <v>69</v>
      </c>
      <c r="B85" s="76">
        <f>B78</f>
        <v>0</v>
      </c>
      <c r="C85" s="44">
        <f>C78</f>
        <v>0</v>
      </c>
      <c r="D85" s="44">
        <f>D78</f>
        <v>0</v>
      </c>
      <c r="E85" s="44">
        <f>E78</f>
        <v>0</v>
      </c>
      <c r="F85" s="316">
        <f>B85+C85+D85+E85</f>
        <v>0</v>
      </c>
      <c r="G85" s="269">
        <f>G78</f>
        <v>0</v>
      </c>
      <c r="H85" s="270">
        <f>G85</f>
        <v>0</v>
      </c>
      <c r="I85" s="270">
        <f t="shared" ref="I85:J85" si="165">H85</f>
        <v>0</v>
      </c>
      <c r="J85" s="270">
        <f t="shared" si="165"/>
        <v>0</v>
      </c>
      <c r="K85" s="412">
        <f>G85+H85+I85+J85</f>
        <v>0</v>
      </c>
      <c r="L85" s="76">
        <f t="shared" ref="L85:AB85" si="166">L78</f>
        <v>0</v>
      </c>
      <c r="M85" s="44">
        <f t="shared" si="166"/>
        <v>0</v>
      </c>
      <c r="N85" s="44">
        <f t="shared" si="166"/>
        <v>0</v>
      </c>
      <c r="O85" s="133">
        <f t="shared" si="166"/>
        <v>0</v>
      </c>
      <c r="P85" s="426">
        <f t="shared" si="166"/>
        <v>0</v>
      </c>
      <c r="Q85" s="76">
        <f t="shared" si="166"/>
        <v>0</v>
      </c>
      <c r="R85" s="44">
        <f t="shared" si="166"/>
        <v>0</v>
      </c>
      <c r="S85" s="44">
        <f t="shared" si="166"/>
        <v>0</v>
      </c>
      <c r="T85" s="133">
        <f t="shared" si="166"/>
        <v>0</v>
      </c>
      <c r="U85" s="50">
        <f t="shared" si="166"/>
        <v>0</v>
      </c>
      <c r="V85" s="76">
        <v>0</v>
      </c>
      <c r="W85" s="44">
        <v>0</v>
      </c>
      <c r="X85" s="44">
        <v>0</v>
      </c>
      <c r="Y85" s="133">
        <v>0</v>
      </c>
      <c r="Z85" s="133">
        <f t="shared" si="166"/>
        <v>0</v>
      </c>
      <c r="AA85" s="413">
        <f t="shared" si="166"/>
        <v>0</v>
      </c>
      <c r="AB85" s="44">
        <f t="shared" si="166"/>
        <v>0</v>
      </c>
      <c r="AC85" s="50">
        <f t="shared" ref="AC85:AI85" si="167">AC82+AC83+AC84</f>
        <v>0</v>
      </c>
      <c r="AD85" s="50">
        <f t="shared" si="167"/>
        <v>1.65</v>
      </c>
      <c r="AE85" s="50">
        <f t="shared" si="167"/>
        <v>13.105540423207103</v>
      </c>
      <c r="AF85" s="50">
        <f t="shared" si="167"/>
        <v>35.904834785435469</v>
      </c>
      <c r="AG85" s="50">
        <f t="shared" si="167"/>
        <v>62.497669335386583</v>
      </c>
      <c r="AH85" s="50">
        <f t="shared" si="167"/>
        <v>81.751515425949663</v>
      </c>
      <c r="AI85" s="50">
        <f t="shared" si="167"/>
        <v>101.19999575318514</v>
      </c>
      <c r="AJ85" s="50">
        <f t="shared" ref="AJ85:AK85" si="168">AJ82+AJ83+AJ84</f>
        <v>120.76283489872601</v>
      </c>
      <c r="AK85" s="50">
        <f t="shared" si="168"/>
        <v>139.66241451034418</v>
      </c>
      <c r="AL85" s="50">
        <f t="shared" ref="AL85:AM85" si="169">AL82+AL83+AL84</f>
        <v>153.59474372504712</v>
      </c>
      <c r="AM85" s="50">
        <f t="shared" si="169"/>
        <v>167.34111270337979</v>
      </c>
      <c r="AN85" s="50">
        <f t="shared" ref="AN85:AO85" si="170">AN82+AN83+AN84</f>
        <v>181.10292745302166</v>
      </c>
      <c r="AO85" s="50">
        <f t="shared" si="170"/>
        <v>187.24476527661233</v>
      </c>
    </row>
    <row r="86" spans="1:41">
      <c r="A86" s="27" t="s">
        <v>267</v>
      </c>
    </row>
    <row r="87" spans="1:41" ht="15" thickBot="1"/>
    <row r="88" spans="1:41" ht="15" thickBot="1">
      <c r="A88" s="2" t="s">
        <v>153</v>
      </c>
      <c r="B88" s="76">
        <f t="shared" ref="B88:AI88" si="171">B20+B34</f>
        <v>0</v>
      </c>
      <c r="C88" s="44">
        <f t="shared" si="171"/>
        <v>0</v>
      </c>
      <c r="D88" s="44">
        <f t="shared" si="171"/>
        <v>0</v>
      </c>
      <c r="E88" s="133">
        <f t="shared" si="171"/>
        <v>0</v>
      </c>
      <c r="F88" s="133">
        <f t="shared" si="171"/>
        <v>0</v>
      </c>
      <c r="G88" s="76">
        <f t="shared" si="171"/>
        <v>0</v>
      </c>
      <c r="H88" s="44">
        <f t="shared" si="171"/>
        <v>0</v>
      </c>
      <c r="I88" s="44">
        <f t="shared" si="171"/>
        <v>0</v>
      </c>
      <c r="J88" s="133">
        <f t="shared" si="171"/>
        <v>0</v>
      </c>
      <c r="K88" s="133">
        <f>K20+K34</f>
        <v>1.0449999999999999</v>
      </c>
      <c r="L88" s="76">
        <f t="shared" si="171"/>
        <v>0.4</v>
      </c>
      <c r="M88" s="44">
        <f t="shared" si="171"/>
        <v>0.4</v>
      </c>
      <c r="N88" s="44">
        <f t="shared" si="171"/>
        <v>0.4</v>
      </c>
      <c r="O88" s="133">
        <f t="shared" si="171"/>
        <v>-0.11999999999999994</v>
      </c>
      <c r="P88" s="76">
        <f t="shared" si="171"/>
        <v>1.08</v>
      </c>
      <c r="Q88" s="605">
        <f t="shared" si="171"/>
        <v>0.17399999999999999</v>
      </c>
      <c r="R88" s="605">
        <f t="shared" si="171"/>
        <v>0.186</v>
      </c>
      <c r="S88" s="605">
        <f t="shared" si="171"/>
        <v>0.125</v>
      </c>
      <c r="T88" s="447">
        <f t="shared" si="171"/>
        <v>35.521000000000001</v>
      </c>
      <c r="U88" s="447">
        <f>U20+U34</f>
        <v>36.006</v>
      </c>
      <c r="V88" s="606">
        <f t="shared" ref="V88:Y88" si="172">V20+V34</f>
        <v>2</v>
      </c>
      <c r="W88" s="605">
        <f t="shared" si="172"/>
        <v>2</v>
      </c>
      <c r="X88" s="605">
        <f t="shared" si="172"/>
        <v>2</v>
      </c>
      <c r="Y88" s="447">
        <f t="shared" si="172"/>
        <v>2</v>
      </c>
      <c r="Z88" s="448">
        <f t="shared" si="171"/>
        <v>8</v>
      </c>
      <c r="AA88" s="448">
        <f t="shared" si="171"/>
        <v>8.4</v>
      </c>
      <c r="AB88" s="448">
        <f t="shared" si="171"/>
        <v>8.82</v>
      </c>
      <c r="AC88" s="448">
        <f t="shared" si="171"/>
        <v>9.261000000000001</v>
      </c>
      <c r="AD88" s="448">
        <f>AD20+AD34</f>
        <v>9.7240500000000019</v>
      </c>
      <c r="AE88" s="448">
        <f t="shared" si="171"/>
        <v>10.210252500000003</v>
      </c>
      <c r="AF88" s="448">
        <f t="shared" si="171"/>
        <v>10.720765125000003</v>
      </c>
      <c r="AG88" s="448">
        <f t="shared" si="171"/>
        <v>11.095991904375005</v>
      </c>
      <c r="AH88" s="448">
        <f t="shared" si="171"/>
        <v>11.485155678412506</v>
      </c>
      <c r="AI88" s="448">
        <f t="shared" si="171"/>
        <v>11.82971034876488</v>
      </c>
      <c r="AJ88" s="448">
        <f t="shared" ref="AJ88:AK88" si="173">AJ20+AJ34</f>
        <v>12.184601659227827</v>
      </c>
      <c r="AK88" s="448">
        <f t="shared" si="173"/>
        <v>12.550139709004663</v>
      </c>
      <c r="AL88" s="50">
        <f t="shared" ref="AL88:AM88" si="174">AL20+AL34</f>
        <v>12.926643900274803</v>
      </c>
      <c r="AM88" s="50">
        <f t="shared" si="174"/>
        <v>13.314443217283049</v>
      </c>
      <c r="AN88" s="50">
        <f t="shared" ref="AN88:AO88" si="175">AN20+AN34</f>
        <v>13.713876513801541</v>
      </c>
      <c r="AO88" s="50">
        <f t="shared" si="175"/>
        <v>14.125292809215587</v>
      </c>
    </row>
    <row r="90" spans="1:41" s="1" customFormat="1" hidden="1" outlineLevel="1">
      <c r="A90" s="121" t="s">
        <v>142</v>
      </c>
      <c r="B90" s="58"/>
      <c r="C90" s="58"/>
      <c r="D90" s="58"/>
      <c r="E90" s="58"/>
      <c r="F90" s="58">
        <f>F22-'INCOME STATEMENT'!F13</f>
        <v>0</v>
      </c>
      <c r="G90" s="58"/>
      <c r="H90" s="58"/>
      <c r="I90" s="58"/>
      <c r="J90" s="58"/>
      <c r="K90" s="58">
        <f>K22-'INCOME STATEMENT'!K13</f>
        <v>0</v>
      </c>
      <c r="L90" s="58"/>
      <c r="M90" s="58"/>
      <c r="N90" s="58"/>
      <c r="O90" s="58"/>
      <c r="P90" s="58">
        <f>P22-'INCOME STATEMENT'!P13</f>
        <v>0</v>
      </c>
      <c r="Q90" s="58"/>
      <c r="R90" s="58"/>
      <c r="S90" s="58"/>
      <c r="T90" s="58"/>
      <c r="U90" s="58">
        <f>U22-'INCOME STATEMENT'!U13</f>
        <v>0</v>
      </c>
      <c r="V90" s="58"/>
      <c r="W90" s="58"/>
      <c r="X90" s="58"/>
      <c r="Y90" s="58"/>
      <c r="Z90" s="58">
        <f>Z22-'INCOME STATEMENT'!Z13</f>
        <v>0</v>
      </c>
      <c r="AA90" s="58">
        <f>AA22-'INCOME STATEMENT'!AA13</f>
        <v>0</v>
      </c>
      <c r="AB90" s="58">
        <f>AB22-'INCOME STATEMENT'!AB13</f>
        <v>0</v>
      </c>
      <c r="AC90" s="58">
        <f>AC22-'INCOME STATEMENT'!AC13</f>
        <v>0</v>
      </c>
      <c r="AD90" s="58">
        <f>AD22-'INCOME STATEMENT'!AD13</f>
        <v>0</v>
      </c>
      <c r="AE90" s="58">
        <f>AE22-'INCOME STATEMENT'!AE13</f>
        <v>0</v>
      </c>
      <c r="AF90" s="58">
        <f>AF22-'INCOME STATEMENT'!AF13</f>
        <v>0</v>
      </c>
      <c r="AG90" s="58">
        <f>AG22-'INCOME STATEMENT'!AG13</f>
        <v>0</v>
      </c>
      <c r="AH90" s="58">
        <f>AH22-'INCOME STATEMENT'!AH13</f>
        <v>0</v>
      </c>
      <c r="AI90" s="58">
        <f>AI22-'INCOME STATEMENT'!AI13</f>
        <v>0</v>
      </c>
    </row>
    <row r="91" spans="1:41" hidden="1" outlineLevel="1">
      <c r="A91" s="122" t="s">
        <v>143</v>
      </c>
      <c r="B91" s="58"/>
      <c r="C91" s="58"/>
      <c r="D91" s="58"/>
      <c r="E91" s="58"/>
      <c r="F91" s="58">
        <f>F67-'INCOME STATEMENT'!F12</f>
        <v>0</v>
      </c>
      <c r="G91" s="58"/>
      <c r="H91" s="58"/>
      <c r="I91" s="58"/>
      <c r="J91" s="58"/>
      <c r="K91" s="58">
        <f>K67-'INCOME STATEMENT'!K12</f>
        <v>0</v>
      </c>
      <c r="L91" s="58"/>
      <c r="M91" s="58"/>
      <c r="N91" s="58"/>
      <c r="O91" s="58"/>
      <c r="P91" s="58">
        <f>P67-'INCOME STATEMENT'!P12</f>
        <v>0</v>
      </c>
      <c r="Q91" s="58"/>
      <c r="R91" s="58"/>
      <c r="S91" s="58"/>
      <c r="T91" s="58"/>
      <c r="U91" s="58">
        <f>U67-'INCOME STATEMENT'!U12</f>
        <v>-4.5999999999999375E-2</v>
      </c>
      <c r="V91" s="58"/>
      <c r="W91" s="58"/>
      <c r="X91" s="58"/>
      <c r="Y91" s="58"/>
      <c r="Z91" s="58">
        <f>Z67-'INCOME STATEMENT'!Z12</f>
        <v>0</v>
      </c>
      <c r="AA91" s="58">
        <f>AA67-'INCOME STATEMENT'!AA12</f>
        <v>0</v>
      </c>
      <c r="AB91" s="58">
        <f>AB67-'INCOME STATEMENT'!AB12</f>
        <v>0</v>
      </c>
      <c r="AC91" s="58">
        <f>AC67-'INCOME STATEMENT'!AC12</f>
        <v>0</v>
      </c>
      <c r="AD91" s="58">
        <f>AD67-'INCOME STATEMENT'!AD12</f>
        <v>0</v>
      </c>
      <c r="AE91" s="58">
        <f>AE67-'INCOME STATEMENT'!AE12</f>
        <v>0</v>
      </c>
      <c r="AF91" s="58">
        <f>AF67-'INCOME STATEMENT'!AF12</f>
        <v>0</v>
      </c>
      <c r="AG91" s="58">
        <f>AG67-'INCOME STATEMENT'!AG12</f>
        <v>0</v>
      </c>
      <c r="AH91" s="58">
        <f>AH67-'INCOME STATEMENT'!AH12</f>
        <v>0</v>
      </c>
      <c r="AI91" s="58">
        <f>AI67-'INCOME STATEMENT'!AI12</f>
        <v>0</v>
      </c>
    </row>
    <row r="92" spans="1:41" hidden="1" outlineLevel="1">
      <c r="A92" s="122" t="s">
        <v>144</v>
      </c>
      <c r="B92" s="58"/>
      <c r="C92" s="58"/>
      <c r="D92" s="58"/>
      <c r="E92" s="58"/>
      <c r="F92" s="58">
        <f>F85-'INCOME STATEMENT'!F9</f>
        <v>0</v>
      </c>
      <c r="G92" s="58"/>
      <c r="H92" s="58"/>
      <c r="I92" s="58"/>
      <c r="J92" s="58"/>
      <c r="K92" s="58">
        <f>K85-'INCOME STATEMENT'!K9</f>
        <v>0</v>
      </c>
      <c r="L92" s="58"/>
      <c r="M92" s="58"/>
      <c r="N92" s="58"/>
      <c r="O92" s="58"/>
      <c r="P92" s="58">
        <f>P85-'INCOME STATEMENT'!P9</f>
        <v>0</v>
      </c>
      <c r="Q92" s="58"/>
      <c r="R92" s="58"/>
      <c r="S92" s="58"/>
      <c r="T92" s="58"/>
      <c r="U92" s="58">
        <f>U85-'INCOME STATEMENT'!U9</f>
        <v>0</v>
      </c>
      <c r="V92" s="58"/>
      <c r="W92" s="58"/>
      <c r="X92" s="58"/>
      <c r="Y92" s="58"/>
      <c r="Z92" s="58">
        <f>Z85-'INCOME STATEMENT'!Z9</f>
        <v>0</v>
      </c>
      <c r="AA92" s="58">
        <f>AA85-'INCOME STATEMENT'!AA9</f>
        <v>0</v>
      </c>
      <c r="AB92" s="58">
        <f>AB85-'INCOME STATEMENT'!AB9</f>
        <v>0</v>
      </c>
      <c r="AC92" s="58">
        <f>AC85-'INCOME STATEMENT'!AC9</f>
        <v>0</v>
      </c>
      <c r="AD92" s="58">
        <f>AD85-'INCOME STATEMENT'!AD9</f>
        <v>0</v>
      </c>
      <c r="AE92" s="58">
        <f>AE85-'INCOME STATEMENT'!AE9</f>
        <v>0</v>
      </c>
      <c r="AF92" s="58">
        <f>AF85-'INCOME STATEMENT'!AF9</f>
        <v>0</v>
      </c>
      <c r="AG92" s="58">
        <f>AG85-'INCOME STATEMENT'!AG9</f>
        <v>0</v>
      </c>
      <c r="AH92" s="58">
        <f>AH85-'INCOME STATEMENT'!AH9</f>
        <v>0</v>
      </c>
      <c r="AI92" s="58">
        <f>AI85-'INCOME STATEMENT'!AI9</f>
        <v>0</v>
      </c>
    </row>
    <row r="93" spans="1:41" collapsed="1"/>
    <row r="94" spans="1:41" ht="15" thickBot="1"/>
    <row r="95" spans="1:41" ht="15" thickBot="1">
      <c r="A95" s="437" t="s">
        <v>347</v>
      </c>
      <c r="P95" s="50">
        <f>P69+P88</f>
        <v>84.025999999999996</v>
      </c>
      <c r="U95" s="50">
        <f>U69+U88</f>
        <v>205.04299999999998</v>
      </c>
      <c r="V95" s="22"/>
      <c r="W95" s="22"/>
      <c r="X95" s="22"/>
      <c r="Y95" s="22"/>
      <c r="Z95" s="50">
        <f>Z69+Z88</f>
        <v>180.8</v>
      </c>
    </row>
    <row r="143" spans="29:29">
      <c r="AC143">
        <f>-77.58/-6.27</f>
        <v>12.373205741626794</v>
      </c>
    </row>
  </sheetData>
  <phoneticPr fontId="174" type="noConversion"/>
  <pageMargins left="0.7" right="0.7" top="0.75" bottom="0.75" header="0.3" footer="0.3"/>
  <pageSetup scale="45"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B15BE-6AE1-4E07-874A-BAFEF4D7A785}">
  <dimension ref="A2:Y111"/>
  <sheetViews>
    <sheetView topLeftCell="A76" workbookViewId="0">
      <pane xSplit="1" ySplit="2" topLeftCell="I78" activePane="bottomRight" state="frozen"/>
      <selection activeCell="A76" sqref="A76"/>
      <selection pane="topRight" activeCell="B76" sqref="B76"/>
      <selection pane="bottomLeft" activeCell="A78" sqref="A78"/>
      <selection pane="bottomRight" activeCell="N89" sqref="N89"/>
    </sheetView>
  </sheetViews>
  <sheetFormatPr defaultRowHeight="14.5" outlineLevelRow="2"/>
  <cols>
    <col min="1" max="1" width="40.1796875" customWidth="1"/>
    <col min="2" max="2" width="8.81640625" bestFit="1" customWidth="1"/>
    <col min="3" max="3" width="11.26953125" customWidth="1"/>
    <col min="9" max="9" width="9.81640625" bestFit="1" customWidth="1"/>
    <col min="10" max="10" width="9.7265625" bestFit="1" customWidth="1"/>
    <col min="11" max="18" width="10.7265625" bestFit="1" customWidth="1"/>
  </cols>
  <sheetData>
    <row r="2" spans="1:18" ht="15" hidden="1" outlineLevel="1" thickBot="1">
      <c r="A2" s="13" t="s">
        <v>296</v>
      </c>
      <c r="B2" s="26" t="s">
        <v>0</v>
      </c>
      <c r="C2" s="132" t="s">
        <v>1</v>
      </c>
      <c r="D2" s="132" t="s">
        <v>2</v>
      </c>
      <c r="E2" s="132" t="s">
        <v>3</v>
      </c>
      <c r="F2" s="132" t="s">
        <v>4</v>
      </c>
      <c r="G2" s="132" t="s">
        <v>5</v>
      </c>
      <c r="H2" s="132" t="s">
        <v>6</v>
      </c>
      <c r="I2" s="132" t="s">
        <v>103</v>
      </c>
      <c r="J2" s="132" t="s">
        <v>104</v>
      </c>
      <c r="K2" s="132" t="s">
        <v>105</v>
      </c>
      <c r="L2" s="132" t="s">
        <v>106</v>
      </c>
      <c r="M2" s="132" t="s">
        <v>107</v>
      </c>
      <c r="N2" s="132" t="s">
        <v>148</v>
      </c>
      <c r="O2" s="132" t="s">
        <v>270</v>
      </c>
      <c r="P2" s="132" t="s">
        <v>283</v>
      </c>
      <c r="Q2" s="132" t="s">
        <v>284</v>
      </c>
      <c r="R2" s="4" t="s">
        <v>285</v>
      </c>
    </row>
    <row r="3" spans="1:18" hidden="1" outlineLevel="2">
      <c r="A3" s="106"/>
      <c r="B3" s="158"/>
      <c r="C3" s="159"/>
      <c r="D3" s="159"/>
      <c r="E3" s="159"/>
      <c r="F3" s="159"/>
      <c r="G3" s="159"/>
      <c r="H3" s="159"/>
      <c r="I3" s="159"/>
      <c r="J3" s="159"/>
      <c r="K3" s="159"/>
      <c r="L3" s="159"/>
      <c r="M3" s="159"/>
      <c r="N3" s="159"/>
      <c r="O3" s="159"/>
      <c r="P3" s="159"/>
      <c r="Q3" s="159"/>
      <c r="R3" s="331"/>
    </row>
    <row r="4" spans="1:18" hidden="1" outlineLevel="2">
      <c r="A4" s="52" t="s">
        <v>297</v>
      </c>
      <c r="B4" s="385">
        <v>6000000</v>
      </c>
      <c r="C4" s="41">
        <f>B4*(1+C5)</f>
        <v>6005999.9999999991</v>
      </c>
      <c r="D4" s="41">
        <f t="shared" ref="D4:R4" si="0">C4*(1+D5)</f>
        <v>6012005.9999999981</v>
      </c>
      <c r="E4" s="41">
        <f t="shared" si="0"/>
        <v>6018018.0059999973</v>
      </c>
      <c r="F4" s="41">
        <f t="shared" si="0"/>
        <v>6024036.024005997</v>
      </c>
      <c r="G4" s="41">
        <f t="shared" si="0"/>
        <v>6030060.0600300021</v>
      </c>
      <c r="H4" s="41">
        <f t="shared" si="0"/>
        <v>6036090.1200900311</v>
      </c>
      <c r="I4" s="41">
        <f t="shared" si="0"/>
        <v>6042126.2102101203</v>
      </c>
      <c r="J4" s="41">
        <f t="shared" si="0"/>
        <v>6048168.3364203302</v>
      </c>
      <c r="K4" s="41">
        <f t="shared" si="0"/>
        <v>6054216.5047567496</v>
      </c>
      <c r="L4" s="41">
        <f t="shared" si="0"/>
        <v>6060270.721261506</v>
      </c>
      <c r="M4" s="41">
        <f t="shared" si="0"/>
        <v>6066330.9919827664</v>
      </c>
      <c r="N4" s="41">
        <f t="shared" si="0"/>
        <v>6072397.3229747489</v>
      </c>
      <c r="O4" s="41">
        <f t="shared" si="0"/>
        <v>6078469.7202977231</v>
      </c>
      <c r="P4" s="41">
        <f t="shared" si="0"/>
        <v>6084548.1900180206</v>
      </c>
      <c r="Q4" s="41">
        <f t="shared" si="0"/>
        <v>6090632.7382080378</v>
      </c>
      <c r="R4" s="251">
        <f t="shared" si="0"/>
        <v>6096723.3709462453</v>
      </c>
    </row>
    <row r="5" spans="1:18" hidden="1" outlineLevel="2">
      <c r="A5" s="155" t="s">
        <v>101</v>
      </c>
      <c r="B5" s="385"/>
      <c r="C5" s="369">
        <v>1E-3</v>
      </c>
      <c r="D5" s="369">
        <v>1E-3</v>
      </c>
      <c r="E5" s="369">
        <v>1E-3</v>
      </c>
      <c r="F5" s="369">
        <v>1E-3</v>
      </c>
      <c r="G5" s="369">
        <v>1E-3</v>
      </c>
      <c r="H5" s="369">
        <v>1E-3</v>
      </c>
      <c r="I5" s="369">
        <v>1E-3</v>
      </c>
      <c r="J5" s="369">
        <v>1E-3</v>
      </c>
      <c r="K5" s="369">
        <v>1E-3</v>
      </c>
      <c r="L5" s="369">
        <v>1E-3</v>
      </c>
      <c r="M5" s="369">
        <v>1E-3</v>
      </c>
      <c r="N5" s="369">
        <v>1E-3</v>
      </c>
      <c r="O5" s="369">
        <v>1E-3</v>
      </c>
      <c r="P5" s="369">
        <v>1E-3</v>
      </c>
      <c r="Q5" s="369">
        <v>1E-3</v>
      </c>
      <c r="R5" s="370">
        <v>1E-3</v>
      </c>
    </row>
    <row r="6" spans="1:18" hidden="1" outlineLevel="2">
      <c r="A6" s="52"/>
      <c r="B6" s="386"/>
      <c r="C6" s="84"/>
      <c r="D6" s="84"/>
      <c r="E6" s="84"/>
      <c r="F6" s="84"/>
      <c r="G6" s="84"/>
      <c r="H6" s="84"/>
      <c r="I6" s="84"/>
      <c r="J6" s="84"/>
      <c r="K6" s="84"/>
      <c r="L6" s="84"/>
      <c r="M6" s="84"/>
      <c r="N6" s="84"/>
      <c r="O6" s="84"/>
      <c r="P6" s="84"/>
      <c r="Q6" s="84"/>
      <c r="R6" s="387"/>
    </row>
    <row r="7" spans="1:18" hidden="1" outlineLevel="2">
      <c r="A7" s="52" t="s">
        <v>298</v>
      </c>
      <c r="B7" s="388">
        <v>0.95</v>
      </c>
      <c r="C7" s="383">
        <f>B7</f>
        <v>0.95</v>
      </c>
      <c r="D7" s="383">
        <f t="shared" ref="D7:R7" si="1">C7</f>
        <v>0.95</v>
      </c>
      <c r="E7" s="383">
        <f t="shared" si="1"/>
        <v>0.95</v>
      </c>
      <c r="F7" s="383">
        <f t="shared" si="1"/>
        <v>0.95</v>
      </c>
      <c r="G7" s="383">
        <f t="shared" si="1"/>
        <v>0.95</v>
      </c>
      <c r="H7" s="383">
        <f t="shared" si="1"/>
        <v>0.95</v>
      </c>
      <c r="I7" s="383">
        <f t="shared" si="1"/>
        <v>0.95</v>
      </c>
      <c r="J7" s="383">
        <f t="shared" si="1"/>
        <v>0.95</v>
      </c>
      <c r="K7" s="383">
        <f t="shared" si="1"/>
        <v>0.95</v>
      </c>
      <c r="L7" s="383">
        <f t="shared" si="1"/>
        <v>0.95</v>
      </c>
      <c r="M7" s="383">
        <f t="shared" si="1"/>
        <v>0.95</v>
      </c>
      <c r="N7" s="383">
        <f t="shared" si="1"/>
        <v>0.95</v>
      </c>
      <c r="O7" s="383">
        <f t="shared" si="1"/>
        <v>0.95</v>
      </c>
      <c r="P7" s="383">
        <f t="shared" si="1"/>
        <v>0.95</v>
      </c>
      <c r="Q7" s="383">
        <f t="shared" si="1"/>
        <v>0.95</v>
      </c>
      <c r="R7" s="389">
        <f t="shared" si="1"/>
        <v>0.95</v>
      </c>
    </row>
    <row r="8" spans="1:18" hidden="1" outlineLevel="2">
      <c r="A8" s="52" t="s">
        <v>299</v>
      </c>
      <c r="B8" s="385">
        <f>B4*B7</f>
        <v>5700000</v>
      </c>
      <c r="C8" s="382">
        <f t="shared" ref="C8:R8" si="2">C4*C7</f>
        <v>5705699.9999999991</v>
      </c>
      <c r="D8" s="382">
        <f t="shared" si="2"/>
        <v>5711405.6999999983</v>
      </c>
      <c r="E8" s="382">
        <f t="shared" si="2"/>
        <v>5717117.1056999974</v>
      </c>
      <c r="F8" s="382">
        <f t="shared" si="2"/>
        <v>5722834.2228056965</v>
      </c>
      <c r="G8" s="382">
        <f t="shared" si="2"/>
        <v>5728557.0570285022</v>
      </c>
      <c r="H8" s="382">
        <f t="shared" si="2"/>
        <v>5734285.614085529</v>
      </c>
      <c r="I8" s="382">
        <f t="shared" si="2"/>
        <v>5740019.8996996144</v>
      </c>
      <c r="J8" s="382">
        <f t="shared" si="2"/>
        <v>5745759.9195993133</v>
      </c>
      <c r="K8" s="382">
        <f t="shared" si="2"/>
        <v>5751505.679518912</v>
      </c>
      <c r="L8" s="382">
        <f t="shared" si="2"/>
        <v>5757257.18519843</v>
      </c>
      <c r="M8" s="382">
        <f t="shared" si="2"/>
        <v>5763014.4423836274</v>
      </c>
      <c r="N8" s="382">
        <f t="shared" si="2"/>
        <v>5768777.4568260117</v>
      </c>
      <c r="O8" s="382">
        <f t="shared" si="2"/>
        <v>5774546.2342828363</v>
      </c>
      <c r="P8" s="382">
        <f t="shared" si="2"/>
        <v>5780320.780517119</v>
      </c>
      <c r="Q8" s="382">
        <f t="shared" si="2"/>
        <v>5786101.1012976356</v>
      </c>
      <c r="R8" s="390">
        <f t="shared" si="2"/>
        <v>5791887.2023989325</v>
      </c>
    </row>
    <row r="9" spans="1:18" hidden="1" outlineLevel="2">
      <c r="A9" s="52"/>
      <c r="B9" s="386"/>
      <c r="C9" s="84"/>
      <c r="D9" s="84"/>
      <c r="E9" s="84"/>
      <c r="F9" s="84"/>
      <c r="G9" s="84"/>
      <c r="H9" s="84"/>
      <c r="I9" s="84"/>
      <c r="J9" s="84"/>
      <c r="K9" s="84"/>
      <c r="L9" s="84"/>
      <c r="M9" s="84"/>
      <c r="N9" s="84"/>
      <c r="O9" s="84"/>
      <c r="P9" s="84"/>
      <c r="Q9" s="84"/>
      <c r="R9" s="387"/>
    </row>
    <row r="10" spans="1:18" hidden="1" outlineLevel="2">
      <c r="A10" s="52" t="s">
        <v>300</v>
      </c>
      <c r="B10" s="388">
        <v>0.09</v>
      </c>
      <c r="C10" s="383">
        <f>B10</f>
        <v>0.09</v>
      </c>
      <c r="D10" s="383">
        <f t="shared" ref="D10:R10" si="3">C10</f>
        <v>0.09</v>
      </c>
      <c r="E10" s="383">
        <f t="shared" si="3"/>
        <v>0.09</v>
      </c>
      <c r="F10" s="383">
        <f t="shared" si="3"/>
        <v>0.09</v>
      </c>
      <c r="G10" s="383">
        <f t="shared" si="3"/>
        <v>0.09</v>
      </c>
      <c r="H10" s="383">
        <f t="shared" si="3"/>
        <v>0.09</v>
      </c>
      <c r="I10" s="383">
        <f t="shared" si="3"/>
        <v>0.09</v>
      </c>
      <c r="J10" s="383">
        <f t="shared" si="3"/>
        <v>0.09</v>
      </c>
      <c r="K10" s="383">
        <f t="shared" si="3"/>
        <v>0.09</v>
      </c>
      <c r="L10" s="383">
        <f t="shared" si="3"/>
        <v>0.09</v>
      </c>
      <c r="M10" s="383">
        <f t="shared" si="3"/>
        <v>0.09</v>
      </c>
      <c r="N10" s="383">
        <f t="shared" si="3"/>
        <v>0.09</v>
      </c>
      <c r="O10" s="383">
        <f t="shared" si="3"/>
        <v>0.09</v>
      </c>
      <c r="P10" s="383">
        <f t="shared" si="3"/>
        <v>0.09</v>
      </c>
      <c r="Q10" s="383">
        <f t="shared" si="3"/>
        <v>0.09</v>
      </c>
      <c r="R10" s="389">
        <f t="shared" si="3"/>
        <v>0.09</v>
      </c>
    </row>
    <row r="11" spans="1:18" hidden="1" outlineLevel="2">
      <c r="A11" s="52" t="s">
        <v>301</v>
      </c>
      <c r="B11" s="385">
        <f>B8*B10</f>
        <v>513000</v>
      </c>
      <c r="C11" s="382">
        <f t="shared" ref="C11:R11" si="4">C8*C10</f>
        <v>513512.99999999988</v>
      </c>
      <c r="D11" s="382">
        <f t="shared" si="4"/>
        <v>514026.5129999998</v>
      </c>
      <c r="E11" s="382">
        <f t="shared" si="4"/>
        <v>514540.53951299976</v>
      </c>
      <c r="F11" s="382">
        <f t="shared" si="4"/>
        <v>515055.0800525127</v>
      </c>
      <c r="G11" s="382">
        <f t="shared" si="4"/>
        <v>515570.13513256516</v>
      </c>
      <c r="H11" s="382">
        <f t="shared" si="4"/>
        <v>516085.70526769757</v>
      </c>
      <c r="I11" s="382">
        <f t="shared" si="4"/>
        <v>516601.7909729653</v>
      </c>
      <c r="J11" s="382">
        <f t="shared" si="4"/>
        <v>517118.39276393817</v>
      </c>
      <c r="K11" s="382">
        <f t="shared" si="4"/>
        <v>517635.51115670206</v>
      </c>
      <c r="L11" s="382">
        <f t="shared" si="4"/>
        <v>518153.1466678587</v>
      </c>
      <c r="M11" s="382">
        <f t="shared" si="4"/>
        <v>518671.29981452646</v>
      </c>
      <c r="N11" s="382">
        <f t="shared" si="4"/>
        <v>519189.97111434105</v>
      </c>
      <c r="O11" s="382">
        <f t="shared" si="4"/>
        <v>519709.16108545527</v>
      </c>
      <c r="P11" s="382">
        <f t="shared" si="4"/>
        <v>520228.8702465407</v>
      </c>
      <c r="Q11" s="382">
        <f t="shared" si="4"/>
        <v>520749.0991167872</v>
      </c>
      <c r="R11" s="390">
        <f t="shared" si="4"/>
        <v>521269.84821590391</v>
      </c>
    </row>
    <row r="12" spans="1:18" hidden="1" outlineLevel="2">
      <c r="A12" s="52"/>
      <c r="B12" s="386"/>
      <c r="C12" s="84"/>
      <c r="D12" s="84"/>
      <c r="E12" s="84"/>
      <c r="F12" s="84"/>
      <c r="G12" s="84"/>
      <c r="H12" s="84"/>
      <c r="I12" s="84"/>
      <c r="J12" s="84"/>
      <c r="K12" s="84"/>
      <c r="L12" s="84"/>
      <c r="M12" s="84"/>
      <c r="N12" s="84"/>
      <c r="O12" s="84"/>
      <c r="P12" s="84"/>
      <c r="Q12" s="84"/>
      <c r="R12" s="387"/>
    </row>
    <row r="13" spans="1:18" hidden="1" outlineLevel="2">
      <c r="A13" s="52" t="s">
        <v>302</v>
      </c>
      <c r="B13" s="388">
        <v>0.05</v>
      </c>
      <c r="C13" s="383">
        <f>B13</f>
        <v>0.05</v>
      </c>
      <c r="D13" s="383">
        <f t="shared" ref="D13:R13" si="5">C13</f>
        <v>0.05</v>
      </c>
      <c r="E13" s="383">
        <f t="shared" si="5"/>
        <v>0.05</v>
      </c>
      <c r="F13" s="383">
        <f t="shared" si="5"/>
        <v>0.05</v>
      </c>
      <c r="G13" s="383">
        <f t="shared" si="5"/>
        <v>0.05</v>
      </c>
      <c r="H13" s="383">
        <f t="shared" si="5"/>
        <v>0.05</v>
      </c>
      <c r="I13" s="383">
        <f t="shared" si="5"/>
        <v>0.05</v>
      </c>
      <c r="J13" s="383">
        <f t="shared" si="5"/>
        <v>0.05</v>
      </c>
      <c r="K13" s="383">
        <f t="shared" si="5"/>
        <v>0.05</v>
      </c>
      <c r="L13" s="383">
        <f t="shared" si="5"/>
        <v>0.05</v>
      </c>
      <c r="M13" s="383">
        <f t="shared" si="5"/>
        <v>0.05</v>
      </c>
      <c r="N13" s="383">
        <f t="shared" si="5"/>
        <v>0.05</v>
      </c>
      <c r="O13" s="383">
        <f t="shared" si="5"/>
        <v>0.05</v>
      </c>
      <c r="P13" s="383">
        <f t="shared" si="5"/>
        <v>0.05</v>
      </c>
      <c r="Q13" s="383">
        <f t="shared" si="5"/>
        <v>0.05</v>
      </c>
      <c r="R13" s="389">
        <f t="shared" si="5"/>
        <v>0.05</v>
      </c>
    </row>
    <row r="14" spans="1:18" hidden="1" outlineLevel="2">
      <c r="A14" s="52" t="s">
        <v>303</v>
      </c>
      <c r="B14" s="385">
        <f>B4*B13</f>
        <v>300000</v>
      </c>
      <c r="C14" s="382">
        <f t="shared" ref="C14:R14" si="6">C4*C13</f>
        <v>300299.99999999994</v>
      </c>
      <c r="D14" s="382">
        <f t="shared" si="6"/>
        <v>300600.29999999993</v>
      </c>
      <c r="E14" s="382">
        <f t="shared" si="6"/>
        <v>300900.90029999986</v>
      </c>
      <c r="F14" s="382">
        <f t="shared" si="6"/>
        <v>301201.80120029987</v>
      </c>
      <c r="G14" s="382">
        <f t="shared" si="6"/>
        <v>301503.0030015001</v>
      </c>
      <c r="H14" s="382">
        <f t="shared" si="6"/>
        <v>301804.50600450154</v>
      </c>
      <c r="I14" s="382">
        <f t="shared" si="6"/>
        <v>302106.31051050604</v>
      </c>
      <c r="J14" s="382">
        <f t="shared" si="6"/>
        <v>302408.41682101652</v>
      </c>
      <c r="K14" s="382">
        <f t="shared" si="6"/>
        <v>302710.8252378375</v>
      </c>
      <c r="L14" s="382">
        <f t="shared" si="6"/>
        <v>303013.5360630753</v>
      </c>
      <c r="M14" s="382">
        <f t="shared" si="6"/>
        <v>303316.54959913832</v>
      </c>
      <c r="N14" s="382">
        <f t="shared" si="6"/>
        <v>303619.86614873743</v>
      </c>
      <c r="O14" s="382">
        <f t="shared" si="6"/>
        <v>303923.48601488618</v>
      </c>
      <c r="P14" s="382">
        <f t="shared" si="6"/>
        <v>304227.40950090106</v>
      </c>
      <c r="Q14" s="382">
        <f t="shared" si="6"/>
        <v>304531.63691040192</v>
      </c>
      <c r="R14" s="390">
        <f t="shared" si="6"/>
        <v>304836.16854731226</v>
      </c>
    </row>
    <row r="15" spans="1:18" hidden="1" outlineLevel="2">
      <c r="A15" s="52"/>
      <c r="B15" s="386"/>
      <c r="C15" s="84"/>
      <c r="D15" s="84"/>
      <c r="E15" s="84"/>
      <c r="F15" s="84"/>
      <c r="G15" s="84"/>
      <c r="H15" s="84"/>
      <c r="I15" s="84"/>
      <c r="J15" s="84"/>
      <c r="K15" s="84"/>
      <c r="L15" s="84"/>
      <c r="M15" s="84"/>
      <c r="N15" s="84"/>
      <c r="O15" s="84"/>
      <c r="P15" s="84"/>
      <c r="Q15" s="84"/>
      <c r="R15" s="387"/>
    </row>
    <row r="16" spans="1:18" hidden="1" outlineLevel="2">
      <c r="A16" s="52" t="s">
        <v>304</v>
      </c>
      <c r="B16" s="391">
        <v>0.189</v>
      </c>
      <c r="C16" s="384">
        <f>B16</f>
        <v>0.189</v>
      </c>
      <c r="D16" s="384">
        <f t="shared" ref="D16:R16" si="7">C16</f>
        <v>0.189</v>
      </c>
      <c r="E16" s="384">
        <f t="shared" si="7"/>
        <v>0.189</v>
      </c>
      <c r="F16" s="384">
        <f t="shared" si="7"/>
        <v>0.189</v>
      </c>
      <c r="G16" s="384">
        <f t="shared" si="7"/>
        <v>0.189</v>
      </c>
      <c r="H16" s="384">
        <f t="shared" si="7"/>
        <v>0.189</v>
      </c>
      <c r="I16" s="384">
        <f t="shared" si="7"/>
        <v>0.189</v>
      </c>
      <c r="J16" s="384">
        <f t="shared" si="7"/>
        <v>0.189</v>
      </c>
      <c r="K16" s="384">
        <f t="shared" si="7"/>
        <v>0.189</v>
      </c>
      <c r="L16" s="384">
        <f t="shared" si="7"/>
        <v>0.189</v>
      </c>
      <c r="M16" s="384">
        <f t="shared" si="7"/>
        <v>0.189</v>
      </c>
      <c r="N16" s="384">
        <f t="shared" si="7"/>
        <v>0.189</v>
      </c>
      <c r="O16" s="384">
        <f t="shared" si="7"/>
        <v>0.189</v>
      </c>
      <c r="P16" s="384">
        <f t="shared" si="7"/>
        <v>0.189</v>
      </c>
      <c r="Q16" s="384">
        <f t="shared" si="7"/>
        <v>0.189</v>
      </c>
      <c r="R16" s="392">
        <f t="shared" si="7"/>
        <v>0.189</v>
      </c>
    </row>
    <row r="17" spans="1:18" hidden="1" outlineLevel="2">
      <c r="A17" s="52" t="s">
        <v>305</v>
      </c>
      <c r="B17" s="385">
        <f>B14*B16</f>
        <v>56700</v>
      </c>
      <c r="C17" s="382">
        <f t="shared" ref="C17" si="8">C14*C16</f>
        <v>56756.69999999999</v>
      </c>
      <c r="D17" s="382">
        <f t="shared" ref="D17" si="9">D14*D16</f>
        <v>56813.456699999988</v>
      </c>
      <c r="E17" s="382">
        <f t="shared" ref="E17" si="10">E14*E16</f>
        <v>56870.270156699975</v>
      </c>
      <c r="F17" s="382">
        <f t="shared" ref="F17" si="11">F14*F16</f>
        <v>56927.140426856677</v>
      </c>
      <c r="G17" s="382">
        <f t="shared" ref="G17" si="12">G14*G16</f>
        <v>56984.06756728352</v>
      </c>
      <c r="H17" s="382">
        <f t="shared" ref="H17" si="13">H14*H16</f>
        <v>57041.051634850795</v>
      </c>
      <c r="I17" s="382">
        <f t="shared" ref="I17" si="14">I14*I16</f>
        <v>57098.092686485645</v>
      </c>
      <c r="J17" s="382">
        <f t="shared" ref="J17" si="15">J14*J16</f>
        <v>57155.190779172124</v>
      </c>
      <c r="K17" s="382">
        <f t="shared" ref="K17" si="16">K14*K16</f>
        <v>57212.34596995129</v>
      </c>
      <c r="L17" s="382">
        <f t="shared" ref="L17" si="17">L14*L16</f>
        <v>57269.558315921233</v>
      </c>
      <c r="M17" s="382">
        <f t="shared" ref="M17" si="18">M14*M16</f>
        <v>57326.82787423714</v>
      </c>
      <c r="N17" s="382">
        <f t="shared" ref="N17" si="19">N14*N16</f>
        <v>57384.154702111373</v>
      </c>
      <c r="O17" s="382">
        <f t="shared" ref="O17" si="20">O14*O16</f>
        <v>57441.538856813488</v>
      </c>
      <c r="P17" s="382">
        <f t="shared" ref="P17" si="21">P14*P16</f>
        <v>57498.980395670304</v>
      </c>
      <c r="Q17" s="382">
        <f t="shared" ref="Q17" si="22">Q14*Q16</f>
        <v>57556.479376065967</v>
      </c>
      <c r="R17" s="390">
        <f t="shared" ref="R17" si="23">R14*R16</f>
        <v>57614.035855442016</v>
      </c>
    </row>
    <row r="18" spans="1:18" hidden="1" outlineLevel="2">
      <c r="A18" s="52"/>
      <c r="B18" s="386"/>
      <c r="C18" s="84"/>
      <c r="D18" s="84"/>
      <c r="E18" s="84"/>
      <c r="F18" s="84"/>
      <c r="G18" s="84"/>
      <c r="H18" s="84"/>
      <c r="I18" s="84"/>
      <c r="J18" s="84"/>
      <c r="K18" s="84"/>
      <c r="L18" s="84"/>
      <c r="M18" s="84"/>
      <c r="N18" s="84"/>
      <c r="O18" s="84"/>
      <c r="P18" s="84"/>
      <c r="Q18" s="84"/>
      <c r="R18" s="387"/>
    </row>
    <row r="19" spans="1:18" hidden="1" outlineLevel="1">
      <c r="A19" s="52" t="s">
        <v>306</v>
      </c>
      <c r="B19" s="385">
        <f>B11+B17</f>
        <v>569700</v>
      </c>
      <c r="C19" s="382">
        <f t="shared" ref="C19:R19" si="24">C11+C17</f>
        <v>570269.69999999984</v>
      </c>
      <c r="D19" s="382">
        <f t="shared" si="24"/>
        <v>570839.96969999978</v>
      </c>
      <c r="E19" s="382">
        <f t="shared" si="24"/>
        <v>571410.80966969975</v>
      </c>
      <c r="F19" s="382">
        <f t="shared" si="24"/>
        <v>571982.2204793694</v>
      </c>
      <c r="G19" s="382">
        <f t="shared" si="24"/>
        <v>572554.20269984868</v>
      </c>
      <c r="H19" s="382">
        <f t="shared" si="24"/>
        <v>573126.75690254837</v>
      </c>
      <c r="I19" s="382">
        <f t="shared" si="24"/>
        <v>573699.88365945092</v>
      </c>
      <c r="J19" s="382">
        <f t="shared" si="24"/>
        <v>574273.58354311029</v>
      </c>
      <c r="K19" s="382">
        <f t="shared" si="24"/>
        <v>574847.85712665331</v>
      </c>
      <c r="L19" s="382">
        <f t="shared" si="24"/>
        <v>575422.70498377993</v>
      </c>
      <c r="M19" s="382">
        <f t="shared" si="24"/>
        <v>575998.12768876355</v>
      </c>
      <c r="N19" s="382">
        <f t="shared" si="24"/>
        <v>576574.12581645243</v>
      </c>
      <c r="O19" s="382">
        <f t="shared" si="24"/>
        <v>577150.69994226878</v>
      </c>
      <c r="P19" s="382">
        <f t="shared" si="24"/>
        <v>577727.85064221104</v>
      </c>
      <c r="Q19" s="382">
        <f t="shared" si="24"/>
        <v>578305.57849285321</v>
      </c>
      <c r="R19" s="390">
        <f t="shared" si="24"/>
        <v>578883.88407134591</v>
      </c>
    </row>
    <row r="20" spans="1:18" hidden="1" outlineLevel="1">
      <c r="A20" s="52"/>
      <c r="B20" s="386"/>
      <c r="C20" s="84"/>
      <c r="D20" s="84"/>
      <c r="E20" s="84"/>
      <c r="F20" s="84"/>
      <c r="G20" s="84"/>
      <c r="H20" s="84"/>
      <c r="I20" s="84"/>
      <c r="J20" s="84"/>
      <c r="K20" s="84"/>
      <c r="L20" s="84"/>
      <c r="M20" s="84"/>
      <c r="N20" s="84"/>
      <c r="O20" s="84"/>
      <c r="P20" s="84"/>
      <c r="Q20" s="84"/>
      <c r="R20" s="387"/>
    </row>
    <row r="21" spans="1:18" hidden="1" outlineLevel="1">
      <c r="A21" s="52" t="s">
        <v>307</v>
      </c>
      <c r="B21" s="388">
        <v>0.3</v>
      </c>
      <c r="C21" s="383">
        <f>B21</f>
        <v>0.3</v>
      </c>
      <c r="D21" s="383">
        <f t="shared" ref="D21:R21" si="25">C21</f>
        <v>0.3</v>
      </c>
      <c r="E21" s="383">
        <f t="shared" si="25"/>
        <v>0.3</v>
      </c>
      <c r="F21" s="383">
        <f t="shared" si="25"/>
        <v>0.3</v>
      </c>
      <c r="G21" s="383">
        <f t="shared" si="25"/>
        <v>0.3</v>
      </c>
      <c r="H21" s="383">
        <f t="shared" si="25"/>
        <v>0.3</v>
      </c>
      <c r="I21" s="383">
        <f t="shared" si="25"/>
        <v>0.3</v>
      </c>
      <c r="J21" s="383">
        <f t="shared" si="25"/>
        <v>0.3</v>
      </c>
      <c r="K21" s="383">
        <f t="shared" si="25"/>
        <v>0.3</v>
      </c>
      <c r="L21" s="383">
        <f t="shared" si="25"/>
        <v>0.3</v>
      </c>
      <c r="M21" s="383">
        <f t="shared" si="25"/>
        <v>0.3</v>
      </c>
      <c r="N21" s="383">
        <f t="shared" si="25"/>
        <v>0.3</v>
      </c>
      <c r="O21" s="383">
        <f t="shared" si="25"/>
        <v>0.3</v>
      </c>
      <c r="P21" s="383">
        <f t="shared" si="25"/>
        <v>0.3</v>
      </c>
      <c r="Q21" s="383">
        <f t="shared" si="25"/>
        <v>0.3</v>
      </c>
      <c r="R21" s="389">
        <f t="shared" si="25"/>
        <v>0.3</v>
      </c>
    </row>
    <row r="22" spans="1:18" hidden="1" outlineLevel="1">
      <c r="A22" s="52" t="s">
        <v>308</v>
      </c>
      <c r="B22" s="385">
        <f>B19*B21</f>
        <v>170910</v>
      </c>
      <c r="C22" s="382">
        <f t="shared" ref="C22:R22" si="26">C19*C21</f>
        <v>171080.90999999995</v>
      </c>
      <c r="D22" s="382">
        <f t="shared" si="26"/>
        <v>171251.99090999993</v>
      </c>
      <c r="E22" s="382">
        <f t="shared" si="26"/>
        <v>171423.24290090991</v>
      </c>
      <c r="F22" s="382">
        <f t="shared" si="26"/>
        <v>171594.66614381081</v>
      </c>
      <c r="G22" s="382">
        <f t="shared" si="26"/>
        <v>171766.26080995461</v>
      </c>
      <c r="H22" s="382">
        <f t="shared" si="26"/>
        <v>171938.02707076451</v>
      </c>
      <c r="I22" s="382">
        <f t="shared" si="26"/>
        <v>172109.96509783526</v>
      </c>
      <c r="J22" s="382">
        <f t="shared" si="26"/>
        <v>172282.07506293309</v>
      </c>
      <c r="K22" s="382">
        <f t="shared" si="26"/>
        <v>172454.35713799598</v>
      </c>
      <c r="L22" s="382">
        <f t="shared" si="26"/>
        <v>172626.81149513397</v>
      </c>
      <c r="M22" s="382">
        <f t="shared" si="26"/>
        <v>172799.43830662905</v>
      </c>
      <c r="N22" s="382">
        <f t="shared" si="26"/>
        <v>172972.23774493573</v>
      </c>
      <c r="O22" s="382">
        <f t="shared" si="26"/>
        <v>173145.20998268062</v>
      </c>
      <c r="P22" s="382">
        <f t="shared" si="26"/>
        <v>173318.35519266329</v>
      </c>
      <c r="Q22" s="382">
        <f t="shared" si="26"/>
        <v>173491.67354785596</v>
      </c>
      <c r="R22" s="390">
        <f t="shared" si="26"/>
        <v>173665.16522140376</v>
      </c>
    </row>
    <row r="23" spans="1:18" ht="15" hidden="1" outlineLevel="1" thickBot="1">
      <c r="A23" s="381"/>
      <c r="B23" s="393"/>
      <c r="C23" s="394"/>
      <c r="D23" s="394"/>
      <c r="E23" s="394"/>
      <c r="F23" s="394"/>
      <c r="G23" s="394"/>
      <c r="H23" s="394"/>
      <c r="I23" s="394"/>
      <c r="J23" s="394"/>
      <c r="K23" s="394"/>
      <c r="L23" s="394"/>
      <c r="M23" s="394"/>
      <c r="N23" s="394"/>
      <c r="O23" s="394"/>
      <c r="P23" s="394"/>
      <c r="Q23" s="394"/>
      <c r="R23" s="330"/>
    </row>
    <row r="24" spans="1:18" hidden="1" outlineLevel="1">
      <c r="A24" s="397" t="s">
        <v>309</v>
      </c>
      <c r="B24" s="254"/>
      <c r="C24" s="253"/>
      <c r="D24" s="253"/>
      <c r="E24" s="253"/>
      <c r="F24" s="253"/>
      <c r="G24" s="395"/>
      <c r="H24" s="395"/>
      <c r="I24" s="395"/>
      <c r="J24" s="395"/>
      <c r="K24" s="395"/>
      <c r="L24" s="395"/>
      <c r="M24" s="395"/>
      <c r="N24" s="395"/>
      <c r="O24" s="395"/>
      <c r="P24" s="395"/>
      <c r="Q24" s="395"/>
      <c r="R24" s="396"/>
    </row>
    <row r="25" spans="1:18" hidden="1" outlineLevel="1">
      <c r="A25" s="352" t="s">
        <v>310</v>
      </c>
      <c r="B25" s="366"/>
      <c r="C25" s="41"/>
      <c r="D25" s="41"/>
      <c r="E25" s="41"/>
      <c r="F25" s="41"/>
      <c r="I25" s="367">
        <v>0.04</v>
      </c>
      <c r="J25" s="367">
        <v>7.0000000000000007E-2</v>
      </c>
      <c r="K25" s="367">
        <v>0.1</v>
      </c>
      <c r="L25" s="367">
        <v>0.14000000000000001</v>
      </c>
      <c r="M25" s="367">
        <v>0.17</v>
      </c>
      <c r="N25" s="367">
        <v>0.18</v>
      </c>
      <c r="O25" s="367">
        <v>0.19</v>
      </c>
      <c r="P25" s="367">
        <v>0.2</v>
      </c>
      <c r="Q25" s="367">
        <v>0.2</v>
      </c>
      <c r="R25" s="358">
        <v>0.2</v>
      </c>
    </row>
    <row r="26" spans="1:18" hidden="1" outlineLevel="1">
      <c r="A26" s="352"/>
      <c r="B26" s="366"/>
      <c r="C26" s="41"/>
      <c r="D26" s="41"/>
      <c r="E26" s="41"/>
      <c r="F26" s="41"/>
      <c r="G26" s="140"/>
      <c r="H26" s="140"/>
      <c r="I26" s="367"/>
      <c r="J26" s="367"/>
      <c r="K26" s="367"/>
      <c r="L26" s="367"/>
      <c r="M26" s="367"/>
      <c r="N26" s="367"/>
      <c r="O26" s="367"/>
      <c r="P26" s="367"/>
      <c r="Q26" s="367"/>
      <c r="R26" s="358"/>
    </row>
    <row r="27" spans="1:18" hidden="1" outlineLevel="1">
      <c r="A27" s="352" t="s">
        <v>311</v>
      </c>
      <c r="B27" s="366"/>
      <c r="C27" s="41"/>
      <c r="D27" s="41"/>
      <c r="E27" s="41"/>
      <c r="F27" s="41"/>
      <c r="G27" s="140"/>
      <c r="H27" s="140"/>
      <c r="I27" s="140">
        <f t="shared" ref="I27:R27" si="27">I25*I22</f>
        <v>6884.3986039134106</v>
      </c>
      <c r="J27" s="140">
        <f t="shared" si="27"/>
        <v>12059.745254405318</v>
      </c>
      <c r="K27" s="140">
        <f t="shared" si="27"/>
        <v>17245.435713799598</v>
      </c>
      <c r="L27" s="140">
        <f t="shared" si="27"/>
        <v>24167.753609318759</v>
      </c>
      <c r="M27" s="140">
        <f t="shared" si="27"/>
        <v>29375.904512126941</v>
      </c>
      <c r="N27" s="140">
        <f t="shared" si="27"/>
        <v>31135.002794088432</v>
      </c>
      <c r="O27" s="140">
        <f t="shared" si="27"/>
        <v>32897.589896709316</v>
      </c>
      <c r="P27" s="140">
        <f t="shared" si="27"/>
        <v>34663.671038532659</v>
      </c>
      <c r="Q27" s="140">
        <f t="shared" si="27"/>
        <v>34698.334709571194</v>
      </c>
      <c r="R27" s="267">
        <f t="shared" si="27"/>
        <v>34733.033044280754</v>
      </c>
    </row>
    <row r="28" spans="1:18" hidden="1" outlineLevel="1">
      <c r="A28" s="7"/>
      <c r="B28" s="7"/>
      <c r="R28" s="14"/>
    </row>
    <row r="29" spans="1:18" hidden="1" outlineLevel="1">
      <c r="A29" s="7" t="s">
        <v>278</v>
      </c>
      <c r="B29" s="7"/>
      <c r="I29" s="89">
        <v>1700</v>
      </c>
      <c r="J29" s="89">
        <f>I29*(1+J30)</f>
        <v>1785</v>
      </c>
      <c r="K29" s="89">
        <f t="shared" ref="K29:R29" si="28">J29*(1+K30)</f>
        <v>1874.25</v>
      </c>
      <c r="L29" s="89">
        <f t="shared" si="28"/>
        <v>1967.9625000000001</v>
      </c>
      <c r="M29" s="89">
        <f t="shared" si="28"/>
        <v>2066.3606250000003</v>
      </c>
      <c r="N29" s="89">
        <f t="shared" si="28"/>
        <v>2169.6786562500006</v>
      </c>
      <c r="O29" s="89">
        <f t="shared" si="28"/>
        <v>2278.1625890625005</v>
      </c>
      <c r="P29" s="89">
        <f t="shared" si="28"/>
        <v>2392.0707185156257</v>
      </c>
      <c r="Q29" s="89">
        <f t="shared" si="28"/>
        <v>2511.6742544414069</v>
      </c>
      <c r="R29" s="89">
        <f t="shared" si="28"/>
        <v>2637.2579671634771</v>
      </c>
    </row>
    <row r="30" spans="1:18" hidden="1" outlineLevel="1">
      <c r="A30" s="357" t="s">
        <v>279</v>
      </c>
      <c r="B30" s="7"/>
      <c r="I30" s="45"/>
      <c r="J30" s="351">
        <v>0.05</v>
      </c>
      <c r="K30" s="45">
        <f>J30</f>
        <v>0.05</v>
      </c>
      <c r="L30" s="45">
        <f t="shared" ref="L30:R30" si="29">K30</f>
        <v>0.05</v>
      </c>
      <c r="M30" s="45">
        <f t="shared" si="29"/>
        <v>0.05</v>
      </c>
      <c r="N30" s="45">
        <f t="shared" si="29"/>
        <v>0.05</v>
      </c>
      <c r="O30" s="45">
        <f t="shared" si="29"/>
        <v>0.05</v>
      </c>
      <c r="P30" s="45">
        <f t="shared" si="29"/>
        <v>0.05</v>
      </c>
      <c r="Q30" s="45">
        <f t="shared" si="29"/>
        <v>0.05</v>
      </c>
      <c r="R30" s="129">
        <f t="shared" si="29"/>
        <v>0.05</v>
      </c>
    </row>
    <row r="31" spans="1:18" hidden="1" outlineLevel="1">
      <c r="A31" s="7"/>
      <c r="B31" s="7"/>
      <c r="R31" s="14"/>
    </row>
    <row r="32" spans="1:18" hidden="1" outlineLevel="1">
      <c r="A32" s="7"/>
      <c r="B32" s="7"/>
      <c r="R32" s="14"/>
    </row>
    <row r="33" spans="1:18" hidden="1" outlineLevel="1">
      <c r="A33" s="21" t="s">
        <v>280</v>
      </c>
      <c r="B33" s="7"/>
      <c r="I33" s="87">
        <v>12</v>
      </c>
      <c r="J33">
        <f>I33</f>
        <v>12</v>
      </c>
      <c r="K33">
        <f t="shared" ref="K33:R33" si="30">J33</f>
        <v>12</v>
      </c>
      <c r="L33">
        <f t="shared" si="30"/>
        <v>12</v>
      </c>
      <c r="M33">
        <f t="shared" si="30"/>
        <v>12</v>
      </c>
      <c r="N33">
        <f t="shared" si="30"/>
        <v>12</v>
      </c>
      <c r="O33">
        <f t="shared" si="30"/>
        <v>12</v>
      </c>
      <c r="P33">
        <f t="shared" si="30"/>
        <v>12</v>
      </c>
      <c r="Q33">
        <f t="shared" si="30"/>
        <v>12</v>
      </c>
      <c r="R33" s="14">
        <f t="shared" si="30"/>
        <v>12</v>
      </c>
    </row>
    <row r="34" spans="1:18" hidden="1" outlineLevel="1">
      <c r="A34" s="7" t="s">
        <v>281</v>
      </c>
      <c r="B34" s="7"/>
      <c r="I34" s="89">
        <f>I33*I29</f>
        <v>20400</v>
      </c>
      <c r="J34" s="89">
        <f t="shared" ref="J34" si="31">J33*J29</f>
        <v>21420</v>
      </c>
      <c r="K34" s="89">
        <f t="shared" ref="K34" si="32">K33*K29</f>
        <v>22491</v>
      </c>
      <c r="L34" s="89">
        <f t="shared" ref="L34" si="33">L33*L29</f>
        <v>23615.550000000003</v>
      </c>
      <c r="M34" s="89">
        <f t="shared" ref="M34" si="34">M33*M29</f>
        <v>24796.327500000003</v>
      </c>
      <c r="N34" s="89">
        <f t="shared" ref="N34" si="35">N33*N29</f>
        <v>26036.143875000009</v>
      </c>
      <c r="O34" s="89">
        <f t="shared" ref="O34" si="36">O33*O29</f>
        <v>27337.951068750008</v>
      </c>
      <c r="P34" s="89">
        <f t="shared" ref="P34" si="37">P33*P29</f>
        <v>28704.848622187506</v>
      </c>
      <c r="Q34" s="89">
        <f t="shared" ref="Q34" si="38">Q33*Q29</f>
        <v>30140.091053296885</v>
      </c>
      <c r="R34" s="356">
        <f t="shared" ref="R34" si="39">R33*R29</f>
        <v>31647.095605961724</v>
      </c>
    </row>
    <row r="35" spans="1:18" hidden="1" outlineLevel="1">
      <c r="A35" s="357" t="s">
        <v>239</v>
      </c>
      <c r="B35" s="7"/>
      <c r="I35" s="367">
        <v>0.4</v>
      </c>
      <c r="J35" s="379">
        <f>I35</f>
        <v>0.4</v>
      </c>
      <c r="K35" s="379">
        <f t="shared" ref="K35:R35" si="40">J35</f>
        <v>0.4</v>
      </c>
      <c r="L35" s="379">
        <f t="shared" si="40"/>
        <v>0.4</v>
      </c>
      <c r="M35" s="379">
        <f t="shared" si="40"/>
        <v>0.4</v>
      </c>
      <c r="N35" s="379">
        <f t="shared" si="40"/>
        <v>0.4</v>
      </c>
      <c r="O35" s="379">
        <f t="shared" si="40"/>
        <v>0.4</v>
      </c>
      <c r="P35" s="379">
        <f t="shared" si="40"/>
        <v>0.4</v>
      </c>
      <c r="Q35" s="379">
        <f t="shared" si="40"/>
        <v>0.4</v>
      </c>
      <c r="R35" s="380">
        <f t="shared" si="40"/>
        <v>0.4</v>
      </c>
    </row>
    <row r="36" spans="1:18" hidden="1" outlineLevel="1">
      <c r="A36" s="7" t="s">
        <v>282</v>
      </c>
      <c r="B36" s="7"/>
      <c r="I36" s="29">
        <f t="shared" ref="I36:R36" si="41">I34*(1-I35)</f>
        <v>12240</v>
      </c>
      <c r="J36" s="29">
        <f t="shared" si="41"/>
        <v>12852</v>
      </c>
      <c r="K36" s="29">
        <f t="shared" si="41"/>
        <v>13494.6</v>
      </c>
      <c r="L36" s="29">
        <f t="shared" si="41"/>
        <v>14169.330000000002</v>
      </c>
      <c r="M36" s="29">
        <f t="shared" si="41"/>
        <v>14877.7965</v>
      </c>
      <c r="N36" s="29">
        <f t="shared" si="41"/>
        <v>15621.686325000004</v>
      </c>
      <c r="O36" s="29">
        <f t="shared" si="41"/>
        <v>16402.770641250005</v>
      </c>
      <c r="P36" s="29">
        <f t="shared" si="41"/>
        <v>17222.909173312502</v>
      </c>
      <c r="Q36" s="29">
        <f t="shared" si="41"/>
        <v>18084.054631978132</v>
      </c>
      <c r="R36" s="359">
        <f t="shared" si="41"/>
        <v>18988.257363577035</v>
      </c>
    </row>
    <row r="37" spans="1:18" ht="15" hidden="1" outlineLevel="1" thickBot="1">
      <c r="A37" s="376"/>
      <c r="B37" s="17"/>
      <c r="C37" s="103"/>
      <c r="D37" s="103"/>
      <c r="E37" s="103"/>
      <c r="F37" s="103"/>
      <c r="G37" s="103"/>
      <c r="H37" s="103"/>
      <c r="I37" s="103"/>
      <c r="J37" s="103"/>
      <c r="K37" s="103"/>
      <c r="L37" s="103"/>
      <c r="M37" s="103"/>
      <c r="N37" s="103"/>
      <c r="O37" s="103"/>
      <c r="P37" s="103"/>
      <c r="Q37" s="103"/>
      <c r="R37" s="371"/>
    </row>
    <row r="38" spans="1:18" ht="15" hidden="1" outlineLevel="1" thickBot="1">
      <c r="A38" s="2" t="s">
        <v>286</v>
      </c>
      <c r="B38" s="46"/>
      <c r="C38" s="360"/>
      <c r="D38" s="360"/>
      <c r="E38" s="360"/>
      <c r="F38" s="360"/>
      <c r="G38" s="360"/>
      <c r="H38" s="360"/>
      <c r="I38" s="289">
        <f>(I36*I27)/1000000</f>
        <v>84.265038911900149</v>
      </c>
      <c r="J38" s="289">
        <f t="shared" ref="J38:R38" si="42">(J36*J27)/1000000</f>
        <v>154.99184600961715</v>
      </c>
      <c r="K38" s="289">
        <f t="shared" si="42"/>
        <v>232.72025678344005</v>
      </c>
      <c r="L38" s="289">
        <f t="shared" si="42"/>
        <v>342.44087624912862</v>
      </c>
      <c r="M38" s="289">
        <f t="shared" si="42"/>
        <v>437.04872933485643</v>
      </c>
      <c r="N38" s="289">
        <f t="shared" si="42"/>
        <v>486.38124737724814</v>
      </c>
      <c r="O38" s="289">
        <f t="shared" si="42"/>
        <v>539.61162172562638</v>
      </c>
      <c r="P38" s="289">
        <f t="shared" si="42"/>
        <v>597.00925791023099</v>
      </c>
      <c r="Q38" s="289">
        <f t="shared" si="42"/>
        <v>627.48658052654855</v>
      </c>
      <c r="R38" s="361">
        <f t="shared" si="42"/>
        <v>659.51977046242848</v>
      </c>
    </row>
    <row r="39" spans="1:18" ht="15" hidden="1" outlineLevel="1" thickBot="1">
      <c r="A39" s="365" t="s">
        <v>94</v>
      </c>
      <c r="B39" s="46"/>
      <c r="C39" s="360"/>
      <c r="D39" s="360"/>
      <c r="E39" s="360"/>
      <c r="F39" s="360"/>
      <c r="G39" s="360"/>
      <c r="H39" s="360"/>
      <c r="I39" s="360"/>
      <c r="J39" s="363"/>
      <c r="K39" s="363"/>
      <c r="L39" s="363"/>
      <c r="M39" s="363"/>
      <c r="N39" s="363">
        <f t="shared" ref="N39" si="43">N38/M38-1</f>
        <v>0.11287647058823569</v>
      </c>
      <c r="O39" s="363">
        <f t="shared" ref="O39" si="44">O38/N38-1</f>
        <v>0.10944166666666644</v>
      </c>
      <c r="P39" s="363">
        <f t="shared" ref="P39" si="45">P38/O38-1</f>
        <v>0.10636842105263122</v>
      </c>
      <c r="Q39" s="363">
        <f t="shared" ref="Q39" si="46">Q38/P38-1</f>
        <v>5.1050000000000484E-2</v>
      </c>
      <c r="R39" s="364">
        <f t="shared" ref="R39" si="47">R38/Q38-1</f>
        <v>5.1049999999999374E-2</v>
      </c>
    </row>
    <row r="40" spans="1:18" hidden="1" outlineLevel="1"/>
    <row r="41" spans="1:18" hidden="1" outlineLevel="1"/>
    <row r="42" spans="1:18" hidden="1" outlineLevel="1"/>
    <row r="43" spans="1:18" ht="15" hidden="1" outlineLevel="1" thickBot="1"/>
    <row r="44" spans="1:18" ht="15" hidden="1" outlineLevel="1" thickBot="1">
      <c r="A44" s="13" t="s">
        <v>317</v>
      </c>
      <c r="B44" s="158" t="s">
        <v>0</v>
      </c>
      <c r="C44" s="159" t="s">
        <v>1</v>
      </c>
      <c r="D44" s="159" t="s">
        <v>2</v>
      </c>
      <c r="E44" s="159" t="s">
        <v>3</v>
      </c>
      <c r="F44" s="159" t="s">
        <v>4</v>
      </c>
      <c r="G44" s="159" t="s">
        <v>5</v>
      </c>
      <c r="H44" s="159" t="s">
        <v>6</v>
      </c>
      <c r="I44" s="159" t="s">
        <v>103</v>
      </c>
      <c r="J44" s="159" t="s">
        <v>104</v>
      </c>
      <c r="K44" s="159" t="s">
        <v>105</v>
      </c>
      <c r="L44" s="159" t="s">
        <v>106</v>
      </c>
      <c r="M44" s="159" t="s">
        <v>107</v>
      </c>
      <c r="N44" s="159" t="s">
        <v>148</v>
      </c>
      <c r="O44" s="159" t="s">
        <v>270</v>
      </c>
      <c r="P44" s="159" t="s">
        <v>283</v>
      </c>
      <c r="Q44" s="159" t="s">
        <v>284</v>
      </c>
      <c r="R44" s="331" t="s">
        <v>285</v>
      </c>
    </row>
    <row r="45" spans="1:18" hidden="1" outlineLevel="1">
      <c r="A45" s="119" t="s">
        <v>312</v>
      </c>
      <c r="B45" s="254">
        <v>1000000</v>
      </c>
      <c r="C45" s="253">
        <f>B45*(1+C46)</f>
        <v>1000999.9999999999</v>
      </c>
      <c r="D45" s="253">
        <f t="shared" ref="D45:R45" si="48">C45*(1+D46)</f>
        <v>1002000.9999999998</v>
      </c>
      <c r="E45" s="253">
        <f t="shared" si="48"/>
        <v>1003003.0009999997</v>
      </c>
      <c r="F45" s="253">
        <f t="shared" si="48"/>
        <v>1004006.0040009996</v>
      </c>
      <c r="G45" s="253">
        <f t="shared" si="48"/>
        <v>1005010.0100050005</v>
      </c>
      <c r="H45" s="253">
        <f t="shared" si="48"/>
        <v>1006015.0200150054</v>
      </c>
      <c r="I45" s="253">
        <f t="shared" si="48"/>
        <v>1007021.0350350203</v>
      </c>
      <c r="J45" s="253">
        <f t="shared" si="48"/>
        <v>1008028.0560700552</v>
      </c>
      <c r="K45" s="253">
        <f t="shared" si="48"/>
        <v>1009036.0841261252</v>
      </c>
      <c r="L45" s="253">
        <f t="shared" si="48"/>
        <v>1010045.1202102512</v>
      </c>
      <c r="M45" s="253">
        <f t="shared" si="48"/>
        <v>1011055.1653304613</v>
      </c>
      <c r="N45" s="253">
        <f t="shared" si="48"/>
        <v>1012066.2204957916</v>
      </c>
      <c r="O45" s="253">
        <f t="shared" si="48"/>
        <v>1013078.2867162874</v>
      </c>
      <c r="P45" s="253">
        <f t="shared" si="48"/>
        <v>1014091.3650030035</v>
      </c>
      <c r="Q45" s="253">
        <f t="shared" si="48"/>
        <v>1015105.4563680064</v>
      </c>
      <c r="R45" s="368">
        <f t="shared" si="48"/>
        <v>1016120.5618243744</v>
      </c>
    </row>
    <row r="46" spans="1:18" hidden="1" outlineLevel="1">
      <c r="A46" s="374" t="s">
        <v>101</v>
      </c>
      <c r="B46" s="366"/>
      <c r="C46" s="369">
        <v>1E-3</v>
      </c>
      <c r="D46" s="369">
        <v>1E-3</v>
      </c>
      <c r="E46" s="369">
        <v>1E-3</v>
      </c>
      <c r="F46" s="369">
        <v>1E-3</v>
      </c>
      <c r="G46" s="369">
        <v>1E-3</v>
      </c>
      <c r="H46" s="369">
        <v>1E-3</v>
      </c>
      <c r="I46" s="369">
        <v>1E-3</v>
      </c>
      <c r="J46" s="369">
        <v>1E-3</v>
      </c>
      <c r="K46" s="369">
        <v>1E-3</v>
      </c>
      <c r="L46" s="369">
        <v>1E-3</v>
      </c>
      <c r="M46" s="369">
        <v>1E-3</v>
      </c>
      <c r="N46" s="369">
        <v>1E-3</v>
      </c>
      <c r="O46" s="369">
        <v>1E-3</v>
      </c>
      <c r="P46" s="369">
        <v>1E-3</v>
      </c>
      <c r="Q46" s="369">
        <v>1E-3</v>
      </c>
      <c r="R46" s="370">
        <v>1E-3</v>
      </c>
    </row>
    <row r="47" spans="1:18" hidden="1" outlineLevel="1">
      <c r="A47" s="7"/>
      <c r="B47" s="366"/>
      <c r="R47" s="14"/>
    </row>
    <row r="48" spans="1:18" hidden="1" outlineLevel="1">
      <c r="A48" s="399" t="s">
        <v>313</v>
      </c>
      <c r="B48" s="398">
        <v>0.5</v>
      </c>
      <c r="C48" s="139">
        <f>B48</f>
        <v>0.5</v>
      </c>
      <c r="D48" s="139">
        <f t="shared" ref="D48:R48" si="49">C48</f>
        <v>0.5</v>
      </c>
      <c r="E48" s="139">
        <f t="shared" si="49"/>
        <v>0.5</v>
      </c>
      <c r="F48" s="139">
        <f t="shared" si="49"/>
        <v>0.5</v>
      </c>
      <c r="G48" s="139">
        <f t="shared" si="49"/>
        <v>0.5</v>
      </c>
      <c r="H48" s="139">
        <f t="shared" si="49"/>
        <v>0.5</v>
      </c>
      <c r="I48" s="139">
        <f t="shared" si="49"/>
        <v>0.5</v>
      </c>
      <c r="J48" s="139">
        <f t="shared" si="49"/>
        <v>0.5</v>
      </c>
      <c r="K48" s="139">
        <f t="shared" si="49"/>
        <v>0.5</v>
      </c>
      <c r="L48" s="139">
        <f t="shared" si="49"/>
        <v>0.5</v>
      </c>
      <c r="M48" s="139">
        <f t="shared" si="49"/>
        <v>0.5</v>
      </c>
      <c r="N48" s="139">
        <f t="shared" si="49"/>
        <v>0.5</v>
      </c>
      <c r="O48" s="139">
        <f t="shared" si="49"/>
        <v>0.5</v>
      </c>
      <c r="P48" s="139">
        <f t="shared" si="49"/>
        <v>0.5</v>
      </c>
      <c r="Q48" s="139">
        <f t="shared" si="49"/>
        <v>0.5</v>
      </c>
      <c r="R48" s="400">
        <f t="shared" si="49"/>
        <v>0.5</v>
      </c>
    </row>
    <row r="49" spans="1:18" hidden="1" outlineLevel="1">
      <c r="A49" s="7" t="s">
        <v>314</v>
      </c>
      <c r="B49" s="366">
        <f>B45*B48</f>
        <v>500000</v>
      </c>
      <c r="C49" s="41">
        <f t="shared" ref="C49:R49" si="50">C45*C48</f>
        <v>500499.99999999994</v>
      </c>
      <c r="D49" s="41">
        <f t="shared" si="50"/>
        <v>501000.49999999988</v>
      </c>
      <c r="E49" s="41">
        <f t="shared" si="50"/>
        <v>501501.50049999985</v>
      </c>
      <c r="F49" s="41">
        <f t="shared" si="50"/>
        <v>502003.00200049981</v>
      </c>
      <c r="G49" s="41">
        <f t="shared" si="50"/>
        <v>502505.00500250026</v>
      </c>
      <c r="H49" s="41">
        <f t="shared" si="50"/>
        <v>503007.51000750269</v>
      </c>
      <c r="I49" s="41">
        <f t="shared" si="50"/>
        <v>503510.51751751016</v>
      </c>
      <c r="J49" s="41">
        <f t="shared" si="50"/>
        <v>504014.02803502762</v>
      </c>
      <c r="K49" s="41">
        <f t="shared" si="50"/>
        <v>504518.0420630626</v>
      </c>
      <c r="L49" s="41">
        <f t="shared" si="50"/>
        <v>505022.56010512559</v>
      </c>
      <c r="M49" s="41">
        <f t="shared" si="50"/>
        <v>505527.58266523067</v>
      </c>
      <c r="N49" s="41">
        <f t="shared" si="50"/>
        <v>506033.11024789582</v>
      </c>
      <c r="O49" s="41">
        <f t="shared" si="50"/>
        <v>506539.14335814369</v>
      </c>
      <c r="P49" s="41">
        <f t="shared" si="50"/>
        <v>507045.68250150175</v>
      </c>
      <c r="Q49" s="41">
        <f t="shared" si="50"/>
        <v>507552.72818400321</v>
      </c>
      <c r="R49" s="251">
        <f t="shared" si="50"/>
        <v>508060.28091218718</v>
      </c>
    </row>
    <row r="50" spans="1:18" hidden="1" outlineLevel="1">
      <c r="A50" s="7"/>
      <c r="B50" s="7"/>
      <c r="R50" s="14"/>
    </row>
    <row r="51" spans="1:18" hidden="1" outlineLevel="1">
      <c r="A51" s="399" t="s">
        <v>315</v>
      </c>
      <c r="B51" s="398">
        <v>0.25</v>
      </c>
      <c r="C51" s="139">
        <f>B51</f>
        <v>0.25</v>
      </c>
      <c r="D51" s="139">
        <f t="shared" ref="D51:R51" si="51">C51</f>
        <v>0.25</v>
      </c>
      <c r="E51" s="139">
        <f t="shared" si="51"/>
        <v>0.25</v>
      </c>
      <c r="F51" s="139">
        <f t="shared" si="51"/>
        <v>0.25</v>
      </c>
      <c r="G51" s="139">
        <f t="shared" si="51"/>
        <v>0.25</v>
      </c>
      <c r="H51" s="139">
        <f t="shared" si="51"/>
        <v>0.25</v>
      </c>
      <c r="I51" s="139">
        <f t="shared" si="51"/>
        <v>0.25</v>
      </c>
      <c r="J51" s="139">
        <f t="shared" si="51"/>
        <v>0.25</v>
      </c>
      <c r="K51" s="139">
        <f t="shared" si="51"/>
        <v>0.25</v>
      </c>
      <c r="L51" s="139">
        <f t="shared" si="51"/>
        <v>0.25</v>
      </c>
      <c r="M51" s="139">
        <f t="shared" si="51"/>
        <v>0.25</v>
      </c>
      <c r="N51" s="139">
        <f t="shared" si="51"/>
        <v>0.25</v>
      </c>
      <c r="O51" s="139">
        <f t="shared" si="51"/>
        <v>0.25</v>
      </c>
      <c r="P51" s="139">
        <f t="shared" si="51"/>
        <v>0.25</v>
      </c>
      <c r="Q51" s="139">
        <f t="shared" si="51"/>
        <v>0.25</v>
      </c>
      <c r="R51" s="400">
        <f t="shared" si="51"/>
        <v>0.25</v>
      </c>
    </row>
    <row r="52" spans="1:18" hidden="1" outlineLevel="1">
      <c r="A52" s="355" t="s">
        <v>316</v>
      </c>
      <c r="B52" s="401">
        <f>B51*B49</f>
        <v>125000</v>
      </c>
      <c r="C52" s="89">
        <f t="shared" ref="C52:R52" si="52">C51*C49</f>
        <v>125124.99999999999</v>
      </c>
      <c r="D52" s="89">
        <f t="shared" si="52"/>
        <v>125250.12499999997</v>
      </c>
      <c r="E52" s="89">
        <f t="shared" si="52"/>
        <v>125375.37512499996</v>
      </c>
      <c r="F52" s="89">
        <f t="shared" si="52"/>
        <v>125500.75050012495</v>
      </c>
      <c r="G52" s="89">
        <f t="shared" si="52"/>
        <v>125626.25125062506</v>
      </c>
      <c r="H52" s="89">
        <f t="shared" si="52"/>
        <v>125751.87750187567</v>
      </c>
      <c r="I52" s="89">
        <f t="shared" si="52"/>
        <v>125877.62937937754</v>
      </c>
      <c r="J52" s="89">
        <f t="shared" si="52"/>
        <v>126003.5070087569</v>
      </c>
      <c r="K52" s="89">
        <f t="shared" si="52"/>
        <v>126129.51051576565</v>
      </c>
      <c r="L52" s="89">
        <f t="shared" si="52"/>
        <v>126255.6400262814</v>
      </c>
      <c r="M52" s="89">
        <f t="shared" si="52"/>
        <v>126381.89566630767</v>
      </c>
      <c r="N52" s="89">
        <f t="shared" si="52"/>
        <v>126508.27756197396</v>
      </c>
      <c r="O52" s="89">
        <f t="shared" si="52"/>
        <v>126634.78583953592</v>
      </c>
      <c r="P52" s="89">
        <f t="shared" si="52"/>
        <v>126761.42062537544</v>
      </c>
      <c r="Q52" s="89">
        <f t="shared" si="52"/>
        <v>126888.1820460008</v>
      </c>
      <c r="R52" s="356">
        <f t="shared" si="52"/>
        <v>127015.0702280468</v>
      </c>
    </row>
    <row r="53" spans="1:18" hidden="1" outlineLevel="1">
      <c r="A53" s="355"/>
      <c r="B53" s="401"/>
      <c r="C53" s="89"/>
      <c r="D53" s="89"/>
      <c r="E53" s="89"/>
      <c r="F53" s="89"/>
      <c r="G53" s="89"/>
      <c r="H53" s="89"/>
      <c r="I53" s="89"/>
      <c r="J53" s="89"/>
      <c r="K53" s="89"/>
      <c r="L53" s="89"/>
      <c r="M53" s="89"/>
      <c r="N53" s="89"/>
      <c r="O53" s="89"/>
      <c r="P53" s="89"/>
      <c r="Q53" s="89"/>
      <c r="R53" s="356"/>
    </row>
    <row r="54" spans="1:18" hidden="1" outlineLevel="1">
      <c r="A54" s="354" t="s">
        <v>309</v>
      </c>
      <c r="B54" s="7"/>
      <c r="R54" s="14"/>
    </row>
    <row r="55" spans="1:18" hidden="1" outlineLevel="1">
      <c r="A55" s="352" t="s">
        <v>318</v>
      </c>
      <c r="B55" s="7"/>
      <c r="J55" s="92">
        <v>0.04</v>
      </c>
      <c r="K55" s="92">
        <v>0.06</v>
      </c>
      <c r="L55" s="92">
        <v>0.08</v>
      </c>
      <c r="M55" s="92">
        <v>0.1</v>
      </c>
      <c r="N55" s="92">
        <v>0.12</v>
      </c>
      <c r="O55" s="92">
        <v>0.14000000000000001</v>
      </c>
      <c r="P55" s="92">
        <v>0.15</v>
      </c>
      <c r="Q55" s="92">
        <v>0.16</v>
      </c>
      <c r="R55" s="135">
        <v>0.16</v>
      </c>
    </row>
    <row r="56" spans="1:18" hidden="1" outlineLevel="1">
      <c r="A56" s="7" t="s">
        <v>319</v>
      </c>
      <c r="B56" s="7"/>
      <c r="J56" s="41">
        <f>J52*J55</f>
        <v>5040.140280350276</v>
      </c>
      <c r="K56" s="41">
        <f t="shared" ref="K56:R56" si="53">K52*K55</f>
        <v>7567.770630945939</v>
      </c>
      <c r="L56" s="41">
        <f t="shared" si="53"/>
        <v>10100.451202102513</v>
      </c>
      <c r="M56" s="41">
        <f t="shared" si="53"/>
        <v>12638.189566630768</v>
      </c>
      <c r="N56" s="41">
        <f t="shared" si="53"/>
        <v>15180.993307436875</v>
      </c>
      <c r="O56" s="41">
        <f t="shared" si="53"/>
        <v>17728.870017535031</v>
      </c>
      <c r="P56" s="41">
        <f t="shared" si="53"/>
        <v>19014.213093806316</v>
      </c>
      <c r="Q56" s="41">
        <f t="shared" si="53"/>
        <v>20302.109127360131</v>
      </c>
      <c r="R56" s="251">
        <f t="shared" si="53"/>
        <v>20322.411236487489</v>
      </c>
    </row>
    <row r="57" spans="1:18" hidden="1" outlineLevel="1">
      <c r="A57" s="7"/>
      <c r="B57" s="7"/>
      <c r="R57" s="14"/>
    </row>
    <row r="58" spans="1:18" hidden="1" outlineLevel="1">
      <c r="A58" s="7"/>
      <c r="B58" s="7"/>
      <c r="R58" s="14"/>
    </row>
    <row r="59" spans="1:18" hidden="1" outlineLevel="1">
      <c r="A59" s="7" t="s">
        <v>278</v>
      </c>
      <c r="B59" s="7"/>
      <c r="I59" s="89">
        <f>I29</f>
        <v>1700</v>
      </c>
      <c r="J59" s="89">
        <f>J29</f>
        <v>1785</v>
      </c>
      <c r="K59" s="89">
        <f t="shared" ref="K59:R59" si="54">K29</f>
        <v>1874.25</v>
      </c>
      <c r="L59" s="89">
        <f t="shared" si="54"/>
        <v>1967.9625000000001</v>
      </c>
      <c r="M59" s="89">
        <f t="shared" si="54"/>
        <v>2066.3606250000003</v>
      </c>
      <c r="N59" s="89">
        <f t="shared" si="54"/>
        <v>2169.6786562500006</v>
      </c>
      <c r="O59" s="89">
        <f t="shared" si="54"/>
        <v>2278.1625890625005</v>
      </c>
      <c r="P59" s="89">
        <f t="shared" si="54"/>
        <v>2392.0707185156257</v>
      </c>
      <c r="Q59" s="89">
        <f t="shared" si="54"/>
        <v>2511.6742544414069</v>
      </c>
      <c r="R59" s="89">
        <f t="shared" si="54"/>
        <v>2637.2579671634771</v>
      </c>
    </row>
    <row r="60" spans="1:18" hidden="1" outlineLevel="1">
      <c r="A60" s="357" t="s">
        <v>279</v>
      </c>
      <c r="B60" s="7"/>
      <c r="R60" s="14"/>
    </row>
    <row r="61" spans="1:18" hidden="1" outlineLevel="1">
      <c r="A61" s="7"/>
      <c r="B61" s="7"/>
      <c r="R61" s="14"/>
    </row>
    <row r="62" spans="1:18" hidden="1" outlineLevel="1">
      <c r="A62" s="7"/>
      <c r="B62" s="7"/>
      <c r="R62" s="14"/>
    </row>
    <row r="63" spans="1:18" hidden="1" outlineLevel="1">
      <c r="A63" s="21" t="s">
        <v>280</v>
      </c>
      <c r="B63" s="7"/>
      <c r="J63">
        <v>12</v>
      </c>
      <c r="K63">
        <f>J63</f>
        <v>12</v>
      </c>
      <c r="L63">
        <f t="shared" ref="L63:R63" si="55">K63</f>
        <v>12</v>
      </c>
      <c r="M63">
        <f t="shared" si="55"/>
        <v>12</v>
      </c>
      <c r="N63">
        <f t="shared" si="55"/>
        <v>12</v>
      </c>
      <c r="O63">
        <f t="shared" si="55"/>
        <v>12</v>
      </c>
      <c r="P63">
        <f t="shared" si="55"/>
        <v>12</v>
      </c>
      <c r="Q63">
        <f t="shared" si="55"/>
        <v>12</v>
      </c>
      <c r="R63" s="14">
        <f t="shared" si="55"/>
        <v>12</v>
      </c>
    </row>
    <row r="64" spans="1:18" hidden="1" outlineLevel="1">
      <c r="A64" s="7" t="s">
        <v>281</v>
      </c>
      <c r="B64" s="7"/>
      <c r="J64" s="89">
        <f>J59*J63</f>
        <v>21420</v>
      </c>
      <c r="K64" s="89">
        <f t="shared" ref="K64:R64" si="56">K59*K63</f>
        <v>22491</v>
      </c>
      <c r="L64" s="89">
        <f t="shared" si="56"/>
        <v>23615.550000000003</v>
      </c>
      <c r="M64" s="89">
        <f t="shared" si="56"/>
        <v>24796.327500000003</v>
      </c>
      <c r="N64" s="89">
        <f t="shared" si="56"/>
        <v>26036.143875000009</v>
      </c>
      <c r="O64" s="89">
        <f t="shared" si="56"/>
        <v>27337.951068750008</v>
      </c>
      <c r="P64" s="89">
        <f t="shared" si="56"/>
        <v>28704.848622187506</v>
      </c>
      <c r="Q64" s="89">
        <f t="shared" si="56"/>
        <v>30140.091053296885</v>
      </c>
      <c r="R64" s="356">
        <f t="shared" si="56"/>
        <v>31647.095605961724</v>
      </c>
    </row>
    <row r="65" spans="1:25" hidden="1" outlineLevel="1">
      <c r="A65" s="357" t="s">
        <v>239</v>
      </c>
      <c r="B65" s="7"/>
      <c r="J65" s="367">
        <v>0.3</v>
      </c>
      <c r="K65" s="379">
        <v>0.3</v>
      </c>
      <c r="L65" s="379">
        <f t="shared" ref="L65:R65" si="57">K65</f>
        <v>0.3</v>
      </c>
      <c r="M65" s="379">
        <f t="shared" si="57"/>
        <v>0.3</v>
      </c>
      <c r="N65" s="379">
        <f t="shared" si="57"/>
        <v>0.3</v>
      </c>
      <c r="O65" s="379">
        <f t="shared" si="57"/>
        <v>0.3</v>
      </c>
      <c r="P65" s="379">
        <f t="shared" si="57"/>
        <v>0.3</v>
      </c>
      <c r="Q65" s="379">
        <f t="shared" si="57"/>
        <v>0.3</v>
      </c>
      <c r="R65" s="380">
        <f t="shared" si="57"/>
        <v>0.3</v>
      </c>
      <c r="S65" s="379"/>
    </row>
    <row r="66" spans="1:25" hidden="1" outlineLevel="1">
      <c r="A66" s="7" t="s">
        <v>282</v>
      </c>
      <c r="B66" s="7"/>
      <c r="J66" s="29">
        <f t="shared" ref="J66:R66" si="58">J64*(1-J65)</f>
        <v>14993.999999999998</v>
      </c>
      <c r="K66" s="29">
        <f t="shared" si="58"/>
        <v>15743.699999999999</v>
      </c>
      <c r="L66" s="29">
        <f t="shared" si="58"/>
        <v>16530.885000000002</v>
      </c>
      <c r="M66" s="29">
        <f t="shared" si="58"/>
        <v>17357.429250000001</v>
      </c>
      <c r="N66" s="29">
        <f t="shared" si="58"/>
        <v>18225.300712500004</v>
      </c>
      <c r="O66" s="29">
        <f t="shared" si="58"/>
        <v>19136.565748125005</v>
      </c>
      <c r="P66" s="29">
        <f t="shared" si="58"/>
        <v>20093.394035531252</v>
      </c>
      <c r="Q66" s="29">
        <f t="shared" si="58"/>
        <v>21098.063737307817</v>
      </c>
      <c r="R66" s="359">
        <f t="shared" si="58"/>
        <v>22152.966924173204</v>
      </c>
      <c r="S66" s="29"/>
    </row>
    <row r="67" spans="1:25" hidden="1" outlineLevel="1">
      <c r="A67" s="7"/>
      <c r="B67" s="7"/>
      <c r="R67" s="14"/>
    </row>
    <row r="68" spans="1:25" ht="15" hidden="1" outlineLevel="1" thickBot="1">
      <c r="A68" s="7"/>
      <c r="B68" s="17"/>
      <c r="C68" s="103"/>
      <c r="D68" s="103"/>
      <c r="E68" s="103"/>
      <c r="F68" s="103"/>
      <c r="G68" s="103"/>
      <c r="H68" s="103"/>
      <c r="I68" s="103"/>
      <c r="J68" s="103"/>
      <c r="K68" s="103"/>
      <c r="L68" s="103"/>
      <c r="M68" s="103"/>
      <c r="N68" s="103"/>
      <c r="O68" s="103"/>
      <c r="P68" s="103"/>
      <c r="Q68" s="103"/>
      <c r="R68" s="371"/>
    </row>
    <row r="69" spans="1:25" ht="15" hidden="1" outlineLevel="1" thickBot="1">
      <c r="A69" s="13" t="s">
        <v>286</v>
      </c>
      <c r="B69" s="46"/>
      <c r="C69" s="360"/>
      <c r="D69" s="360"/>
      <c r="E69" s="360"/>
      <c r="F69" s="360"/>
      <c r="G69" s="360"/>
      <c r="H69" s="360"/>
      <c r="I69" s="360"/>
      <c r="J69" s="289">
        <f>(J66*J56)/1000000</f>
        <v>75.571863363572035</v>
      </c>
      <c r="K69" s="289">
        <f t="shared" ref="K69:R69" si="59">(K66*K56)/1000000</f>
        <v>119.14471048242358</v>
      </c>
      <c r="L69" s="289">
        <f t="shared" si="59"/>
        <v>166.96939727006841</v>
      </c>
      <c r="M69" s="289">
        <f t="shared" si="59"/>
        <v>219.36648125088172</v>
      </c>
      <c r="N69" s="289">
        <f t="shared" si="59"/>
        <v>276.67816814248704</v>
      </c>
      <c r="O69" s="289">
        <f t="shared" si="59"/>
        <v>339.26968673052124</v>
      </c>
      <c r="P69" s="289">
        <f t="shared" si="59"/>
        <v>382.0600759694081</v>
      </c>
      <c r="Q69" s="289">
        <f t="shared" si="59"/>
        <v>428.33519237082282</v>
      </c>
      <c r="R69" s="361">
        <f t="shared" si="59"/>
        <v>450.20170394135323</v>
      </c>
    </row>
    <row r="70" spans="1:25" ht="15" hidden="1" outlineLevel="1" thickBot="1">
      <c r="A70" s="362" t="s">
        <v>94</v>
      </c>
      <c r="B70" s="17"/>
      <c r="C70" s="103"/>
      <c r="D70" s="103"/>
      <c r="E70" s="103"/>
      <c r="F70" s="103"/>
      <c r="G70" s="103"/>
      <c r="H70" s="103"/>
      <c r="I70" s="103"/>
      <c r="J70" s="103"/>
      <c r="K70" s="103"/>
      <c r="L70" s="103"/>
      <c r="M70" s="103"/>
      <c r="N70" s="103"/>
      <c r="O70" s="103"/>
      <c r="P70" s="103"/>
      <c r="Q70" s="103"/>
      <c r="R70" s="371"/>
    </row>
    <row r="71" spans="1:25" collapsed="1"/>
    <row r="76" spans="1:25" ht="15" thickBot="1"/>
    <row r="77" spans="1:25" ht="15" thickBot="1">
      <c r="A77" s="2" t="s">
        <v>320</v>
      </c>
      <c r="B77" s="158">
        <v>2024</v>
      </c>
      <c r="C77" s="159" t="s">
        <v>1</v>
      </c>
      <c r="D77" s="159" t="s">
        <v>2</v>
      </c>
      <c r="E77" s="159" t="s">
        <v>3</v>
      </c>
      <c r="F77" s="159" t="s">
        <v>4</v>
      </c>
      <c r="G77" s="159" t="s">
        <v>5</v>
      </c>
      <c r="H77" s="159" t="s">
        <v>6</v>
      </c>
      <c r="I77" s="159" t="s">
        <v>103</v>
      </c>
      <c r="J77" s="159" t="s">
        <v>104</v>
      </c>
      <c r="K77" s="159" t="s">
        <v>105</v>
      </c>
      <c r="L77" s="159" t="s">
        <v>106</v>
      </c>
      <c r="M77" s="159" t="s">
        <v>107</v>
      </c>
      <c r="N77" s="159" t="s">
        <v>148</v>
      </c>
      <c r="O77" s="159" t="s">
        <v>270</v>
      </c>
      <c r="P77" s="159" t="s">
        <v>283</v>
      </c>
      <c r="Q77" s="159" t="s">
        <v>284</v>
      </c>
      <c r="R77" s="159" t="s">
        <v>285</v>
      </c>
      <c r="S77" s="159" t="s">
        <v>360</v>
      </c>
      <c r="T77" s="159" t="s">
        <v>367</v>
      </c>
      <c r="U77" s="159" t="s">
        <v>368</v>
      </c>
      <c r="V77" s="159" t="s">
        <v>369</v>
      </c>
      <c r="W77" s="159" t="s">
        <v>370</v>
      </c>
      <c r="X77" s="159" t="s">
        <v>371</v>
      </c>
      <c r="Y77" s="331" t="s">
        <v>372</v>
      </c>
    </row>
    <row r="78" spans="1:25">
      <c r="A78" s="119" t="s">
        <v>346</v>
      </c>
      <c r="B78" s="254">
        <v>6000000</v>
      </c>
      <c r="C78" s="253">
        <f>B78*(1+C79)</f>
        <v>6005999.9999999991</v>
      </c>
      <c r="D78" s="253">
        <f t="shared" ref="D78" si="60">C78*(1+D79)</f>
        <v>6012005.9999999981</v>
      </c>
      <c r="E78" s="253">
        <f t="shared" ref="E78" si="61">D78*(1+E79)</f>
        <v>6018018.0059999973</v>
      </c>
      <c r="F78" s="253">
        <f t="shared" ref="F78" si="62">E78*(1+F79)</f>
        <v>6024036.024005997</v>
      </c>
      <c r="G78" s="253">
        <f t="shared" ref="G78" si="63">F78*(1+G79)</f>
        <v>6030060.0600300021</v>
      </c>
      <c r="H78" s="253">
        <f t="shared" ref="H78" si="64">G78*(1+H79)</f>
        <v>6036090.1200900311</v>
      </c>
      <c r="I78" s="253">
        <f t="shared" ref="I78" si="65">H78*(1+I79)</f>
        <v>6042126.2102101203</v>
      </c>
      <c r="J78" s="253">
        <f t="shared" ref="J78" si="66">I78*(1+J79)</f>
        <v>6048168.3364203302</v>
      </c>
      <c r="K78" s="253">
        <f t="shared" ref="K78" si="67">J78*(1+K79)</f>
        <v>6054216.5047567496</v>
      </c>
      <c r="L78" s="253">
        <f t="shared" ref="L78" si="68">K78*(1+L79)</f>
        <v>6060270.721261506</v>
      </c>
      <c r="M78" s="253">
        <f t="shared" ref="M78" si="69">L78*(1+M79)</f>
        <v>6066330.9919827664</v>
      </c>
      <c r="N78" s="253">
        <f t="shared" ref="N78" si="70">M78*(1+N79)</f>
        <v>6072397.3229747489</v>
      </c>
      <c r="O78" s="253">
        <f t="shared" ref="O78" si="71">N78*(1+O79)</f>
        <v>6078469.7202977231</v>
      </c>
      <c r="P78" s="253">
        <f t="shared" ref="P78" si="72">O78*(1+P79)</f>
        <v>6084548.1900180206</v>
      </c>
      <c r="Q78" s="253">
        <f t="shared" ref="Q78" si="73">P78*(1+Q79)</f>
        <v>6090632.7382080378</v>
      </c>
      <c r="R78" s="253">
        <f t="shared" ref="R78" si="74">Q78*(1+R79)</f>
        <v>6096723.3709462453</v>
      </c>
      <c r="S78" s="253">
        <f t="shared" ref="S78" si="75">R78*(1+S79)</f>
        <v>6102820.0943171913</v>
      </c>
      <c r="T78" s="253">
        <f t="shared" ref="T78" si="76">S78*(1+T79)</f>
        <v>6108922.9144115075</v>
      </c>
      <c r="U78" s="253">
        <f t="shared" ref="U78" si="77">T78*(1+U79)</f>
        <v>6115031.8373259185</v>
      </c>
      <c r="V78" s="253">
        <f t="shared" ref="V78:W78" si="78">U78*(1+V79)</f>
        <v>6121146.869163244</v>
      </c>
      <c r="W78" s="253">
        <f t="shared" si="78"/>
        <v>6127268.0160324071</v>
      </c>
      <c r="X78" s="253">
        <f t="shared" ref="X78" si="79">W78*(1+X79)</f>
        <v>6133395.284048439</v>
      </c>
      <c r="Y78" s="368">
        <f t="shared" ref="Y78" si="80">X78*(1+Y79)</f>
        <v>6139528.6793324864</v>
      </c>
    </row>
    <row r="79" spans="1:25">
      <c r="A79" s="374" t="s">
        <v>101</v>
      </c>
      <c r="B79" s="366"/>
      <c r="C79" s="369">
        <v>1E-3</v>
      </c>
      <c r="D79" s="369">
        <v>1E-3</v>
      </c>
      <c r="E79" s="369">
        <v>1E-3</v>
      </c>
      <c r="F79" s="369">
        <v>1E-3</v>
      </c>
      <c r="G79" s="369">
        <v>1E-3</v>
      </c>
      <c r="H79" s="369">
        <v>1E-3</v>
      </c>
      <c r="I79" s="369">
        <v>1E-3</v>
      </c>
      <c r="J79" s="369">
        <v>1E-3</v>
      </c>
      <c r="K79" s="369">
        <v>1E-3</v>
      </c>
      <c r="L79" s="369">
        <v>1E-3</v>
      </c>
      <c r="M79" s="369">
        <v>1E-3</v>
      </c>
      <c r="N79" s="369">
        <v>1E-3</v>
      </c>
      <c r="O79" s="369">
        <v>1E-3</v>
      </c>
      <c r="P79" s="369">
        <v>1E-3</v>
      </c>
      <c r="Q79" s="369">
        <v>1E-3</v>
      </c>
      <c r="R79" s="369">
        <v>1E-3</v>
      </c>
      <c r="S79" s="369">
        <v>1E-3</v>
      </c>
      <c r="T79" s="481">
        <v>1E-3</v>
      </c>
      <c r="U79" s="369">
        <v>1E-3</v>
      </c>
      <c r="V79" s="369">
        <v>1E-3</v>
      </c>
      <c r="W79" s="369">
        <v>1E-3</v>
      </c>
      <c r="X79" s="369">
        <v>1E-3</v>
      </c>
      <c r="Y79" s="370">
        <v>1E-3</v>
      </c>
    </row>
    <row r="80" spans="1:25">
      <c r="A80" s="7"/>
      <c r="B80" s="366"/>
      <c r="Y80" s="14"/>
    </row>
    <row r="81" spans="1:25">
      <c r="A81" s="399" t="s">
        <v>313</v>
      </c>
      <c r="B81" s="398">
        <v>0.4</v>
      </c>
      <c r="C81" s="139">
        <f>B81</f>
        <v>0.4</v>
      </c>
      <c r="D81" s="139">
        <f t="shared" ref="D81:R81" si="81">C81</f>
        <v>0.4</v>
      </c>
      <c r="E81" s="139">
        <f t="shared" si="81"/>
        <v>0.4</v>
      </c>
      <c r="F81" s="139">
        <f t="shared" si="81"/>
        <v>0.4</v>
      </c>
      <c r="G81" s="139">
        <f t="shared" si="81"/>
        <v>0.4</v>
      </c>
      <c r="H81" s="139">
        <f t="shared" si="81"/>
        <v>0.4</v>
      </c>
      <c r="I81" s="139">
        <f t="shared" si="81"/>
        <v>0.4</v>
      </c>
      <c r="J81" s="139">
        <f t="shared" si="81"/>
        <v>0.4</v>
      </c>
      <c r="K81" s="139">
        <f t="shared" si="81"/>
        <v>0.4</v>
      </c>
      <c r="L81" s="139">
        <f t="shared" si="81"/>
        <v>0.4</v>
      </c>
      <c r="M81" s="139">
        <f t="shared" si="81"/>
        <v>0.4</v>
      </c>
      <c r="N81" s="139">
        <f t="shared" si="81"/>
        <v>0.4</v>
      </c>
      <c r="O81" s="139">
        <f t="shared" si="81"/>
        <v>0.4</v>
      </c>
      <c r="P81" s="139">
        <f t="shared" si="81"/>
        <v>0.4</v>
      </c>
      <c r="Q81" s="139">
        <f t="shared" si="81"/>
        <v>0.4</v>
      </c>
      <c r="R81" s="139">
        <f t="shared" si="81"/>
        <v>0.4</v>
      </c>
      <c r="S81" s="139">
        <f t="shared" ref="S81" si="82">R81</f>
        <v>0.4</v>
      </c>
      <c r="T81" s="139">
        <f t="shared" ref="T81" si="83">S81</f>
        <v>0.4</v>
      </c>
      <c r="U81" s="139">
        <f t="shared" ref="U81" si="84">T81</f>
        <v>0.4</v>
      </c>
      <c r="V81" s="139">
        <f t="shared" ref="V81:W81" si="85">U81</f>
        <v>0.4</v>
      </c>
      <c r="W81" s="139">
        <f t="shared" si="85"/>
        <v>0.4</v>
      </c>
      <c r="X81" s="139">
        <f t="shared" ref="X81" si="86">W81</f>
        <v>0.4</v>
      </c>
      <c r="Y81" s="400">
        <f t="shared" ref="Y81" si="87">X81</f>
        <v>0.4</v>
      </c>
    </row>
    <row r="82" spans="1:25">
      <c r="A82" s="7" t="s">
        <v>314</v>
      </c>
      <c r="B82" s="366">
        <f>B78*B81</f>
        <v>2400000</v>
      </c>
      <c r="C82" s="41">
        <f t="shared" ref="C82" si="88">C78*C81</f>
        <v>2402399.9999999995</v>
      </c>
      <c r="D82" s="41">
        <f t="shared" ref="D82" si="89">D78*D81</f>
        <v>2404802.3999999994</v>
      </c>
      <c r="E82" s="41">
        <f t="shared" ref="E82" si="90">E78*E81</f>
        <v>2407207.2023999989</v>
      </c>
      <c r="F82" s="41">
        <f t="shared" ref="F82" si="91">F78*F81</f>
        <v>2409614.409602399</v>
      </c>
      <c r="G82" s="41">
        <f t="shared" ref="G82" si="92">G78*G81</f>
        <v>2412024.0240120008</v>
      </c>
      <c r="H82" s="41">
        <f t="shared" ref="H82" si="93">H78*H81</f>
        <v>2414436.0480360123</v>
      </c>
      <c r="I82" s="41">
        <f t="shared" ref="I82" si="94">I78*I81</f>
        <v>2416850.4840840483</v>
      </c>
      <c r="J82" s="41">
        <f t="shared" ref="J82" si="95">J78*J81</f>
        <v>2419267.3345681322</v>
      </c>
      <c r="K82" s="41">
        <f t="shared" ref="K82" si="96">K78*K81</f>
        <v>2421686.6019027</v>
      </c>
      <c r="L82" s="41">
        <f t="shared" ref="L82" si="97">L78*L81</f>
        <v>2424108.2885046024</v>
      </c>
      <c r="M82" s="41">
        <f t="shared" ref="M82" si="98">M78*M81</f>
        <v>2426532.3967931066</v>
      </c>
      <c r="N82" s="41">
        <f t="shared" ref="N82" si="99">N78*N81</f>
        <v>2428958.9291898995</v>
      </c>
      <c r="O82" s="41">
        <f t="shared" ref="O82" si="100">O78*O81</f>
        <v>2431387.8881190894</v>
      </c>
      <c r="P82" s="41">
        <f t="shared" ref="P82" si="101">P78*P81</f>
        <v>2433819.2760072085</v>
      </c>
      <c r="Q82" s="41">
        <f t="shared" ref="Q82" si="102">Q78*Q81</f>
        <v>2436253.0952832154</v>
      </c>
      <c r="R82" s="41">
        <f t="shared" ref="R82:V82" si="103">R78*R81</f>
        <v>2438689.3483784981</v>
      </c>
      <c r="S82" s="41">
        <f t="shared" si="103"/>
        <v>2441128.0377268768</v>
      </c>
      <c r="T82" s="41">
        <f t="shared" si="103"/>
        <v>2443569.1657646033</v>
      </c>
      <c r="U82" s="41">
        <f t="shared" si="103"/>
        <v>2446012.7349303677</v>
      </c>
      <c r="V82" s="41">
        <f t="shared" si="103"/>
        <v>2448458.7476652977</v>
      </c>
      <c r="W82" s="41">
        <f t="shared" ref="W82:Y82" si="104">W78*W81</f>
        <v>2450907.2064129631</v>
      </c>
      <c r="X82" s="41">
        <f t="shared" si="104"/>
        <v>2453358.1136193755</v>
      </c>
      <c r="Y82" s="251">
        <f t="shared" si="104"/>
        <v>2455811.4717329945</v>
      </c>
    </row>
    <row r="83" spans="1:25">
      <c r="A83" s="7"/>
      <c r="B83" s="7"/>
      <c r="Y83" s="14"/>
    </row>
    <row r="84" spans="1:25">
      <c r="A84" s="399" t="s">
        <v>315</v>
      </c>
      <c r="B84" s="398">
        <v>0.3</v>
      </c>
      <c r="C84" s="139">
        <f>B84</f>
        <v>0.3</v>
      </c>
      <c r="D84" s="139">
        <f t="shared" ref="D84:R84" si="105">C84</f>
        <v>0.3</v>
      </c>
      <c r="E84" s="139">
        <f t="shared" si="105"/>
        <v>0.3</v>
      </c>
      <c r="F84" s="139">
        <f t="shared" si="105"/>
        <v>0.3</v>
      </c>
      <c r="G84" s="139">
        <f t="shared" si="105"/>
        <v>0.3</v>
      </c>
      <c r="H84" s="139">
        <f t="shared" si="105"/>
        <v>0.3</v>
      </c>
      <c r="I84" s="139">
        <f t="shared" si="105"/>
        <v>0.3</v>
      </c>
      <c r="J84" s="139">
        <f t="shared" si="105"/>
        <v>0.3</v>
      </c>
      <c r="K84" s="139">
        <f t="shared" si="105"/>
        <v>0.3</v>
      </c>
      <c r="L84" s="139">
        <f t="shared" si="105"/>
        <v>0.3</v>
      </c>
      <c r="M84" s="139">
        <f t="shared" si="105"/>
        <v>0.3</v>
      </c>
      <c r="N84" s="139">
        <f t="shared" si="105"/>
        <v>0.3</v>
      </c>
      <c r="O84" s="139">
        <f t="shared" si="105"/>
        <v>0.3</v>
      </c>
      <c r="P84" s="139">
        <f t="shared" si="105"/>
        <v>0.3</v>
      </c>
      <c r="Q84" s="139">
        <f t="shared" si="105"/>
        <v>0.3</v>
      </c>
      <c r="R84" s="139">
        <f t="shared" si="105"/>
        <v>0.3</v>
      </c>
      <c r="S84" s="139">
        <f t="shared" ref="S84" si="106">R84</f>
        <v>0.3</v>
      </c>
      <c r="T84" s="139">
        <f t="shared" ref="T84" si="107">S84</f>
        <v>0.3</v>
      </c>
      <c r="U84" s="139">
        <f t="shared" ref="U84" si="108">T84</f>
        <v>0.3</v>
      </c>
      <c r="V84" s="139">
        <f t="shared" ref="V84:W84" si="109">U84</f>
        <v>0.3</v>
      </c>
      <c r="W84" s="139">
        <f t="shared" si="109"/>
        <v>0.3</v>
      </c>
      <c r="X84" s="139">
        <f t="shared" ref="X84" si="110">W84</f>
        <v>0.3</v>
      </c>
      <c r="Y84" s="400">
        <f t="shared" ref="Y84" si="111">X84</f>
        <v>0.3</v>
      </c>
    </row>
    <row r="85" spans="1:25">
      <c r="A85" s="355" t="s">
        <v>316</v>
      </c>
      <c r="B85" s="401">
        <f>B84*B82</f>
        <v>720000</v>
      </c>
      <c r="C85" s="89">
        <f t="shared" ref="C85:R85" si="112">C84*C82</f>
        <v>720719.99999999988</v>
      </c>
      <c r="D85" s="89">
        <f t="shared" si="112"/>
        <v>721440.71999999986</v>
      </c>
      <c r="E85" s="89">
        <f t="shared" si="112"/>
        <v>722162.16071999969</v>
      </c>
      <c r="F85" s="89">
        <f t="shared" si="112"/>
        <v>722884.32288071967</v>
      </c>
      <c r="G85" s="89">
        <f t="shared" si="112"/>
        <v>723607.20720360021</v>
      </c>
      <c r="H85" s="89">
        <f t="shared" si="112"/>
        <v>724330.81441080372</v>
      </c>
      <c r="I85" s="89">
        <f t="shared" si="112"/>
        <v>725055.14522521442</v>
      </c>
      <c r="J85" s="89">
        <f t="shared" si="112"/>
        <v>725780.20037043968</v>
      </c>
      <c r="K85" s="89">
        <f t="shared" si="112"/>
        <v>726505.98057081003</v>
      </c>
      <c r="L85" s="89">
        <f t="shared" si="112"/>
        <v>727232.48655138072</v>
      </c>
      <c r="M85" s="89">
        <f t="shared" si="112"/>
        <v>727959.71903793199</v>
      </c>
      <c r="N85" s="89">
        <f t="shared" si="112"/>
        <v>728687.67875696986</v>
      </c>
      <c r="O85" s="89">
        <f t="shared" si="112"/>
        <v>729416.36643572676</v>
      </c>
      <c r="P85" s="89">
        <f t="shared" si="112"/>
        <v>730145.78280216258</v>
      </c>
      <c r="Q85" s="89">
        <f t="shared" si="112"/>
        <v>730875.9285849646</v>
      </c>
      <c r="R85" s="89">
        <f t="shared" si="112"/>
        <v>731606.80451354943</v>
      </c>
      <c r="S85" s="89">
        <f t="shared" ref="S85:V85" si="113">S84*S82</f>
        <v>732338.41131806304</v>
      </c>
      <c r="T85" s="89">
        <f t="shared" si="113"/>
        <v>733070.74972938094</v>
      </c>
      <c r="U85" s="89">
        <f t="shared" si="113"/>
        <v>733803.82047911023</v>
      </c>
      <c r="V85" s="89">
        <f t="shared" si="113"/>
        <v>734537.62429958931</v>
      </c>
      <c r="W85" s="89">
        <f t="shared" ref="W85:Y85" si="114">W84*W82</f>
        <v>735272.16192388895</v>
      </c>
      <c r="X85" s="89">
        <f t="shared" si="114"/>
        <v>736007.43408581265</v>
      </c>
      <c r="Y85" s="356">
        <f t="shared" si="114"/>
        <v>736743.44151989836</v>
      </c>
    </row>
    <row r="86" spans="1:25">
      <c r="A86" s="355"/>
      <c r="B86" s="401"/>
      <c r="C86" s="89"/>
      <c r="D86" s="89"/>
      <c r="E86" s="89"/>
      <c r="F86" s="89"/>
      <c r="G86" s="89"/>
      <c r="H86" s="89"/>
      <c r="I86" s="89"/>
      <c r="J86" s="89"/>
      <c r="K86" s="89"/>
      <c r="L86" s="89"/>
      <c r="M86" s="89"/>
      <c r="N86" s="89"/>
      <c r="O86" s="89"/>
      <c r="P86" s="89"/>
      <c r="Q86" s="89"/>
      <c r="R86" s="89"/>
      <c r="S86" s="89"/>
      <c r="T86" s="89"/>
      <c r="U86" s="89"/>
      <c r="V86" s="89"/>
      <c r="W86" s="89"/>
      <c r="Y86" s="14"/>
    </row>
    <row r="87" spans="1:25">
      <c r="A87" s="354" t="s">
        <v>309</v>
      </c>
      <c r="B87" s="7"/>
      <c r="Y87" s="14"/>
    </row>
    <row r="88" spans="1:25">
      <c r="A88" s="352" t="s">
        <v>321</v>
      </c>
      <c r="B88" s="7"/>
      <c r="I88" s="92"/>
      <c r="J88" s="487">
        <v>5.0000000000000001E-3</v>
      </c>
      <c r="K88" s="487">
        <v>1.4E-2</v>
      </c>
      <c r="L88" s="487">
        <v>2.5999999999999999E-2</v>
      </c>
      <c r="M88" s="487">
        <v>3.6999999999999998E-2</v>
      </c>
      <c r="N88" s="487">
        <v>4.3999999999999997E-2</v>
      </c>
      <c r="O88" s="487">
        <v>4.8000000000000001E-2</v>
      </c>
      <c r="P88" s="487">
        <v>0.05</v>
      </c>
      <c r="Q88" s="487">
        <f>P88*1.03</f>
        <v>5.1500000000000004E-2</v>
      </c>
      <c r="R88" s="487">
        <f>Q88</f>
        <v>5.1500000000000004E-2</v>
      </c>
      <c r="S88" s="487">
        <f>R88</f>
        <v>5.1500000000000004E-2</v>
      </c>
      <c r="T88" s="487">
        <f>S88</f>
        <v>5.1500000000000004E-2</v>
      </c>
      <c r="U88" s="487">
        <f>T88</f>
        <v>5.1500000000000004E-2</v>
      </c>
      <c r="V88" s="487">
        <f>U88</f>
        <v>5.1500000000000004E-2</v>
      </c>
      <c r="W88" s="487">
        <f>V88*0.5</f>
        <v>2.5750000000000002E-2</v>
      </c>
      <c r="X88" s="487">
        <f>W88*0.25</f>
        <v>6.4375000000000005E-3</v>
      </c>
      <c r="Y88" s="488">
        <f>X88*0.25</f>
        <v>1.6093750000000001E-3</v>
      </c>
    </row>
    <row r="89" spans="1:25">
      <c r="A89" s="7" t="s">
        <v>319</v>
      </c>
      <c r="B89" s="7"/>
      <c r="I89" s="41"/>
      <c r="J89" s="41">
        <f>J85*J88</f>
        <v>3628.9010018521985</v>
      </c>
      <c r="K89" s="41">
        <f t="shared" ref="K89:Y89" si="115">K85*K88</f>
        <v>10171.083727991341</v>
      </c>
      <c r="L89" s="41">
        <f t="shared" si="115"/>
        <v>18908.044650335898</v>
      </c>
      <c r="M89" s="41">
        <f t="shared" si="115"/>
        <v>26934.509604403484</v>
      </c>
      <c r="N89" s="41">
        <f>N85*N88</f>
        <v>32062.257865306674</v>
      </c>
      <c r="O89" s="41">
        <f t="shared" si="115"/>
        <v>35011.985588914882</v>
      </c>
      <c r="P89" s="41">
        <f t="shared" si="115"/>
        <v>36507.289140108129</v>
      </c>
      <c r="Q89" s="41">
        <f t="shared" si="115"/>
        <v>37640.110322125678</v>
      </c>
      <c r="R89" s="41">
        <f t="shared" si="115"/>
        <v>37677.7504324478</v>
      </c>
      <c r="S89" s="41">
        <f t="shared" si="115"/>
        <v>37715.428182880249</v>
      </c>
      <c r="T89" s="41">
        <f t="shared" si="115"/>
        <v>37753.143611063118</v>
      </c>
      <c r="U89" s="41">
        <f t="shared" si="115"/>
        <v>37790.896754674177</v>
      </c>
      <c r="V89" s="41">
        <f t="shared" si="115"/>
        <v>37828.687651428852</v>
      </c>
      <c r="W89" s="41">
        <f t="shared" si="115"/>
        <v>18933.258169540142</v>
      </c>
      <c r="X89" s="41">
        <f t="shared" si="115"/>
        <v>4738.0478569274192</v>
      </c>
      <c r="Y89" s="251">
        <f t="shared" si="115"/>
        <v>1185.6964761960865</v>
      </c>
    </row>
    <row r="90" spans="1:25">
      <c r="A90" s="7"/>
      <c r="B90" s="7"/>
      <c r="Y90" s="14"/>
    </row>
    <row r="91" spans="1:25">
      <c r="A91" s="7"/>
      <c r="B91" s="7"/>
      <c r="Y91" s="14"/>
    </row>
    <row r="92" spans="1:25">
      <c r="A92" s="7" t="s">
        <v>278</v>
      </c>
      <c r="B92" s="7"/>
      <c r="I92" s="89"/>
      <c r="J92" s="489">
        <v>2260.125</v>
      </c>
      <c r="K92" s="489">
        <v>2373.1312499999999</v>
      </c>
      <c r="L92" s="489">
        <v>2491.7878125000002</v>
      </c>
      <c r="M92" s="489">
        <v>2616.3772031250005</v>
      </c>
      <c r="N92" s="489">
        <v>2747.1960632812506</v>
      </c>
      <c r="O92" s="489">
        <v>2884.5558664453133</v>
      </c>
      <c r="P92" s="489">
        <v>3028.7836597675791</v>
      </c>
      <c r="Q92" s="489">
        <v>3180.222842755958</v>
      </c>
      <c r="R92" s="489">
        <v>3339.2339848937559</v>
      </c>
      <c r="S92" s="489">
        <v>3506.195684138444</v>
      </c>
      <c r="T92" s="489">
        <v>3681.5054683453664</v>
      </c>
      <c r="U92" s="489">
        <v>3865.5807417626347</v>
      </c>
      <c r="V92" s="489">
        <v>4058.8597788507668</v>
      </c>
      <c r="W92" s="489">
        <v>4261.8027677933051</v>
      </c>
      <c r="X92" s="489">
        <v>4474.8929061829704</v>
      </c>
      <c r="Y92" s="489">
        <v>4698.6375514921192</v>
      </c>
    </row>
    <row r="93" spans="1:25">
      <c r="A93" s="357" t="s">
        <v>279</v>
      </c>
      <c r="B93" s="7"/>
      <c r="J93" s="490"/>
      <c r="K93" s="491">
        <f>K92/J92-1</f>
        <v>5.0000000000000044E-2</v>
      </c>
      <c r="L93" s="491">
        <f t="shared" ref="L93:Y93" si="116">L92/K92-1</f>
        <v>5.0000000000000044E-2</v>
      </c>
      <c r="M93" s="491">
        <f t="shared" si="116"/>
        <v>5.0000000000000044E-2</v>
      </c>
      <c r="N93" s="491">
        <f t="shared" si="116"/>
        <v>5.0000000000000044E-2</v>
      </c>
      <c r="O93" s="491">
        <f t="shared" si="116"/>
        <v>5.0000000000000044E-2</v>
      </c>
      <c r="P93" s="491">
        <f t="shared" si="116"/>
        <v>5.0000000000000044E-2</v>
      </c>
      <c r="Q93" s="491">
        <f t="shared" si="116"/>
        <v>5.0000000000000044E-2</v>
      </c>
      <c r="R93" s="491">
        <f t="shared" si="116"/>
        <v>5.0000000000000044E-2</v>
      </c>
      <c r="S93" s="491">
        <f t="shared" si="116"/>
        <v>5.0000000000000044E-2</v>
      </c>
      <c r="T93" s="491">
        <f t="shared" si="116"/>
        <v>5.0000000000000044E-2</v>
      </c>
      <c r="U93" s="491">
        <f t="shared" si="116"/>
        <v>5.0000000000000044E-2</v>
      </c>
      <c r="V93" s="491">
        <f t="shared" si="116"/>
        <v>5.0000000000000044E-2</v>
      </c>
      <c r="W93" s="491">
        <f t="shared" si="116"/>
        <v>5.0000000000000044E-2</v>
      </c>
      <c r="X93" s="491">
        <f t="shared" si="116"/>
        <v>5.0000000000000044E-2</v>
      </c>
      <c r="Y93" s="492">
        <f t="shared" si="116"/>
        <v>5.0000000000000044E-2</v>
      </c>
    </row>
    <row r="94" spans="1:25">
      <c r="A94" s="7"/>
      <c r="B94" s="7"/>
      <c r="Y94" s="14"/>
    </row>
    <row r="95" spans="1:25">
      <c r="A95" s="7"/>
      <c r="B95" s="7"/>
      <c r="Y95" s="14"/>
    </row>
    <row r="96" spans="1:25">
      <c r="A96" s="21" t="s">
        <v>280</v>
      </c>
      <c r="B96" s="7"/>
      <c r="J96" s="87">
        <v>12</v>
      </c>
      <c r="K96">
        <f>J96</f>
        <v>12</v>
      </c>
      <c r="L96">
        <f t="shared" ref="L96:X96" si="117">K96</f>
        <v>12</v>
      </c>
      <c r="M96">
        <f t="shared" si="117"/>
        <v>12</v>
      </c>
      <c r="N96">
        <f t="shared" si="117"/>
        <v>12</v>
      </c>
      <c r="O96">
        <f t="shared" si="117"/>
        <v>12</v>
      </c>
      <c r="P96">
        <f t="shared" si="117"/>
        <v>12</v>
      </c>
      <c r="Q96">
        <f t="shared" si="117"/>
        <v>12</v>
      </c>
      <c r="R96">
        <f t="shared" si="117"/>
        <v>12</v>
      </c>
      <c r="S96">
        <f t="shared" si="117"/>
        <v>12</v>
      </c>
      <c r="T96">
        <f t="shared" si="117"/>
        <v>12</v>
      </c>
      <c r="U96">
        <f t="shared" si="117"/>
        <v>12</v>
      </c>
      <c r="V96">
        <f t="shared" si="117"/>
        <v>12</v>
      </c>
      <c r="W96">
        <f t="shared" si="117"/>
        <v>12</v>
      </c>
      <c r="X96">
        <f t="shared" si="117"/>
        <v>12</v>
      </c>
      <c r="Y96" s="14">
        <f>X96</f>
        <v>12</v>
      </c>
    </row>
    <row r="97" spans="1:25">
      <c r="A97" s="7" t="s">
        <v>281</v>
      </c>
      <c r="B97" s="7"/>
      <c r="I97" s="89"/>
      <c r="J97" s="89">
        <f t="shared" ref="J97:L97" si="118">J92*J96</f>
        <v>27121.5</v>
      </c>
      <c r="K97" s="89">
        <f t="shared" si="118"/>
        <v>28477.574999999997</v>
      </c>
      <c r="L97" s="89">
        <f t="shared" si="118"/>
        <v>29901.453750000001</v>
      </c>
      <c r="M97" s="89">
        <f t="shared" ref="M97" si="119">M92*M96</f>
        <v>31396.526437500004</v>
      </c>
      <c r="N97" s="89">
        <f t="shared" ref="N97" si="120">N92*N96</f>
        <v>32966.352759375004</v>
      </c>
      <c r="O97" s="89">
        <f t="shared" ref="O97" si="121">O92*O96</f>
        <v>34614.670397343762</v>
      </c>
      <c r="P97" s="89">
        <f t="shared" ref="P97" si="122">P92*P96</f>
        <v>36345.403917210948</v>
      </c>
      <c r="Q97" s="89">
        <f t="shared" ref="Q97" si="123">Q92*Q96</f>
        <v>38162.674113071495</v>
      </c>
      <c r="R97" s="89">
        <f t="shared" ref="R97:V97" si="124">R92*R96</f>
        <v>40070.807818725072</v>
      </c>
      <c r="S97" s="89">
        <f t="shared" si="124"/>
        <v>42074.34820966133</v>
      </c>
      <c r="T97" s="89">
        <f t="shared" si="124"/>
        <v>44178.065620144393</v>
      </c>
      <c r="U97" s="89">
        <f t="shared" si="124"/>
        <v>46386.968901151617</v>
      </c>
      <c r="V97" s="89">
        <f t="shared" si="124"/>
        <v>48706.317346209202</v>
      </c>
      <c r="W97" s="89">
        <f t="shared" ref="W97:Y97" si="125">W92*W96</f>
        <v>51141.633213519657</v>
      </c>
      <c r="X97" s="89">
        <f t="shared" si="125"/>
        <v>53698.714874195648</v>
      </c>
      <c r="Y97" s="356">
        <f t="shared" si="125"/>
        <v>56383.650617905427</v>
      </c>
    </row>
    <row r="98" spans="1:25">
      <c r="A98" s="357" t="s">
        <v>239</v>
      </c>
      <c r="B98" s="7"/>
      <c r="I98" s="367"/>
      <c r="J98" s="379">
        <v>0</v>
      </c>
      <c r="K98" s="379">
        <v>0</v>
      </c>
      <c r="L98" s="379">
        <v>0</v>
      </c>
      <c r="M98" s="379">
        <v>0</v>
      </c>
      <c r="N98" s="379">
        <v>0</v>
      </c>
      <c r="O98" s="379">
        <v>0</v>
      </c>
      <c r="P98" s="379">
        <v>0</v>
      </c>
      <c r="Q98" s="379">
        <v>0</v>
      </c>
      <c r="R98" s="379">
        <v>0</v>
      </c>
      <c r="S98" s="379">
        <v>0</v>
      </c>
      <c r="T98" s="379">
        <v>0.35</v>
      </c>
      <c r="U98" s="379">
        <v>0.35</v>
      </c>
      <c r="V98" s="379">
        <v>0.35499999999999998</v>
      </c>
      <c r="W98" s="379">
        <v>0.36</v>
      </c>
      <c r="X98" s="379">
        <v>0.36499999999999999</v>
      </c>
      <c r="Y98" s="380">
        <v>0.37</v>
      </c>
    </row>
    <row r="99" spans="1:25">
      <c r="A99" s="7" t="s">
        <v>282</v>
      </c>
      <c r="B99" s="7"/>
      <c r="I99" s="29"/>
      <c r="J99" s="29">
        <f t="shared" ref="J99:K99" si="126">J97*(1-J98)</f>
        <v>27121.5</v>
      </c>
      <c r="K99" s="29">
        <f t="shared" si="126"/>
        <v>28477.574999999997</v>
      </c>
      <c r="L99" s="29">
        <f>L97*(1-L98)</f>
        <v>29901.453750000001</v>
      </c>
      <c r="M99" s="29">
        <f t="shared" ref="M99:R99" si="127">M97*(1-M98)</f>
        <v>31396.526437500004</v>
      </c>
      <c r="N99" s="29">
        <f t="shared" si="127"/>
        <v>32966.352759375004</v>
      </c>
      <c r="O99" s="29">
        <f t="shared" si="127"/>
        <v>34614.670397343762</v>
      </c>
      <c r="P99" s="29">
        <f t="shared" si="127"/>
        <v>36345.403917210948</v>
      </c>
      <c r="Q99" s="29">
        <f t="shared" si="127"/>
        <v>38162.674113071495</v>
      </c>
      <c r="R99" s="29">
        <f t="shared" si="127"/>
        <v>40070.807818725072</v>
      </c>
      <c r="S99" s="29">
        <f t="shared" ref="S99:V99" si="128">S97*(1-S98)</f>
        <v>42074.34820966133</v>
      </c>
      <c r="T99" s="29">
        <f t="shared" si="128"/>
        <v>28715.742653093857</v>
      </c>
      <c r="U99" s="29">
        <f t="shared" si="128"/>
        <v>30151.529785748553</v>
      </c>
      <c r="V99" s="29">
        <f t="shared" si="128"/>
        <v>31415.574688304936</v>
      </c>
      <c r="W99" s="29">
        <f t="shared" ref="W99:Y99" si="129">W97*(1-W98)</f>
        <v>32730.64525665258</v>
      </c>
      <c r="X99" s="29">
        <f t="shared" si="129"/>
        <v>34098.683945114237</v>
      </c>
      <c r="Y99" s="359">
        <f t="shared" si="129"/>
        <v>35521.699889280419</v>
      </c>
    </row>
    <row r="100" spans="1:25">
      <c r="A100" s="7"/>
      <c r="B100" s="7"/>
      <c r="Y100" s="14"/>
    </row>
    <row r="101" spans="1:25" ht="15" thickBot="1">
      <c r="A101" s="7"/>
      <c r="B101" s="17"/>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371"/>
    </row>
    <row r="102" spans="1:25" ht="15" thickBot="1">
      <c r="A102" s="2" t="s">
        <v>286</v>
      </c>
      <c r="B102" s="46"/>
      <c r="C102" s="360"/>
      <c r="D102" s="360"/>
      <c r="E102" s="360"/>
      <c r="F102" s="360"/>
      <c r="G102" s="360"/>
      <c r="H102" s="360"/>
      <c r="I102" s="289">
        <f>(I99*I89)/1000000</f>
        <v>0</v>
      </c>
      <c r="J102" s="289">
        <f t="shared" ref="J102:Y102" si="130">(J99*J89)/1000000</f>
        <v>98.421238521734395</v>
      </c>
      <c r="K102" s="289">
        <f t="shared" si="130"/>
        <v>289.64779969515303</v>
      </c>
      <c r="L102" s="289">
        <f t="shared" si="130"/>
        <v>565.37802261495381</v>
      </c>
      <c r="M102" s="289">
        <f t="shared" si="130"/>
        <v>845.65004287575175</v>
      </c>
      <c r="N102" s="289">
        <f t="shared" si="130"/>
        <v>1056.9757030497456</v>
      </c>
      <c r="O102" s="289">
        <f t="shared" si="130"/>
        <v>1211.9283411168385</v>
      </c>
      <c r="P102" s="289">
        <f t="shared" si="130"/>
        <v>1326.8721697196386</v>
      </c>
      <c r="Q102" s="289">
        <f t="shared" si="130"/>
        <v>1436.4472638033408</v>
      </c>
      <c r="R102" s="289">
        <f t="shared" si="130"/>
        <v>1509.7778966205012</v>
      </c>
      <c r="S102" s="289">
        <f t="shared" si="130"/>
        <v>1586.852058242978</v>
      </c>
      <c r="T102" s="289">
        <f t="shared" si="130"/>
        <v>1084.1095562805831</v>
      </c>
      <c r="U102" s="289">
        <f t="shared" si="130"/>
        <v>1139.4533491287068</v>
      </c>
      <c r="V102" s="289">
        <f t="shared" si="130"/>
        <v>1188.4099622740218</v>
      </c>
      <c r="W102" s="289">
        <f t="shared" si="130"/>
        <v>619.69775669983778</v>
      </c>
      <c r="X102" s="289">
        <f t="shared" si="130"/>
        <v>161.56119639019391</v>
      </c>
      <c r="Y102" s="361">
        <f t="shared" si="130"/>
        <v>42.117954387214702</v>
      </c>
    </row>
    <row r="103" spans="1:25" ht="15" thickBot="1">
      <c r="A103" s="365" t="s">
        <v>94</v>
      </c>
      <c r="B103" s="46"/>
      <c r="C103" s="360"/>
      <c r="D103" s="360"/>
      <c r="E103" s="360"/>
      <c r="F103" s="360"/>
      <c r="G103" s="360"/>
      <c r="H103" s="360"/>
      <c r="I103" s="360"/>
      <c r="J103" s="470"/>
      <c r="K103" s="470">
        <f t="shared" ref="K103:L103" si="131">K102/J102-1</f>
        <v>1.9429400000000001</v>
      </c>
      <c r="L103" s="470">
        <f t="shared" si="131"/>
        <v>0.95194999999999941</v>
      </c>
      <c r="M103" s="470">
        <f>M102/L102-1</f>
        <v>0.49572499999999997</v>
      </c>
      <c r="N103" s="470">
        <f>N102/M102-1</f>
        <v>0.24989729729729704</v>
      </c>
      <c r="O103" s="470">
        <f t="shared" ref="O103:W103" si="132">O102/N102-1</f>
        <v>0.14660000000000029</v>
      </c>
      <c r="P103" s="470">
        <f t="shared" si="132"/>
        <v>9.4843749999999893E-2</v>
      </c>
      <c r="Q103" s="470">
        <f t="shared" si="132"/>
        <v>8.2581499999999863E-2</v>
      </c>
      <c r="R103" s="470">
        <f t="shared" si="132"/>
        <v>5.105000000000004E-2</v>
      </c>
      <c r="S103" s="470">
        <f t="shared" si="132"/>
        <v>5.1050000000000262E-2</v>
      </c>
      <c r="T103" s="470">
        <f t="shared" si="132"/>
        <v>-0.3168175000000002</v>
      </c>
      <c r="U103" s="470">
        <f t="shared" si="132"/>
        <v>5.105000000000004E-2</v>
      </c>
      <c r="V103" s="470">
        <f t="shared" si="132"/>
        <v>4.2965000000000142E-2</v>
      </c>
      <c r="W103" s="470">
        <f t="shared" si="132"/>
        <v>-0.47854883720930241</v>
      </c>
      <c r="X103" s="470">
        <f t="shared" ref="X103" si="133">X102/W102-1</f>
        <v>-0.73929033203125005</v>
      </c>
      <c r="Y103" s="493">
        <f t="shared" ref="Y103" si="134">Y102/X102-1</f>
        <v>-0.73930649606299226</v>
      </c>
    </row>
    <row r="104" spans="1:25">
      <c r="J104" s="11">
        <v>63.48169884651869</v>
      </c>
      <c r="K104" s="11">
        <v>198.61563407667632</v>
      </c>
      <c r="L104" s="11">
        <v>359.01504436049566</v>
      </c>
      <c r="M104" s="11">
        <v>532.75952701172355</v>
      </c>
      <c r="N104" s="11">
        <v>690.63753324273159</v>
      </c>
      <c r="O104" s="11">
        <v>829.66594352290235</v>
      </c>
      <c r="P104" s="11">
        <v>930.27007819043865</v>
      </c>
    </row>
    <row r="111" spans="1:25">
      <c r="J111">
        <v>63.48169884651869</v>
      </c>
      <c r="K111">
        <v>198.61563407667632</v>
      </c>
      <c r="L111">
        <v>331.39850248661145</v>
      </c>
      <c r="M111">
        <v>503.96171474081967</v>
      </c>
      <c r="N111">
        <v>660.609814406091</v>
      </c>
      <c r="O111">
        <v>782.70372030462488</v>
      </c>
      <c r="P111">
        <v>881.308495127784</v>
      </c>
      <c r="Q111">
        <v>964.7068254983717</v>
      </c>
      <c r="R111">
        <v>1055.9262015642221</v>
      </c>
      <c r="S111">
        <v>1155.6920289538309</v>
      </c>
      <c r="T111">
        <v>1204.567689473324</v>
      </c>
      <c r="U111">
        <v>1255.4217030459713</v>
      </c>
      <c r="V111">
        <v>1308.3286845374305</v>
      </c>
      <c r="W111">
        <v>681.68285560015249</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ECE4-8B55-40BA-9B38-79366C05EB71}">
  <dimension ref="A1:R30"/>
  <sheetViews>
    <sheetView topLeftCell="A9" workbookViewId="0">
      <selection activeCell="R15" sqref="R15"/>
    </sheetView>
  </sheetViews>
  <sheetFormatPr defaultRowHeight="14.5"/>
  <cols>
    <col min="1" max="1" width="45.1796875" customWidth="1"/>
  </cols>
  <sheetData>
    <row r="1" spans="1:18" ht="15" thickBot="1"/>
    <row r="2" spans="1:18" ht="15" thickBot="1">
      <c r="A2" s="13" t="s">
        <v>288</v>
      </c>
      <c r="B2" s="26" t="s">
        <v>0</v>
      </c>
      <c r="C2" s="132" t="s">
        <v>1</v>
      </c>
      <c r="D2" s="132" t="s">
        <v>2</v>
      </c>
      <c r="E2" s="132" t="s">
        <v>3</v>
      </c>
      <c r="F2" s="132" t="s">
        <v>4</v>
      </c>
      <c r="G2" s="132" t="s">
        <v>5</v>
      </c>
      <c r="H2" s="132" t="s">
        <v>6</v>
      </c>
      <c r="I2" s="132" t="s">
        <v>103</v>
      </c>
      <c r="J2" s="132" t="s">
        <v>104</v>
      </c>
      <c r="K2" s="132" t="s">
        <v>105</v>
      </c>
      <c r="L2" s="132" t="s">
        <v>106</v>
      </c>
      <c r="M2" s="132" t="s">
        <v>107</v>
      </c>
      <c r="N2" s="132" t="s">
        <v>148</v>
      </c>
      <c r="O2" s="132" t="s">
        <v>270</v>
      </c>
      <c r="P2" s="132" t="s">
        <v>283</v>
      </c>
      <c r="Q2" s="132" t="s">
        <v>284</v>
      </c>
      <c r="R2" s="4" t="s">
        <v>285</v>
      </c>
    </row>
    <row r="3" spans="1:18" ht="7" customHeight="1">
      <c r="A3" s="353"/>
      <c r="B3" s="119"/>
      <c r="C3" s="20"/>
      <c r="D3" s="20"/>
      <c r="E3" s="20"/>
      <c r="F3" s="20"/>
      <c r="G3" s="20"/>
      <c r="H3" s="20"/>
      <c r="I3" s="20"/>
      <c r="J3" s="20"/>
      <c r="K3" s="20"/>
      <c r="L3" s="20"/>
      <c r="M3" s="20"/>
      <c r="N3" s="20"/>
      <c r="O3" s="20"/>
      <c r="P3" s="20"/>
      <c r="Q3" s="20"/>
      <c r="R3" s="340"/>
    </row>
    <row r="4" spans="1:18" ht="26.15" customHeight="1">
      <c r="A4" s="372" t="s">
        <v>329</v>
      </c>
      <c r="B4" s="75">
        <v>1000000</v>
      </c>
      <c r="C4" s="41">
        <f>B4*(1+C5)</f>
        <v>1000999.9999999999</v>
      </c>
      <c r="D4" s="41">
        <f t="shared" ref="D4:R4" si="0">C4*(1+D5)</f>
        <v>1002000.9999999998</v>
      </c>
      <c r="E4" s="41">
        <f t="shared" si="0"/>
        <v>1003003.0009999997</v>
      </c>
      <c r="F4" s="41">
        <f t="shared" si="0"/>
        <v>1004006.0040009996</v>
      </c>
      <c r="G4" s="41">
        <f t="shared" si="0"/>
        <v>1005010.0100050005</v>
      </c>
      <c r="H4" s="41">
        <f t="shared" si="0"/>
        <v>1006015.0200150054</v>
      </c>
      <c r="I4" s="41">
        <f t="shared" si="0"/>
        <v>1007021.0350350203</v>
      </c>
      <c r="J4" s="41">
        <f t="shared" si="0"/>
        <v>1008028.0560700552</v>
      </c>
      <c r="K4" s="41">
        <f t="shared" si="0"/>
        <v>1009036.0841261252</v>
      </c>
      <c r="L4" s="41">
        <f t="shared" si="0"/>
        <v>1010045.1202102512</v>
      </c>
      <c r="M4" s="41">
        <f t="shared" si="0"/>
        <v>1011055.1653304613</v>
      </c>
      <c r="N4" s="41">
        <f t="shared" si="0"/>
        <v>1012066.2204957916</v>
      </c>
      <c r="O4" s="41">
        <f t="shared" si="0"/>
        <v>1013078.2867162874</v>
      </c>
      <c r="P4" s="41">
        <f t="shared" si="0"/>
        <v>1014091.3650030035</v>
      </c>
      <c r="Q4" s="41">
        <f t="shared" si="0"/>
        <v>1015105.4563680064</v>
      </c>
      <c r="R4" s="251">
        <f t="shared" si="0"/>
        <v>1016120.5618243744</v>
      </c>
    </row>
    <row r="5" spans="1:18" ht="19.5" customHeight="1">
      <c r="A5" s="375" t="s">
        <v>289</v>
      </c>
      <c r="B5" s="7"/>
      <c r="C5" s="369">
        <v>1E-3</v>
      </c>
      <c r="D5" s="369">
        <v>1E-3</v>
      </c>
      <c r="E5" s="369">
        <v>1E-3</v>
      </c>
      <c r="F5" s="369">
        <v>1E-3</v>
      </c>
      <c r="G5" s="369">
        <v>1E-3</v>
      </c>
      <c r="H5" s="369">
        <v>1E-3</v>
      </c>
      <c r="I5" s="369">
        <v>1E-3</v>
      </c>
      <c r="J5" s="369">
        <v>1E-3</v>
      </c>
      <c r="K5" s="369">
        <v>1E-3</v>
      </c>
      <c r="L5" s="369">
        <v>1E-3</v>
      </c>
      <c r="M5" s="369">
        <v>1E-3</v>
      </c>
      <c r="N5" s="369">
        <v>1E-3</v>
      </c>
      <c r="O5" s="369">
        <v>1E-3</v>
      </c>
      <c r="P5" s="369">
        <v>1E-3</v>
      </c>
      <c r="Q5" s="369">
        <v>1E-3</v>
      </c>
      <c r="R5" s="370">
        <v>1E-3</v>
      </c>
    </row>
    <row r="6" spans="1:18" ht="30" customHeight="1">
      <c r="A6" s="372" t="s">
        <v>330</v>
      </c>
      <c r="B6" s="75">
        <v>3000000</v>
      </c>
      <c r="C6" s="41">
        <f>B6*(1+C7)</f>
        <v>3002999.9999999995</v>
      </c>
      <c r="D6" s="41">
        <f t="shared" ref="D6:R6" si="1">C6*(1+D7)</f>
        <v>3006002.9999999991</v>
      </c>
      <c r="E6" s="41">
        <f t="shared" si="1"/>
        <v>3009009.0029999986</v>
      </c>
      <c r="F6" s="41">
        <f t="shared" si="1"/>
        <v>3012018.0120029985</v>
      </c>
      <c r="G6" s="41">
        <f t="shared" si="1"/>
        <v>3015030.0300150011</v>
      </c>
      <c r="H6" s="41">
        <f t="shared" si="1"/>
        <v>3018045.0600450155</v>
      </c>
      <c r="I6" s="41">
        <f t="shared" si="1"/>
        <v>3021063.1051050602</v>
      </c>
      <c r="J6" s="41">
        <f t="shared" si="1"/>
        <v>3024084.1682101651</v>
      </c>
      <c r="K6" s="41">
        <f t="shared" si="1"/>
        <v>3027108.2523783748</v>
      </c>
      <c r="L6" s="41">
        <f t="shared" si="1"/>
        <v>3030135.360630753</v>
      </c>
      <c r="M6" s="41">
        <f t="shared" si="1"/>
        <v>3033165.4959913832</v>
      </c>
      <c r="N6" s="41">
        <f t="shared" si="1"/>
        <v>3036198.6614873745</v>
      </c>
      <c r="O6" s="41">
        <f t="shared" si="1"/>
        <v>3039234.8601488615</v>
      </c>
      <c r="P6" s="41">
        <f t="shared" si="1"/>
        <v>3042274.0950090103</v>
      </c>
      <c r="Q6" s="41">
        <f t="shared" si="1"/>
        <v>3045316.3691040189</v>
      </c>
      <c r="R6" s="251">
        <f t="shared" si="1"/>
        <v>3048361.6854731226</v>
      </c>
    </row>
    <row r="7" spans="1:18">
      <c r="A7" s="372"/>
      <c r="B7" s="7"/>
      <c r="C7" s="369">
        <v>1E-3</v>
      </c>
      <c r="D7" s="369">
        <v>1E-3</v>
      </c>
      <c r="E7" s="369">
        <v>1E-3</v>
      </c>
      <c r="F7" s="369">
        <v>1E-3</v>
      </c>
      <c r="G7" s="369">
        <v>1E-3</v>
      </c>
      <c r="H7" s="369">
        <v>1E-3</v>
      </c>
      <c r="I7" s="369">
        <v>1E-3</v>
      </c>
      <c r="J7" s="369">
        <v>1E-3</v>
      </c>
      <c r="K7" s="369">
        <v>1E-3</v>
      </c>
      <c r="L7" s="369">
        <v>1E-3</v>
      </c>
      <c r="M7" s="369">
        <v>1E-3</v>
      </c>
      <c r="N7" s="369">
        <v>1E-3</v>
      </c>
      <c r="O7" s="369">
        <v>1E-3</v>
      </c>
      <c r="P7" s="369">
        <v>1E-3</v>
      </c>
      <c r="Q7" s="369">
        <v>1E-3</v>
      </c>
      <c r="R7" s="370">
        <v>1E-3</v>
      </c>
    </row>
    <row r="8" spans="1:18" ht="15" customHeight="1">
      <c r="A8" s="372"/>
      <c r="B8" s="7"/>
      <c r="C8" s="369"/>
      <c r="D8" s="369"/>
      <c r="E8" s="369"/>
      <c r="F8" s="369"/>
      <c r="G8" s="369"/>
      <c r="H8" s="369"/>
      <c r="I8" s="369"/>
      <c r="J8" s="369"/>
      <c r="K8" s="369"/>
      <c r="L8" s="369"/>
      <c r="M8" s="369"/>
      <c r="N8" s="369"/>
      <c r="O8" s="369"/>
      <c r="P8" s="369"/>
      <c r="Q8" s="369"/>
      <c r="R8" s="370"/>
    </row>
    <row r="9" spans="1:18" ht="26.5" customHeight="1">
      <c r="A9" s="372" t="s">
        <v>331</v>
      </c>
      <c r="B9" s="366">
        <f>B4+B6</f>
        <v>4000000</v>
      </c>
      <c r="C9" s="41">
        <f t="shared" ref="C9:R9" si="2">C4+C6</f>
        <v>4003999.9999999995</v>
      </c>
      <c r="D9" s="41">
        <f t="shared" si="2"/>
        <v>4008003.9999999991</v>
      </c>
      <c r="E9" s="41">
        <f t="shared" si="2"/>
        <v>4012012.0039999983</v>
      </c>
      <c r="F9" s="41">
        <f t="shared" si="2"/>
        <v>4016024.016003998</v>
      </c>
      <c r="G9" s="41">
        <f t="shared" si="2"/>
        <v>4020040.0400200016</v>
      </c>
      <c r="H9" s="41">
        <f t="shared" si="2"/>
        <v>4024060.080060021</v>
      </c>
      <c r="I9" s="41">
        <f t="shared" si="2"/>
        <v>4028084.1401400804</v>
      </c>
      <c r="J9" s="41">
        <f t="shared" si="2"/>
        <v>4032112.2242802205</v>
      </c>
      <c r="K9" s="41">
        <f t="shared" si="2"/>
        <v>4036144.3365044999</v>
      </c>
      <c r="L9" s="41">
        <f t="shared" si="2"/>
        <v>4040180.4808410043</v>
      </c>
      <c r="M9" s="41">
        <f t="shared" si="2"/>
        <v>4044220.6613218444</v>
      </c>
      <c r="N9" s="41">
        <f t="shared" si="2"/>
        <v>4048264.8819831661</v>
      </c>
      <c r="O9" s="41">
        <f t="shared" si="2"/>
        <v>4052313.146865149</v>
      </c>
      <c r="P9" s="41">
        <f t="shared" si="2"/>
        <v>4056365.460012014</v>
      </c>
      <c r="Q9" s="41">
        <f t="shared" si="2"/>
        <v>4060421.8254720252</v>
      </c>
      <c r="R9" s="251">
        <f t="shared" si="2"/>
        <v>4064482.247297497</v>
      </c>
    </row>
    <row r="10" spans="1:18" ht="41.15" customHeight="1">
      <c r="A10" s="352" t="s">
        <v>290</v>
      </c>
      <c r="B10" s="377">
        <v>0.2</v>
      </c>
      <c r="C10" s="373">
        <f>B10</f>
        <v>0.2</v>
      </c>
      <c r="D10" s="373">
        <f t="shared" ref="D10:R12" si="3">C10</f>
        <v>0.2</v>
      </c>
      <c r="E10" s="373">
        <f t="shared" si="3"/>
        <v>0.2</v>
      </c>
      <c r="F10" s="373">
        <f t="shared" si="3"/>
        <v>0.2</v>
      </c>
      <c r="G10" s="373">
        <f t="shared" si="3"/>
        <v>0.2</v>
      </c>
      <c r="H10" s="373">
        <f t="shared" si="3"/>
        <v>0.2</v>
      </c>
      <c r="I10" s="373">
        <f t="shared" si="3"/>
        <v>0.2</v>
      </c>
      <c r="J10" s="373">
        <f t="shared" si="3"/>
        <v>0.2</v>
      </c>
      <c r="K10" s="373">
        <f t="shared" si="3"/>
        <v>0.2</v>
      </c>
      <c r="L10" s="373">
        <f t="shared" si="3"/>
        <v>0.2</v>
      </c>
      <c r="M10" s="373">
        <f t="shared" si="3"/>
        <v>0.2</v>
      </c>
      <c r="N10" s="373">
        <f t="shared" si="3"/>
        <v>0.2</v>
      </c>
      <c r="O10" s="373">
        <f t="shared" si="3"/>
        <v>0.2</v>
      </c>
      <c r="P10" s="373">
        <f t="shared" si="3"/>
        <v>0.2</v>
      </c>
      <c r="Q10" s="373">
        <f t="shared" si="3"/>
        <v>0.2</v>
      </c>
      <c r="R10" s="378">
        <f t="shared" si="3"/>
        <v>0.2</v>
      </c>
    </row>
    <row r="11" spans="1:18" ht="36" customHeight="1">
      <c r="A11" s="352" t="s">
        <v>293</v>
      </c>
      <c r="B11" s="403">
        <f>B9*B10</f>
        <v>800000</v>
      </c>
      <c r="C11" s="404">
        <f t="shared" ref="C11:R11" si="4">C9*C10</f>
        <v>800800</v>
      </c>
      <c r="D11" s="404">
        <f t="shared" si="4"/>
        <v>801600.79999999981</v>
      </c>
      <c r="E11" s="404">
        <f t="shared" si="4"/>
        <v>802402.40079999971</v>
      </c>
      <c r="F11" s="404">
        <f t="shared" si="4"/>
        <v>803204.80320079962</v>
      </c>
      <c r="G11" s="404">
        <f t="shared" si="4"/>
        <v>804008.00800400041</v>
      </c>
      <c r="H11" s="404">
        <f t="shared" si="4"/>
        <v>804812.01601200423</v>
      </c>
      <c r="I11" s="404">
        <f t="shared" si="4"/>
        <v>805616.82802801614</v>
      </c>
      <c r="J11" s="404">
        <f t="shared" si="4"/>
        <v>806422.44485604414</v>
      </c>
      <c r="K11" s="404">
        <f t="shared" si="4"/>
        <v>807228.86730090005</v>
      </c>
      <c r="L11" s="404">
        <f t="shared" si="4"/>
        <v>808036.09616820095</v>
      </c>
      <c r="M11" s="404">
        <f t="shared" si="4"/>
        <v>808844.13226436893</v>
      </c>
      <c r="N11" s="404">
        <f t="shared" si="4"/>
        <v>809652.97639663331</v>
      </c>
      <c r="O11" s="404">
        <f t="shared" si="4"/>
        <v>810462.62937302981</v>
      </c>
      <c r="P11" s="404">
        <f t="shared" si="4"/>
        <v>811273.09200240287</v>
      </c>
      <c r="Q11" s="404">
        <f t="shared" si="4"/>
        <v>812084.36509440513</v>
      </c>
      <c r="R11" s="405">
        <f t="shared" si="4"/>
        <v>812896.44945949945</v>
      </c>
    </row>
    <row r="12" spans="1:18" ht="25" customHeight="1">
      <c r="A12" s="352" t="s">
        <v>291</v>
      </c>
      <c r="B12" s="377">
        <v>0.15</v>
      </c>
      <c r="C12" s="373">
        <f>B12</f>
        <v>0.15</v>
      </c>
      <c r="D12" s="373">
        <f t="shared" si="3"/>
        <v>0.15</v>
      </c>
      <c r="E12" s="373">
        <f t="shared" si="3"/>
        <v>0.15</v>
      </c>
      <c r="F12" s="373">
        <f t="shared" si="3"/>
        <v>0.15</v>
      </c>
      <c r="G12" s="373">
        <f t="shared" si="3"/>
        <v>0.15</v>
      </c>
      <c r="H12" s="373">
        <f t="shared" si="3"/>
        <v>0.15</v>
      </c>
      <c r="I12" s="373">
        <f t="shared" si="3"/>
        <v>0.15</v>
      </c>
      <c r="J12" s="373">
        <f t="shared" si="3"/>
        <v>0.15</v>
      </c>
      <c r="K12" s="373">
        <f t="shared" si="3"/>
        <v>0.15</v>
      </c>
      <c r="L12" s="373">
        <f t="shared" si="3"/>
        <v>0.15</v>
      </c>
      <c r="M12" s="373">
        <f t="shared" si="3"/>
        <v>0.15</v>
      </c>
      <c r="N12" s="373">
        <f t="shared" si="3"/>
        <v>0.15</v>
      </c>
      <c r="O12" s="373">
        <f t="shared" si="3"/>
        <v>0.15</v>
      </c>
      <c r="P12" s="373">
        <f t="shared" si="3"/>
        <v>0.15</v>
      </c>
      <c r="Q12" s="373">
        <f t="shared" si="3"/>
        <v>0.15</v>
      </c>
      <c r="R12" s="378">
        <f t="shared" si="3"/>
        <v>0.15</v>
      </c>
    </row>
    <row r="13" spans="1:18" ht="35.5" customHeight="1">
      <c r="A13" s="352" t="s">
        <v>292</v>
      </c>
      <c r="B13" s="403">
        <f>B12*B9</f>
        <v>600000</v>
      </c>
      <c r="C13" s="404">
        <f t="shared" ref="C13:R13" si="5">C12*C9</f>
        <v>600599.99999999988</v>
      </c>
      <c r="D13" s="404">
        <f t="shared" si="5"/>
        <v>601200.59999999986</v>
      </c>
      <c r="E13" s="404">
        <f t="shared" si="5"/>
        <v>601801.80059999973</v>
      </c>
      <c r="F13" s="404">
        <f t="shared" si="5"/>
        <v>602403.60240059963</v>
      </c>
      <c r="G13" s="404">
        <f t="shared" si="5"/>
        <v>603006.00600300019</v>
      </c>
      <c r="H13" s="404">
        <f t="shared" si="5"/>
        <v>603609.01200900308</v>
      </c>
      <c r="I13" s="404">
        <f t="shared" si="5"/>
        <v>604212.62102101208</v>
      </c>
      <c r="J13" s="404">
        <f t="shared" si="5"/>
        <v>604816.83364203305</v>
      </c>
      <c r="K13" s="404">
        <f t="shared" si="5"/>
        <v>605421.65047567501</v>
      </c>
      <c r="L13" s="404">
        <f t="shared" si="5"/>
        <v>606027.0721261506</v>
      </c>
      <c r="M13" s="404">
        <f t="shared" si="5"/>
        <v>606633.09919827664</v>
      </c>
      <c r="N13" s="404">
        <f t="shared" si="5"/>
        <v>607239.73229747487</v>
      </c>
      <c r="O13" s="404">
        <f t="shared" si="5"/>
        <v>607846.97202977235</v>
      </c>
      <c r="P13" s="404">
        <f t="shared" si="5"/>
        <v>608454.81900180213</v>
      </c>
      <c r="Q13" s="404">
        <f t="shared" si="5"/>
        <v>609063.27382080373</v>
      </c>
      <c r="R13" s="405">
        <f t="shared" si="5"/>
        <v>609672.33709462453</v>
      </c>
    </row>
    <row r="14" spans="1:18" ht="16" customHeight="1">
      <c r="A14" s="352"/>
      <c r="B14" s="366"/>
      <c r="C14" s="41"/>
      <c r="D14" s="41"/>
      <c r="E14" s="41"/>
      <c r="F14" s="41"/>
      <c r="G14" s="367"/>
      <c r="H14" s="367"/>
      <c r="I14" s="367"/>
      <c r="J14" s="367"/>
      <c r="K14" s="367"/>
      <c r="L14" s="367"/>
      <c r="M14" s="367"/>
      <c r="N14" s="367"/>
      <c r="O14" s="367"/>
      <c r="P14" s="367"/>
      <c r="Q14" s="367"/>
      <c r="R14" s="358"/>
    </row>
    <row r="15" spans="1:18">
      <c r="A15" s="354" t="s">
        <v>287</v>
      </c>
      <c r="B15" s="366"/>
      <c r="C15" s="41"/>
      <c r="D15" s="41"/>
      <c r="E15" s="41"/>
      <c r="F15" s="41"/>
      <c r="G15" s="367"/>
      <c r="H15" s="367"/>
      <c r="I15" s="367"/>
      <c r="J15" s="367"/>
      <c r="K15" s="367"/>
      <c r="L15" s="367"/>
      <c r="M15" s="367"/>
      <c r="N15" s="367"/>
      <c r="O15" s="367"/>
      <c r="P15" s="367"/>
      <c r="Q15" s="367"/>
      <c r="R15" s="358"/>
    </row>
    <row r="16" spans="1:18" ht="30.65" customHeight="1">
      <c r="A16" s="352" t="s">
        <v>294</v>
      </c>
      <c r="B16" s="366"/>
      <c r="C16" s="41"/>
      <c r="D16" s="41"/>
      <c r="E16" s="41"/>
      <c r="F16" s="41"/>
      <c r="I16" s="367">
        <v>0.01</v>
      </c>
      <c r="J16" s="367">
        <v>0.03</v>
      </c>
      <c r="K16" s="367">
        <v>0.05</v>
      </c>
      <c r="L16" s="367">
        <v>0.06</v>
      </c>
      <c r="M16" s="367">
        <v>7.0000000000000007E-2</v>
      </c>
      <c r="N16" s="367">
        <v>0.08</v>
      </c>
      <c r="O16" s="367">
        <v>0.09</v>
      </c>
      <c r="P16" s="367">
        <f>O16+0.005</f>
        <v>9.5000000000000001E-2</v>
      </c>
      <c r="Q16" s="367">
        <f>P16+0.005</f>
        <v>0.1</v>
      </c>
      <c r="R16" s="367">
        <f>Q16+0.005</f>
        <v>0.10500000000000001</v>
      </c>
    </row>
    <row r="17" spans="1:18" ht="30.65" customHeight="1">
      <c r="A17" s="352" t="s">
        <v>295</v>
      </c>
      <c r="B17" s="366"/>
      <c r="C17" s="41"/>
      <c r="D17" s="41"/>
      <c r="E17" s="41"/>
      <c r="F17" s="41"/>
      <c r="G17" s="140"/>
      <c r="H17" s="140"/>
      <c r="I17" s="367">
        <f>I16</f>
        <v>0.01</v>
      </c>
      <c r="J17" s="367">
        <f t="shared" ref="J17:R17" si="6">J16</f>
        <v>0.03</v>
      </c>
      <c r="K17" s="367">
        <f t="shared" si="6"/>
        <v>0.05</v>
      </c>
      <c r="L17" s="367">
        <f t="shared" si="6"/>
        <v>0.06</v>
      </c>
      <c r="M17" s="367">
        <f t="shared" si="6"/>
        <v>7.0000000000000007E-2</v>
      </c>
      <c r="N17" s="367">
        <f t="shared" si="6"/>
        <v>0.08</v>
      </c>
      <c r="O17" s="367">
        <f t="shared" si="6"/>
        <v>0.09</v>
      </c>
      <c r="P17" s="367">
        <f t="shared" si="6"/>
        <v>9.5000000000000001E-2</v>
      </c>
      <c r="Q17" s="367">
        <f t="shared" si="6"/>
        <v>0.1</v>
      </c>
      <c r="R17" s="358">
        <f t="shared" si="6"/>
        <v>0.10500000000000001</v>
      </c>
    </row>
    <row r="18" spans="1:18" ht="15" customHeight="1">
      <c r="A18" s="352"/>
      <c r="B18" s="366"/>
      <c r="C18" s="41"/>
      <c r="D18" s="41"/>
      <c r="E18" s="41"/>
      <c r="F18" s="41"/>
      <c r="G18" s="140"/>
      <c r="H18" s="140"/>
      <c r="I18" s="367"/>
      <c r="J18" s="367"/>
      <c r="K18" s="367"/>
      <c r="L18" s="367"/>
      <c r="M18" s="367"/>
      <c r="N18" s="367"/>
      <c r="O18" s="367"/>
      <c r="P18" s="367"/>
      <c r="Q18" s="367"/>
      <c r="R18" s="358"/>
    </row>
    <row r="19" spans="1:18" ht="19" customHeight="1">
      <c r="A19" s="352" t="s">
        <v>328</v>
      </c>
      <c r="B19" s="366"/>
      <c r="C19" s="41"/>
      <c r="D19" s="41"/>
      <c r="E19" s="41"/>
      <c r="F19" s="41"/>
      <c r="G19" s="140"/>
      <c r="H19" s="140"/>
      <c r="I19" s="140">
        <f>((I16*I11)+(I13*I17))</f>
        <v>14098.294490490283</v>
      </c>
      <c r="J19" s="140">
        <f t="shared" ref="J19:R19" si="7">((J16*J11)+(J13*J17))</f>
        <v>42337.178354942313</v>
      </c>
      <c r="K19" s="140">
        <f t="shared" si="7"/>
        <v>70632.525888828764</v>
      </c>
      <c r="L19" s="140">
        <f t="shared" si="7"/>
        <v>84843.790097661084</v>
      </c>
      <c r="M19" s="140">
        <f t="shared" si="7"/>
        <v>99083.406202385202</v>
      </c>
      <c r="N19" s="140">
        <f t="shared" si="7"/>
        <v>113351.41669552866</v>
      </c>
      <c r="O19" s="140">
        <f t="shared" si="7"/>
        <v>127647.86412625219</v>
      </c>
      <c r="P19" s="140">
        <f t="shared" si="7"/>
        <v>134874.15154539948</v>
      </c>
      <c r="Q19" s="140">
        <f t="shared" si="7"/>
        <v>142114.76389152091</v>
      </c>
      <c r="R19" s="267">
        <f t="shared" si="7"/>
        <v>149369.72258818304</v>
      </c>
    </row>
    <row r="20" spans="1:18">
      <c r="A20" s="7"/>
      <c r="B20" s="7"/>
      <c r="R20" s="14"/>
    </row>
    <row r="21" spans="1:18">
      <c r="A21" s="7" t="s">
        <v>278</v>
      </c>
      <c r="B21" s="7"/>
      <c r="I21" s="89">
        <v>1000</v>
      </c>
      <c r="J21" s="89">
        <f>I21*(1+J22)</f>
        <v>1050</v>
      </c>
      <c r="K21" s="89">
        <f t="shared" ref="K21:R21" si="8">J21*(1+K22)</f>
        <v>1102.5</v>
      </c>
      <c r="L21" s="89">
        <f t="shared" si="8"/>
        <v>1157.625</v>
      </c>
      <c r="M21" s="89">
        <f t="shared" si="8"/>
        <v>1215.5062500000001</v>
      </c>
      <c r="N21" s="89">
        <f t="shared" si="8"/>
        <v>1276.2815625000003</v>
      </c>
      <c r="O21" s="89">
        <f t="shared" si="8"/>
        <v>1340.0956406250004</v>
      </c>
      <c r="P21" s="89">
        <f t="shared" si="8"/>
        <v>1407.1004226562504</v>
      </c>
      <c r="Q21" s="89">
        <f t="shared" si="8"/>
        <v>1477.4554437890631</v>
      </c>
      <c r="R21" s="356">
        <f t="shared" si="8"/>
        <v>1551.3282159785163</v>
      </c>
    </row>
    <row r="22" spans="1:18">
      <c r="A22" s="357" t="s">
        <v>279</v>
      </c>
      <c r="B22" s="7"/>
      <c r="I22" s="45"/>
      <c r="J22" s="351">
        <v>0.05</v>
      </c>
      <c r="K22" s="45">
        <f>J22</f>
        <v>0.05</v>
      </c>
      <c r="L22" s="45">
        <f t="shared" ref="L22:R22" si="9">K22</f>
        <v>0.05</v>
      </c>
      <c r="M22" s="45">
        <f t="shared" si="9"/>
        <v>0.05</v>
      </c>
      <c r="N22" s="45">
        <f t="shared" si="9"/>
        <v>0.05</v>
      </c>
      <c r="O22" s="45">
        <f t="shared" si="9"/>
        <v>0.05</v>
      </c>
      <c r="P22" s="45">
        <f t="shared" si="9"/>
        <v>0.05</v>
      </c>
      <c r="Q22" s="45">
        <f t="shared" si="9"/>
        <v>0.05</v>
      </c>
      <c r="R22" s="129">
        <f t="shared" si="9"/>
        <v>0.05</v>
      </c>
    </row>
    <row r="23" spans="1:18">
      <c r="A23" s="7"/>
      <c r="B23" s="7"/>
      <c r="R23" s="14"/>
    </row>
    <row r="24" spans="1:18">
      <c r="A24" s="21" t="s">
        <v>280</v>
      </c>
      <c r="B24" s="7"/>
      <c r="I24" s="87">
        <v>12</v>
      </c>
      <c r="J24">
        <f>I24</f>
        <v>12</v>
      </c>
      <c r="K24">
        <f t="shared" ref="K24:R24" si="10">J24</f>
        <v>12</v>
      </c>
      <c r="L24">
        <f t="shared" si="10"/>
        <v>12</v>
      </c>
      <c r="M24">
        <f t="shared" si="10"/>
        <v>12</v>
      </c>
      <c r="N24">
        <f t="shared" si="10"/>
        <v>12</v>
      </c>
      <c r="O24">
        <f t="shared" si="10"/>
        <v>12</v>
      </c>
      <c r="P24">
        <f t="shared" si="10"/>
        <v>12</v>
      </c>
      <c r="Q24">
        <f t="shared" si="10"/>
        <v>12</v>
      </c>
      <c r="R24" s="14">
        <f t="shared" si="10"/>
        <v>12</v>
      </c>
    </row>
    <row r="25" spans="1:18">
      <c r="A25" s="7" t="s">
        <v>281</v>
      </c>
      <c r="B25" s="7"/>
      <c r="I25" s="89">
        <f t="shared" ref="I25:R25" si="11">I24*I21</f>
        <v>12000</v>
      </c>
      <c r="J25" s="89">
        <f t="shared" si="11"/>
        <v>12600</v>
      </c>
      <c r="K25" s="89">
        <f t="shared" si="11"/>
        <v>13230</v>
      </c>
      <c r="L25" s="89">
        <f t="shared" si="11"/>
        <v>13891.5</v>
      </c>
      <c r="M25" s="89">
        <f t="shared" si="11"/>
        <v>14586.075000000001</v>
      </c>
      <c r="N25" s="89">
        <f t="shared" si="11"/>
        <v>15315.378750000003</v>
      </c>
      <c r="O25" s="89">
        <f t="shared" si="11"/>
        <v>16081.147687500004</v>
      </c>
      <c r="P25" s="89">
        <f t="shared" si="11"/>
        <v>16885.205071875003</v>
      </c>
      <c r="Q25" s="89">
        <f t="shared" si="11"/>
        <v>17729.465325468758</v>
      </c>
      <c r="R25" s="356">
        <f t="shared" si="11"/>
        <v>18615.938591742197</v>
      </c>
    </row>
    <row r="26" spans="1:18">
      <c r="A26" s="357" t="s">
        <v>239</v>
      </c>
      <c r="B26" s="7"/>
      <c r="I26" s="367">
        <v>0.3</v>
      </c>
      <c r="J26" s="379">
        <f>I26</f>
        <v>0.3</v>
      </c>
      <c r="K26" s="379">
        <f t="shared" ref="K26:R26" si="12">J26</f>
        <v>0.3</v>
      </c>
      <c r="L26" s="379">
        <f t="shared" si="12"/>
        <v>0.3</v>
      </c>
      <c r="M26" s="379">
        <f t="shared" si="12"/>
        <v>0.3</v>
      </c>
      <c r="N26" s="379">
        <f t="shared" si="12"/>
        <v>0.3</v>
      </c>
      <c r="O26" s="379">
        <f t="shared" si="12"/>
        <v>0.3</v>
      </c>
      <c r="P26" s="379">
        <f t="shared" si="12"/>
        <v>0.3</v>
      </c>
      <c r="Q26" s="379">
        <f t="shared" si="12"/>
        <v>0.3</v>
      </c>
      <c r="R26" s="380">
        <f t="shared" si="12"/>
        <v>0.3</v>
      </c>
    </row>
    <row r="27" spans="1:18">
      <c r="A27" s="7" t="s">
        <v>282</v>
      </c>
      <c r="B27" s="7"/>
      <c r="I27" s="29">
        <f t="shared" ref="I27:R27" si="13">I25*(1-I26)</f>
        <v>8400</v>
      </c>
      <c r="J27" s="29">
        <f t="shared" si="13"/>
        <v>8820</v>
      </c>
      <c r="K27" s="29">
        <f t="shared" si="13"/>
        <v>9261</v>
      </c>
      <c r="L27" s="29">
        <f t="shared" si="13"/>
        <v>9724.0499999999993</v>
      </c>
      <c r="M27" s="29">
        <f t="shared" si="13"/>
        <v>10210.252500000001</v>
      </c>
      <c r="N27" s="29">
        <f t="shared" si="13"/>
        <v>10720.765125000002</v>
      </c>
      <c r="O27" s="29">
        <f t="shared" si="13"/>
        <v>11256.803381250002</v>
      </c>
      <c r="P27" s="29">
        <f t="shared" si="13"/>
        <v>11819.643550312501</v>
      </c>
      <c r="Q27" s="29">
        <f t="shared" si="13"/>
        <v>12410.62572782813</v>
      </c>
      <c r="R27" s="359">
        <f t="shared" si="13"/>
        <v>13031.157014219538</v>
      </c>
    </row>
    <row r="28" spans="1:18" ht="15" thickBot="1">
      <c r="A28" s="376"/>
      <c r="B28" s="17"/>
      <c r="C28" s="103"/>
      <c r="D28" s="103"/>
      <c r="E28" s="103"/>
      <c r="F28" s="103"/>
      <c r="G28" s="103"/>
      <c r="H28" s="103"/>
      <c r="I28" s="103"/>
      <c r="J28" s="103"/>
      <c r="K28" s="103"/>
      <c r="L28" s="103"/>
      <c r="M28" s="103"/>
      <c r="N28" s="103"/>
      <c r="O28" s="103"/>
      <c r="P28" s="103"/>
      <c r="Q28" s="103"/>
      <c r="R28" s="371"/>
    </row>
    <row r="29" spans="1:18" ht="15" thickBot="1">
      <c r="A29" s="2" t="s">
        <v>286</v>
      </c>
      <c r="B29" s="46"/>
      <c r="C29" s="360"/>
      <c r="D29" s="360"/>
      <c r="E29" s="360"/>
      <c r="F29" s="360"/>
      <c r="G29" s="360"/>
      <c r="H29" s="360"/>
      <c r="I29" s="289">
        <f t="shared" ref="I29:R29" si="14">(I27*I19)/1000000</f>
        <v>118.42567372011837</v>
      </c>
      <c r="J29" s="289">
        <f t="shared" si="14"/>
        <v>373.41391309059117</v>
      </c>
      <c r="K29" s="289">
        <f t="shared" si="14"/>
        <v>654.1278222564431</v>
      </c>
      <c r="L29" s="289">
        <f t="shared" si="14"/>
        <v>825.02525709916119</v>
      </c>
      <c r="M29" s="289">
        <f t="shared" si="14"/>
        <v>1011.666595886419</v>
      </c>
      <c r="N29" s="289">
        <f t="shared" si="14"/>
        <v>1215.2139149787668</v>
      </c>
      <c r="O29" s="289">
        <f t="shared" si="14"/>
        <v>1436.9069085057363</v>
      </c>
      <c r="P29" s="289">
        <f t="shared" si="14"/>
        <v>1594.1643954174519</v>
      </c>
      <c r="Q29" s="289">
        <f t="shared" si="14"/>
        <v>1763.7331450563295</v>
      </c>
      <c r="R29" s="361">
        <f t="shared" si="14"/>
        <v>1946.4603082170279</v>
      </c>
    </row>
    <row r="30" spans="1:18" ht="15" thickBot="1">
      <c r="A30" s="365" t="s">
        <v>94</v>
      </c>
      <c r="B30" s="46"/>
      <c r="C30" s="360"/>
      <c r="D30" s="360"/>
      <c r="E30" s="360"/>
      <c r="F30" s="360"/>
      <c r="G30" s="360"/>
      <c r="H30" s="360"/>
      <c r="I30" s="360"/>
      <c r="J30" s="363"/>
      <c r="K30" s="363"/>
      <c r="L30" s="363"/>
      <c r="M30" s="363"/>
      <c r="N30" s="363">
        <f t="shared" ref="N30:R30" si="15">N29/M29-1</f>
        <v>0.20120000000000027</v>
      </c>
      <c r="O30" s="363">
        <f t="shared" si="15"/>
        <v>0.1824312499999996</v>
      </c>
      <c r="P30" s="363">
        <f t="shared" si="15"/>
        <v>0.10944166666666688</v>
      </c>
      <c r="Q30" s="363">
        <f t="shared" si="15"/>
        <v>0.10636842105263167</v>
      </c>
      <c r="R30" s="364">
        <f t="shared" si="15"/>
        <v>0.10360250000000004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55"/>
  <sheetViews>
    <sheetView zoomScale="115" zoomScaleNormal="115" zoomScaleSheetLayoutView="100" workbookViewId="0">
      <pane xSplit="1" ySplit="3" topLeftCell="E43" activePane="bottomRight" state="frozen"/>
      <selection activeCell="W52" sqref="W52"/>
      <selection pane="topRight" activeCell="W52" sqref="W52"/>
      <selection pane="bottomLeft" activeCell="W52" sqref="W52"/>
      <selection pane="bottomRight" activeCell="I48" sqref="I48"/>
    </sheetView>
  </sheetViews>
  <sheetFormatPr defaultRowHeight="14.5" outlineLevelRow="1"/>
  <cols>
    <col min="1" max="1" width="43.453125" customWidth="1"/>
    <col min="2" max="5" width="0" hidden="1" customWidth="1"/>
    <col min="6" max="12" width="9.1796875" customWidth="1"/>
  </cols>
  <sheetData>
    <row r="1" spans="1:14">
      <c r="A1" s="1" t="s">
        <v>275</v>
      </c>
    </row>
    <row r="2" spans="1:14" ht="15" thickBot="1">
      <c r="A2" s="260" t="s">
        <v>138</v>
      </c>
    </row>
    <row r="3" spans="1:14" ht="15" thickBot="1">
      <c r="B3" s="54">
        <v>2019</v>
      </c>
      <c r="C3" s="54">
        <v>2020</v>
      </c>
      <c r="D3" s="54">
        <v>2021</v>
      </c>
      <c r="E3" s="54">
        <v>2023</v>
      </c>
      <c r="F3" s="54">
        <v>2024</v>
      </c>
      <c r="G3" s="54">
        <v>2025</v>
      </c>
      <c r="H3" s="54" t="s">
        <v>2</v>
      </c>
      <c r="I3" s="54" t="s">
        <v>3</v>
      </c>
      <c r="J3" s="54" t="s">
        <v>4</v>
      </c>
      <c r="K3" s="54" t="s">
        <v>5</v>
      </c>
      <c r="L3" s="54" t="s">
        <v>6</v>
      </c>
    </row>
    <row r="4" spans="1:14" ht="5.15" customHeight="1">
      <c r="A4" s="47"/>
      <c r="B4" s="48"/>
      <c r="C4" s="48"/>
      <c r="D4" s="48"/>
      <c r="E4" s="48"/>
      <c r="F4" s="48"/>
      <c r="G4" s="48"/>
      <c r="H4" s="48"/>
      <c r="I4" s="48"/>
      <c r="J4" s="48"/>
      <c r="K4" s="48"/>
      <c r="L4" s="48"/>
    </row>
    <row r="5" spans="1:14">
      <c r="A5" s="105" t="s">
        <v>7</v>
      </c>
      <c r="B5" s="52"/>
      <c r="C5" s="52"/>
      <c r="D5" s="52"/>
      <c r="E5" s="52"/>
      <c r="F5" s="52"/>
      <c r="G5" s="52"/>
      <c r="H5" s="52"/>
      <c r="I5" s="52"/>
      <c r="J5" s="52"/>
      <c r="K5" s="52"/>
      <c r="L5" s="52"/>
    </row>
    <row r="6" spans="1:14" ht="5.15" customHeight="1">
      <c r="A6" s="52"/>
      <c r="B6" s="48"/>
      <c r="C6" s="48"/>
      <c r="D6" s="48"/>
      <c r="E6" s="48"/>
      <c r="F6" s="48"/>
      <c r="G6" s="48"/>
      <c r="H6" s="48"/>
      <c r="I6" s="48"/>
      <c r="J6" s="48"/>
      <c r="K6" s="48"/>
      <c r="L6" s="48"/>
    </row>
    <row r="7" spans="1:14">
      <c r="A7" s="105" t="s">
        <v>8</v>
      </c>
      <c r="B7" s="48"/>
      <c r="C7" s="48"/>
      <c r="D7" s="48"/>
      <c r="E7" s="48"/>
      <c r="F7" s="48"/>
      <c r="G7" s="48"/>
      <c r="H7" s="48"/>
      <c r="I7" s="48"/>
      <c r="J7" s="48"/>
      <c r="K7" s="48"/>
      <c r="L7" s="48"/>
    </row>
    <row r="8" spans="1:14">
      <c r="A8" s="52" t="s">
        <v>9</v>
      </c>
      <c r="B8" s="49">
        <f>3.065+0.026</f>
        <v>3.0909999999999997</v>
      </c>
      <c r="C8" s="49">
        <f>12.877</f>
        <v>12.877000000000001</v>
      </c>
      <c r="D8" s="49">
        <v>50.191000000000003</v>
      </c>
      <c r="E8" s="49">
        <v>79.769000000000005</v>
      </c>
      <c r="F8" s="49">
        <v>38.253</v>
      </c>
      <c r="G8" s="49">
        <v>46.728999999999999</v>
      </c>
      <c r="H8" s="48">
        <f>'CASH FLOW'!E37</f>
        <v>191.7317000000001</v>
      </c>
      <c r="I8" s="48">
        <f>'CASH FLOW'!F37</f>
        <v>497.62437000000006</v>
      </c>
      <c r="J8" s="48">
        <f>'CASH FLOW'!G37</f>
        <v>259.91630700000007</v>
      </c>
      <c r="K8" s="48">
        <f>'CASH FLOW'!H37</f>
        <v>214.37720270000008</v>
      </c>
      <c r="L8" s="48">
        <f>'CASH FLOW'!I37</f>
        <v>181.78505342000003</v>
      </c>
      <c r="N8" s="5"/>
    </row>
    <row r="9" spans="1:14">
      <c r="A9" s="52" t="s">
        <v>386</v>
      </c>
      <c r="B9" s="49">
        <v>0</v>
      </c>
      <c r="C9" s="49">
        <v>0</v>
      </c>
      <c r="D9" s="49">
        <v>45.927</v>
      </c>
      <c r="E9" s="49">
        <v>0</v>
      </c>
      <c r="F9" s="49">
        <v>70.542000000000002</v>
      </c>
      <c r="G9" s="49">
        <v>258.37400000000002</v>
      </c>
      <c r="H9" s="49">
        <v>200</v>
      </c>
      <c r="I9" s="49">
        <v>50</v>
      </c>
      <c r="J9" s="56">
        <f t="shared" ref="H9:L11" si="0">I9</f>
        <v>50</v>
      </c>
      <c r="K9" s="56">
        <f t="shared" si="0"/>
        <v>50</v>
      </c>
      <c r="L9" s="49">
        <v>0</v>
      </c>
      <c r="N9" s="5"/>
    </row>
    <row r="10" spans="1:14">
      <c r="A10" s="52" t="s">
        <v>10</v>
      </c>
      <c r="B10" s="49">
        <v>0</v>
      </c>
      <c r="C10" s="49">
        <v>0</v>
      </c>
      <c r="D10" s="49" t="e">
        <f>#REF!</f>
        <v>#REF!</v>
      </c>
      <c r="E10" s="49">
        <v>0</v>
      </c>
      <c r="F10" s="49">
        <v>0</v>
      </c>
      <c r="G10" s="56">
        <f>F10</f>
        <v>0</v>
      </c>
      <c r="H10" s="56">
        <f t="shared" si="0"/>
        <v>0</v>
      </c>
      <c r="I10" s="56">
        <f t="shared" si="0"/>
        <v>0</v>
      </c>
      <c r="J10" s="56">
        <f t="shared" si="0"/>
        <v>0</v>
      </c>
      <c r="K10" s="56">
        <f t="shared" si="0"/>
        <v>0</v>
      </c>
      <c r="L10" s="56">
        <f t="shared" si="0"/>
        <v>0</v>
      </c>
      <c r="N10" s="5"/>
    </row>
    <row r="11" spans="1:14">
      <c r="A11" s="52" t="s">
        <v>61</v>
      </c>
      <c r="B11" s="49">
        <v>0</v>
      </c>
      <c r="C11" s="49">
        <v>0</v>
      </c>
      <c r="D11" s="49" t="e">
        <f>#REF!</f>
        <v>#REF!</v>
      </c>
      <c r="E11" s="49">
        <v>0</v>
      </c>
      <c r="F11" s="49">
        <v>0</v>
      </c>
      <c r="G11" s="56">
        <v>0</v>
      </c>
      <c r="H11" s="56">
        <f>G11</f>
        <v>0</v>
      </c>
      <c r="I11" s="56">
        <f t="shared" si="0"/>
        <v>0</v>
      </c>
      <c r="J11" s="56">
        <f t="shared" si="0"/>
        <v>0</v>
      </c>
      <c r="K11" s="56">
        <f t="shared" si="0"/>
        <v>0</v>
      </c>
      <c r="L11" s="56">
        <f t="shared" si="0"/>
        <v>0</v>
      </c>
      <c r="N11" s="5"/>
    </row>
    <row r="12" spans="1:14">
      <c r="A12" s="52" t="s">
        <v>135</v>
      </c>
      <c r="B12" s="49">
        <v>0.111</v>
      </c>
      <c r="C12" s="49">
        <v>0.76200000000000001</v>
      </c>
      <c r="D12" s="49">
        <f>5.392+3.441</f>
        <v>8.8330000000000002</v>
      </c>
      <c r="E12" s="49">
        <v>3.835</v>
      </c>
      <c r="F12" s="49">
        <v>5.8070000000000004</v>
      </c>
      <c r="G12" s="49">
        <v>19.567</v>
      </c>
      <c r="H12" s="56">
        <f t="shared" ref="H12:L12" si="1">G12</f>
        <v>19.567</v>
      </c>
      <c r="I12" s="56">
        <f t="shared" si="1"/>
        <v>19.567</v>
      </c>
      <c r="J12" s="56">
        <f t="shared" si="1"/>
        <v>19.567</v>
      </c>
      <c r="K12" s="56">
        <f t="shared" si="1"/>
        <v>19.567</v>
      </c>
      <c r="L12" s="56">
        <f t="shared" si="1"/>
        <v>19.567</v>
      </c>
      <c r="N12" s="5"/>
    </row>
    <row r="13" spans="1:14">
      <c r="A13" s="105" t="s">
        <v>12</v>
      </c>
      <c r="B13" s="51">
        <f>SUM(B8:B12)</f>
        <v>3.202</v>
      </c>
      <c r="C13" s="51">
        <f>SUM(C8:C12)</f>
        <v>13.639000000000001</v>
      </c>
      <c r="D13" s="51" t="e">
        <f t="shared" ref="D13:L13" si="2">SUM(D8:D12)</f>
        <v>#REF!</v>
      </c>
      <c r="E13" s="51">
        <f t="shared" si="2"/>
        <v>83.603999999999999</v>
      </c>
      <c r="F13" s="51">
        <f t="shared" si="2"/>
        <v>114.602</v>
      </c>
      <c r="G13" s="51">
        <f t="shared" si="2"/>
        <v>324.67</v>
      </c>
      <c r="H13" s="51">
        <f t="shared" si="2"/>
        <v>411.29870000000011</v>
      </c>
      <c r="I13" s="51">
        <f t="shared" si="2"/>
        <v>567.19137000000001</v>
      </c>
      <c r="J13" s="51">
        <f t="shared" si="2"/>
        <v>329.48330700000008</v>
      </c>
      <c r="K13" s="51">
        <f t="shared" si="2"/>
        <v>283.94420270000012</v>
      </c>
      <c r="L13" s="51">
        <f t="shared" si="2"/>
        <v>201.35205342000003</v>
      </c>
      <c r="N13" s="5"/>
    </row>
    <row r="14" spans="1:14" ht="5.15" customHeight="1">
      <c r="A14" s="52"/>
      <c r="B14" s="48"/>
      <c r="C14" s="48"/>
      <c r="D14" s="48"/>
      <c r="E14" s="48"/>
      <c r="F14" s="48"/>
      <c r="G14" s="48"/>
      <c r="H14" s="48"/>
      <c r="I14" s="48"/>
      <c r="J14" s="48"/>
      <c r="K14" s="48"/>
      <c r="L14" s="48"/>
      <c r="N14" s="5"/>
    </row>
    <row r="15" spans="1:14">
      <c r="A15" s="52" t="s">
        <v>13</v>
      </c>
      <c r="B15" s="49">
        <v>0</v>
      </c>
      <c r="C15" s="49">
        <v>0.151</v>
      </c>
      <c r="D15" s="49">
        <v>0.47399999999999998</v>
      </c>
      <c r="E15" s="49">
        <v>0.97099999999999997</v>
      </c>
      <c r="F15" s="49">
        <v>1.2070000000000001</v>
      </c>
      <c r="G15" s="49">
        <v>1.095</v>
      </c>
      <c r="H15" s="56">
        <f t="shared" ref="H15:L16" si="3">G15</f>
        <v>1.095</v>
      </c>
      <c r="I15" s="56">
        <f t="shared" si="3"/>
        <v>1.095</v>
      </c>
      <c r="J15" s="56">
        <f t="shared" si="3"/>
        <v>1.095</v>
      </c>
      <c r="K15" s="56">
        <f t="shared" si="3"/>
        <v>1.095</v>
      </c>
      <c r="L15" s="56">
        <f t="shared" si="3"/>
        <v>1.095</v>
      </c>
      <c r="N15" s="5"/>
    </row>
    <row r="16" spans="1:14">
      <c r="A16" s="52" t="s">
        <v>385</v>
      </c>
      <c r="B16" s="61"/>
      <c r="C16" s="61"/>
      <c r="D16" s="49"/>
      <c r="E16" s="49">
        <v>0</v>
      </c>
      <c r="F16" s="49">
        <v>11.38</v>
      </c>
      <c r="G16" s="49">
        <v>147.99299999999999</v>
      </c>
      <c r="H16" s="48">
        <f t="shared" si="3"/>
        <v>147.99299999999999</v>
      </c>
      <c r="I16" s="49">
        <v>0</v>
      </c>
      <c r="J16" s="48">
        <f t="shared" si="3"/>
        <v>0</v>
      </c>
      <c r="K16" s="48">
        <f t="shared" si="3"/>
        <v>0</v>
      </c>
      <c r="L16" s="48">
        <f t="shared" si="3"/>
        <v>0</v>
      </c>
      <c r="N16" s="5"/>
    </row>
    <row r="17" spans="1:14">
      <c r="A17" s="52" t="s">
        <v>384</v>
      </c>
      <c r="B17" s="61"/>
      <c r="C17" s="61"/>
      <c r="D17" s="49"/>
      <c r="E17" s="49">
        <v>0.23400000000000001</v>
      </c>
      <c r="F17" s="49">
        <v>0.20699999999999999</v>
      </c>
      <c r="G17" s="49">
        <v>0.20699999999999999</v>
      </c>
      <c r="H17" s="56">
        <f t="shared" ref="H17:L17" si="4">G17</f>
        <v>0.20699999999999999</v>
      </c>
      <c r="I17" s="56">
        <f t="shared" si="4"/>
        <v>0.20699999999999999</v>
      </c>
      <c r="J17" s="56">
        <f t="shared" si="4"/>
        <v>0.20699999999999999</v>
      </c>
      <c r="K17" s="56">
        <f t="shared" si="4"/>
        <v>0.20699999999999999</v>
      </c>
      <c r="L17" s="56">
        <f t="shared" si="4"/>
        <v>0.20699999999999999</v>
      </c>
      <c r="N17" s="5"/>
    </row>
    <row r="18" spans="1:14">
      <c r="A18" s="52" t="s">
        <v>383</v>
      </c>
      <c r="B18" s="61"/>
      <c r="C18" s="61"/>
      <c r="D18" s="49"/>
      <c r="E18" s="49">
        <v>5.6139999999999999</v>
      </c>
      <c r="F18" s="49">
        <v>6.3540000000000001</v>
      </c>
      <c r="G18" s="49">
        <v>5.4880000000000004</v>
      </c>
      <c r="H18" s="56">
        <f>G18</f>
        <v>5.4880000000000004</v>
      </c>
      <c r="I18" s="56">
        <f>H18</f>
        <v>5.4880000000000004</v>
      </c>
      <c r="J18" s="56">
        <f>I18</f>
        <v>5.4880000000000004</v>
      </c>
      <c r="K18" s="56">
        <f>J18</f>
        <v>5.4880000000000004</v>
      </c>
      <c r="L18" s="56">
        <f>K18</f>
        <v>5.4880000000000004</v>
      </c>
      <c r="N18" s="5"/>
    </row>
    <row r="19" spans="1:14" ht="15" thickBot="1">
      <c r="A19" s="52" t="s">
        <v>11</v>
      </c>
      <c r="B19" s="61">
        <v>1.7999999999999999E-2</v>
      </c>
      <c r="C19" s="61">
        <f>0.125+0.189</f>
        <v>0.314</v>
      </c>
      <c r="D19" s="49">
        <v>0.189</v>
      </c>
      <c r="E19" s="49">
        <v>0.98599999999999999</v>
      </c>
      <c r="F19" s="49">
        <v>3.1659999999999999</v>
      </c>
      <c r="G19" s="49">
        <v>5.8999999999999997E-2</v>
      </c>
      <c r="H19" s="56">
        <f>G19</f>
        <v>5.8999999999999997E-2</v>
      </c>
      <c r="I19" s="56">
        <f t="shared" ref="I19" si="5">H19</f>
        <v>5.8999999999999997E-2</v>
      </c>
      <c r="J19" s="56">
        <f t="shared" ref="J19" si="6">I19</f>
        <v>5.8999999999999997E-2</v>
      </c>
      <c r="K19" s="56">
        <f t="shared" ref="K19" si="7">J19</f>
        <v>5.8999999999999997E-2</v>
      </c>
      <c r="L19" s="56">
        <f t="shared" ref="L19" si="8">K19</f>
        <v>5.8999999999999997E-2</v>
      </c>
      <c r="N19" s="5"/>
    </row>
    <row r="20" spans="1:14" ht="15.75" customHeight="1" thickBot="1">
      <c r="A20" s="13" t="s">
        <v>14</v>
      </c>
      <c r="B20" s="76">
        <f>SUM(B13:B19)</f>
        <v>3.2199999999999998</v>
      </c>
      <c r="C20" s="76">
        <f>SUM(C13:C19)</f>
        <v>14.104000000000001</v>
      </c>
      <c r="D20" s="76" t="e">
        <f>SUM(D13:D19)</f>
        <v>#REF!</v>
      </c>
      <c r="E20" s="76">
        <f>SUM(E13:E19)</f>
        <v>91.409000000000006</v>
      </c>
      <c r="F20" s="76">
        <f t="shared" ref="F20:K20" si="9">SUM(F13:F19)</f>
        <v>136.916</v>
      </c>
      <c r="G20" s="76">
        <f t="shared" si="9"/>
        <v>479.51200000000006</v>
      </c>
      <c r="H20" s="76">
        <f t="shared" si="9"/>
        <v>566.14070000000015</v>
      </c>
      <c r="I20" s="76">
        <f t="shared" si="9"/>
        <v>574.04037000000005</v>
      </c>
      <c r="J20" s="76">
        <f t="shared" si="9"/>
        <v>336.33230700000013</v>
      </c>
      <c r="K20" s="76">
        <f t="shared" si="9"/>
        <v>290.79320270000017</v>
      </c>
      <c r="L20" s="50">
        <f>SUM(L13:L19)</f>
        <v>208.20105342000002</v>
      </c>
      <c r="N20" s="5"/>
    </row>
    <row r="21" spans="1:14">
      <c r="A21" s="52"/>
      <c r="B21" s="48"/>
      <c r="C21" s="48"/>
      <c r="D21" s="48"/>
      <c r="E21" s="48"/>
      <c r="F21" s="48"/>
      <c r="G21" s="48"/>
      <c r="H21" s="48"/>
      <c r="I21" s="48"/>
      <c r="J21" s="48"/>
      <c r="K21" s="48"/>
      <c r="L21" s="48"/>
      <c r="N21" s="5"/>
    </row>
    <row r="22" spans="1:14">
      <c r="A22" s="105" t="s">
        <v>15</v>
      </c>
      <c r="B22" s="48"/>
      <c r="C22" s="48"/>
      <c r="D22" s="48"/>
      <c r="E22" s="48"/>
      <c r="F22" s="48"/>
      <c r="G22" s="48"/>
      <c r="H22" s="48"/>
      <c r="I22" s="48"/>
      <c r="J22" s="48"/>
      <c r="K22" s="48"/>
      <c r="L22" s="48"/>
      <c r="N22" s="5"/>
    </row>
    <row r="23" spans="1:14" ht="5.15" customHeight="1">
      <c r="A23" s="52"/>
      <c r="B23" s="48"/>
      <c r="C23" s="48"/>
      <c r="D23" s="48"/>
      <c r="E23" s="48"/>
      <c r="F23" s="48"/>
      <c r="G23" s="48"/>
      <c r="H23" s="48"/>
      <c r="I23" s="48"/>
      <c r="J23" s="48"/>
      <c r="K23" s="48"/>
      <c r="L23" s="48"/>
      <c r="N23" s="5"/>
    </row>
    <row r="24" spans="1:14">
      <c r="A24" s="105" t="s">
        <v>16</v>
      </c>
      <c r="B24" s="48"/>
      <c r="C24" s="48"/>
      <c r="D24" s="48"/>
      <c r="E24" s="48"/>
      <c r="F24" s="48"/>
      <c r="G24" s="48"/>
      <c r="H24" s="48"/>
      <c r="I24" s="48"/>
      <c r="J24" s="48"/>
      <c r="K24" s="48"/>
      <c r="L24" s="48"/>
      <c r="N24" s="5"/>
    </row>
    <row r="25" spans="1:14">
      <c r="A25" s="52" t="s">
        <v>156</v>
      </c>
      <c r="B25" s="49">
        <v>2.1949999999999998</v>
      </c>
      <c r="C25" s="49">
        <v>3.613</v>
      </c>
      <c r="D25" s="49">
        <v>4.3719999999999999</v>
      </c>
      <c r="E25" s="49">
        <v>3.25</v>
      </c>
      <c r="F25" s="49">
        <v>1.9119999999999999</v>
      </c>
      <c r="G25" s="49">
        <v>3.2890000000000001</v>
      </c>
      <c r="H25" s="56">
        <f t="shared" ref="H25:L25" si="10">G25</f>
        <v>3.2890000000000001</v>
      </c>
      <c r="I25" s="56">
        <f t="shared" si="10"/>
        <v>3.2890000000000001</v>
      </c>
      <c r="J25" s="56">
        <f t="shared" si="10"/>
        <v>3.2890000000000001</v>
      </c>
      <c r="K25" s="56">
        <f t="shared" si="10"/>
        <v>3.2890000000000001</v>
      </c>
      <c r="L25" s="56">
        <f t="shared" si="10"/>
        <v>3.2890000000000001</v>
      </c>
      <c r="M25" s="9"/>
      <c r="N25" s="5"/>
    </row>
    <row r="26" spans="1:14">
      <c r="A26" s="52" t="s">
        <v>136</v>
      </c>
      <c r="B26" s="49">
        <v>2.3340000000000001</v>
      </c>
      <c r="C26" s="49">
        <v>3.7130000000000001</v>
      </c>
      <c r="D26" s="49">
        <v>13.023999999999999</v>
      </c>
      <c r="E26" s="49">
        <v>6.7549999999999999</v>
      </c>
      <c r="F26" s="49">
        <v>9.9909999999999997</v>
      </c>
      <c r="G26" s="49">
        <v>12.048999999999999</v>
      </c>
      <c r="H26" s="56">
        <f t="shared" ref="H26:L28" si="11">G26</f>
        <v>12.048999999999999</v>
      </c>
      <c r="I26" s="56">
        <f t="shared" si="11"/>
        <v>12.048999999999999</v>
      </c>
      <c r="J26" s="56">
        <f t="shared" si="11"/>
        <v>12.048999999999999</v>
      </c>
      <c r="K26" s="56">
        <f t="shared" si="11"/>
        <v>12.048999999999999</v>
      </c>
      <c r="L26" s="56">
        <f t="shared" si="11"/>
        <v>12.048999999999999</v>
      </c>
      <c r="N26" s="5"/>
    </row>
    <row r="27" spans="1:14">
      <c r="A27" s="52" t="s">
        <v>382</v>
      </c>
      <c r="B27" s="49">
        <v>0</v>
      </c>
      <c r="C27" s="49">
        <v>0</v>
      </c>
      <c r="D27" s="49">
        <f>C27</f>
        <v>0</v>
      </c>
      <c r="E27" s="49">
        <v>0.495</v>
      </c>
      <c r="F27" s="49">
        <v>0.77800000000000002</v>
      </c>
      <c r="G27" s="49">
        <v>0.89100000000000001</v>
      </c>
      <c r="H27" s="56">
        <f t="shared" si="11"/>
        <v>0.89100000000000001</v>
      </c>
      <c r="I27" s="56">
        <f t="shared" si="11"/>
        <v>0.89100000000000001</v>
      </c>
      <c r="J27" s="56">
        <f t="shared" si="11"/>
        <v>0.89100000000000001</v>
      </c>
      <c r="K27" s="56">
        <f t="shared" si="11"/>
        <v>0.89100000000000001</v>
      </c>
      <c r="L27" s="56">
        <f t="shared" si="11"/>
        <v>0.89100000000000001</v>
      </c>
      <c r="N27" s="5"/>
    </row>
    <row r="28" spans="1:14">
      <c r="A28" s="52" t="s">
        <v>381</v>
      </c>
      <c r="B28" s="49"/>
      <c r="C28" s="49"/>
      <c r="D28" s="49"/>
      <c r="E28" s="49">
        <v>4.1980000000000004</v>
      </c>
      <c r="F28" s="49">
        <v>3.2389999999999999</v>
      </c>
      <c r="G28" s="49">
        <v>0</v>
      </c>
      <c r="H28" s="56">
        <f>G28</f>
        <v>0</v>
      </c>
      <c r="I28" s="56">
        <f t="shared" si="11"/>
        <v>0</v>
      </c>
      <c r="J28" s="56">
        <f t="shared" si="11"/>
        <v>0</v>
      </c>
      <c r="K28" s="56">
        <f t="shared" si="11"/>
        <v>0</v>
      </c>
      <c r="L28" s="56">
        <f t="shared" si="11"/>
        <v>0</v>
      </c>
      <c r="N28" s="5"/>
    </row>
    <row r="29" spans="1:14">
      <c r="A29" s="105" t="s">
        <v>17</v>
      </c>
      <c r="B29" s="51">
        <f>SUM(B25:B27)</f>
        <v>4.5289999999999999</v>
      </c>
      <c r="C29" s="51">
        <f>SUM(C25:C27)</f>
        <v>7.3260000000000005</v>
      </c>
      <c r="D29" s="51">
        <f>SUM(D25:D27)</f>
        <v>17.396000000000001</v>
      </c>
      <c r="E29" s="51">
        <f>SUM(E25:E28)</f>
        <v>14.697999999999999</v>
      </c>
      <c r="F29" s="51">
        <f t="shared" ref="F29:L29" si="12">SUM(F25:F28)</f>
        <v>15.919999999999998</v>
      </c>
      <c r="G29" s="51">
        <f t="shared" si="12"/>
        <v>16.228999999999999</v>
      </c>
      <c r="H29" s="51">
        <f t="shared" si="12"/>
        <v>16.228999999999999</v>
      </c>
      <c r="I29" s="51">
        <f t="shared" si="12"/>
        <v>16.228999999999999</v>
      </c>
      <c r="J29" s="51">
        <f t="shared" si="12"/>
        <v>16.228999999999999</v>
      </c>
      <c r="K29" s="51">
        <f t="shared" si="12"/>
        <v>16.228999999999999</v>
      </c>
      <c r="L29" s="51">
        <f t="shared" si="12"/>
        <v>16.228999999999999</v>
      </c>
      <c r="N29" s="5"/>
    </row>
    <row r="30" spans="1:14" ht="5.15" customHeight="1">
      <c r="A30" s="52"/>
      <c r="B30" s="48"/>
      <c r="C30" s="48"/>
      <c r="D30" s="48"/>
      <c r="E30" s="48"/>
      <c r="F30" s="48"/>
      <c r="G30" s="48"/>
      <c r="H30" s="48"/>
      <c r="I30" s="48"/>
      <c r="J30" s="48"/>
      <c r="K30" s="48"/>
      <c r="L30" s="48"/>
      <c r="N30" s="5"/>
    </row>
    <row r="31" spans="1:14" ht="15" thickBot="1">
      <c r="A31" s="52" t="s">
        <v>18</v>
      </c>
      <c r="B31" s="49">
        <f>0.004+0.335+0.881+0.222</f>
        <v>1.4419999999999999</v>
      </c>
      <c r="C31" s="49">
        <f>0.014+0.002</f>
        <v>1.6E-2</v>
      </c>
      <c r="D31" s="49">
        <f>0.035</f>
        <v>3.5000000000000003E-2</v>
      </c>
      <c r="E31" s="49">
        <v>5.4290000000000003</v>
      </c>
      <c r="F31" s="49">
        <v>5.8010000000000002</v>
      </c>
      <c r="G31" s="49">
        <v>4.9109999999999996</v>
      </c>
      <c r="H31" s="56">
        <f t="shared" ref="H31:L31" si="13">G31</f>
        <v>4.9109999999999996</v>
      </c>
      <c r="I31" s="56">
        <f t="shared" si="13"/>
        <v>4.9109999999999996</v>
      </c>
      <c r="J31" s="56">
        <f t="shared" si="13"/>
        <v>4.9109999999999996</v>
      </c>
      <c r="K31" s="73">
        <f t="shared" si="13"/>
        <v>4.9109999999999996</v>
      </c>
      <c r="L31" s="56">
        <f t="shared" si="13"/>
        <v>4.9109999999999996</v>
      </c>
      <c r="N31" s="5"/>
    </row>
    <row r="32" spans="1:14" ht="15" thickBot="1">
      <c r="A32" s="13" t="s">
        <v>19</v>
      </c>
      <c r="B32" s="50">
        <f t="shared" ref="B32:L32" si="14">SUM(B29:B31)</f>
        <v>5.9710000000000001</v>
      </c>
      <c r="C32" s="50">
        <f t="shared" si="14"/>
        <v>7.3420000000000005</v>
      </c>
      <c r="D32" s="50">
        <f t="shared" si="14"/>
        <v>17.431000000000001</v>
      </c>
      <c r="E32" s="50">
        <f t="shared" si="14"/>
        <v>20.126999999999999</v>
      </c>
      <c r="F32" s="50">
        <f t="shared" si="14"/>
        <v>21.720999999999997</v>
      </c>
      <c r="G32" s="50">
        <f t="shared" si="14"/>
        <v>21.14</v>
      </c>
      <c r="H32" s="50">
        <f t="shared" si="14"/>
        <v>21.14</v>
      </c>
      <c r="I32" s="50">
        <f t="shared" si="14"/>
        <v>21.14</v>
      </c>
      <c r="J32" s="50">
        <f t="shared" si="14"/>
        <v>21.14</v>
      </c>
      <c r="K32" s="50">
        <f t="shared" si="14"/>
        <v>21.14</v>
      </c>
      <c r="L32" s="50">
        <f t="shared" si="14"/>
        <v>21.14</v>
      </c>
      <c r="N32" s="5"/>
    </row>
    <row r="33" spans="1:14">
      <c r="A33" s="52"/>
      <c r="B33" s="48"/>
      <c r="C33" s="48"/>
      <c r="D33" s="48"/>
      <c r="E33" s="48"/>
      <c r="F33" s="48"/>
      <c r="G33" s="48"/>
      <c r="H33" s="48"/>
      <c r="I33" s="48"/>
      <c r="J33" s="48"/>
      <c r="K33" s="48"/>
      <c r="L33" s="48"/>
      <c r="N33" s="5"/>
    </row>
    <row r="34" spans="1:14">
      <c r="A34" s="105" t="s">
        <v>20</v>
      </c>
      <c r="B34" s="48"/>
      <c r="C34" s="48"/>
      <c r="D34" s="48"/>
      <c r="E34" s="48"/>
      <c r="F34" s="48"/>
      <c r="G34" s="48"/>
      <c r="H34" s="48"/>
      <c r="I34" s="48"/>
      <c r="J34" s="48"/>
      <c r="K34" s="48"/>
      <c r="L34" s="48"/>
      <c r="N34" s="5"/>
    </row>
    <row r="35" spans="1:14" ht="5.15" customHeight="1">
      <c r="A35" s="52"/>
      <c r="B35" s="48"/>
      <c r="C35" s="48"/>
      <c r="D35" s="48"/>
      <c r="E35" s="48"/>
      <c r="F35" s="48"/>
      <c r="G35" s="48"/>
      <c r="H35" s="48"/>
      <c r="I35" s="48"/>
      <c r="J35" s="48"/>
      <c r="K35" s="48"/>
      <c r="L35" s="48"/>
      <c r="N35" s="5"/>
    </row>
    <row r="36" spans="1:14">
      <c r="A36" s="52" t="s">
        <v>356</v>
      </c>
      <c r="B36" s="49">
        <f>7.675+0.001</f>
        <v>7.6760000000000002</v>
      </c>
      <c r="C36" s="49">
        <f>7.675+0.001+64.387</f>
        <v>72.063000000000002</v>
      </c>
      <c r="D36" s="49">
        <f>7.675+0.001+64.387+134.791+32.498</f>
        <v>239.35199999999998</v>
      </c>
      <c r="E36" s="49">
        <f>105.036+11.981+51.094+15.963+4.793</f>
        <v>188.86699999999999</v>
      </c>
      <c r="F36" s="49">
        <f>224.992+11.981+51.094+15.963+4.793</f>
        <v>308.82300000000004</v>
      </c>
      <c r="G36" s="49">
        <v>0</v>
      </c>
      <c r="H36" s="49">
        <v>0</v>
      </c>
      <c r="I36" s="49">
        <v>0</v>
      </c>
      <c r="J36" s="49">
        <v>0</v>
      </c>
      <c r="K36" s="49">
        <v>0</v>
      </c>
      <c r="L36" s="49">
        <v>0</v>
      </c>
      <c r="N36" s="5"/>
    </row>
    <row r="37" spans="1:14">
      <c r="A37" s="52" t="s">
        <v>380</v>
      </c>
      <c r="B37" s="49"/>
      <c r="C37" s="49"/>
      <c r="D37" s="49"/>
      <c r="E37" s="49"/>
      <c r="F37" s="49">
        <v>0</v>
      </c>
      <c r="G37" s="49">
        <v>5.0000000000000001E-3</v>
      </c>
      <c r="H37" s="49">
        <v>0</v>
      </c>
      <c r="I37" s="49">
        <v>0</v>
      </c>
      <c r="J37" s="49">
        <v>0</v>
      </c>
      <c r="K37" s="49">
        <v>0</v>
      </c>
      <c r="L37" s="49">
        <v>0</v>
      </c>
      <c r="N37" s="5"/>
    </row>
    <row r="38" spans="1:14">
      <c r="A38" s="52" t="s">
        <v>21</v>
      </c>
      <c r="B38" s="49">
        <v>0.27600000000000002</v>
      </c>
      <c r="C38" s="49">
        <v>1.1879999999999999</v>
      </c>
      <c r="D38" s="49">
        <v>4.6669999999999998</v>
      </c>
      <c r="E38" s="49">
        <v>4.2030000000000003</v>
      </c>
      <c r="F38" s="49">
        <v>5.577</v>
      </c>
      <c r="G38" s="49">
        <v>819.11500000000001</v>
      </c>
      <c r="H38" s="48">
        <f>G38+'CASH FLOW'!E8+'CASH FLOW'!E31+'CASH FLOW'!E32+'CASH FLOW'!E7+'CASH FLOW'!E9+'CASH FLOW'!E30</f>
        <v>1065.9909999999998</v>
      </c>
      <c r="I38" s="48">
        <f>H38+'CASH FLOW'!F8+'CASH FLOW'!F31+'CASH FLOW'!F32+'CASH FLOW'!F7+'CASH FLOW'!F9+'CASH FLOW'!F30</f>
        <v>1265.2869999999996</v>
      </c>
      <c r="J38" s="48">
        <f>I38+'CASH FLOW'!G8+'CASH FLOW'!G31+'CASH FLOW'!G32+'CASH FLOW'!G7+'CASH FLOW'!G9+'CASH FLOW'!G30</f>
        <v>1273.0239999999994</v>
      </c>
      <c r="K38" s="48">
        <f>J38+'CASH FLOW'!H8+'CASH FLOW'!H31+'CASH FLOW'!H32+'CASH FLOW'!H7+'CASH FLOW'!H9+'CASH FLOW'!H30</f>
        <v>1473.2240499999994</v>
      </c>
      <c r="L38" s="48">
        <f>K38+'CASH FLOW'!I8+'CASH FLOW'!I31+'CASH FLOW'!I32+'CASH FLOW'!I7+'CASH FLOW'!I9+'CASH FLOW'!I30</f>
        <v>1721.9103024999993</v>
      </c>
      <c r="N38" s="5"/>
    </row>
    <row r="39" spans="1:14">
      <c r="A39" s="52" t="s">
        <v>22</v>
      </c>
      <c r="B39" s="49">
        <v>-25.634</v>
      </c>
      <c r="C39" s="49">
        <v>-67.914000000000001</v>
      </c>
      <c r="D39" s="49">
        <v>-155.845</v>
      </c>
      <c r="E39" s="49">
        <v>-121.788</v>
      </c>
      <c r="F39" s="49">
        <v>-199.36799999999999</v>
      </c>
      <c r="G39" s="49">
        <v>-360.52</v>
      </c>
      <c r="H39" s="48">
        <f>G39+'CASH FLOW'!E25+'CASH FLOW'!E26+'CASH FLOW'!E6+'CASH FLOW'!E10+'CASH FLOW'!E11+'CASH FLOW'!E12+'CASH FLOW'!E13+'CASH FLOW'!E20</f>
        <v>-520.97430000000008</v>
      </c>
      <c r="I39" s="48">
        <f>H39+'CASH FLOW'!F25+'CASH FLOW'!F26+'CASH FLOW'!F6+'CASH FLOW'!F10+'CASH FLOW'!F11+'CASH FLOW'!F12+'CASH FLOW'!F13+'CASH FLOW'!F20</f>
        <v>-712.37063000000012</v>
      </c>
      <c r="J39" s="48">
        <f>I39+'CASH FLOW'!G25+'CASH FLOW'!G26+'CASH FLOW'!G6+'CASH FLOW'!G10+'CASH FLOW'!G11+'CASH FLOW'!G12+'CASH FLOW'!G13+'CASH FLOW'!G20</f>
        <v>-957.81569300000012</v>
      </c>
      <c r="K39" s="48">
        <f>J39+'CASH FLOW'!H25+'CASH FLOW'!H26+'CASH FLOW'!H6+'CASH FLOW'!H10+'CASH FLOW'!H11+'CASH FLOW'!H12+'CASH FLOW'!H13+'CASH FLOW'!H20</f>
        <v>-1203.5548473000001</v>
      </c>
      <c r="L39" s="48">
        <f>K39+'CASH FLOW'!I25+'CASH FLOW'!I26+'CASH FLOW'!I6+'CASH FLOW'!I10+'CASH FLOW'!I11+'CASH FLOW'!I12+'CASH FLOW'!I13+'CASH FLOW'!I20</f>
        <v>-1534.8332490800003</v>
      </c>
      <c r="N39" s="5"/>
    </row>
    <row r="40" spans="1:14" ht="15" thickBot="1">
      <c r="A40" s="52" t="s">
        <v>379</v>
      </c>
      <c r="B40" s="49">
        <v>0</v>
      </c>
      <c r="C40" s="49">
        <v>0</v>
      </c>
      <c r="D40" s="49">
        <v>8.9999999999999993E-3</v>
      </c>
      <c r="E40" s="49">
        <v>0</v>
      </c>
      <c r="F40" s="49">
        <v>0.16300000000000001</v>
      </c>
      <c r="G40" s="49">
        <v>-0.22800000000000001</v>
      </c>
      <c r="H40" s="48">
        <f>G40+0.212</f>
        <v>-1.6000000000000014E-2</v>
      </c>
      <c r="I40" s="48">
        <f t="shared" ref="I40:L40" si="15">H40</f>
        <v>-1.6000000000000014E-2</v>
      </c>
      <c r="J40" s="48">
        <f t="shared" si="15"/>
        <v>-1.6000000000000014E-2</v>
      </c>
      <c r="K40" s="48">
        <f t="shared" si="15"/>
        <v>-1.6000000000000014E-2</v>
      </c>
      <c r="L40" s="48">
        <f t="shared" si="15"/>
        <v>-1.6000000000000014E-2</v>
      </c>
      <c r="N40" s="5"/>
    </row>
    <row r="41" spans="1:14" ht="15" thickBot="1">
      <c r="A41" s="13" t="s">
        <v>23</v>
      </c>
      <c r="B41" s="50">
        <f t="shared" ref="B41:L41" si="16">SUM(B36:B40)</f>
        <v>-17.682000000000002</v>
      </c>
      <c r="C41" s="50">
        <f t="shared" si="16"/>
        <v>5.3370000000000033</v>
      </c>
      <c r="D41" s="50">
        <f t="shared" si="16"/>
        <v>88.182999999999979</v>
      </c>
      <c r="E41" s="50">
        <f t="shared" si="16"/>
        <v>71.281999999999996</v>
      </c>
      <c r="F41" s="50">
        <f t="shared" si="16"/>
        <v>115.19500000000004</v>
      </c>
      <c r="G41" s="50">
        <f t="shared" si="16"/>
        <v>458.37200000000001</v>
      </c>
      <c r="H41" s="50">
        <f>SUM(H36:H40)</f>
        <v>545.00069999999971</v>
      </c>
      <c r="I41" s="50">
        <f t="shared" si="16"/>
        <v>552.9003699999995</v>
      </c>
      <c r="J41" s="50">
        <f t="shared" si="16"/>
        <v>315.19230699999929</v>
      </c>
      <c r="K41" s="50">
        <f t="shared" si="16"/>
        <v>269.65320269999921</v>
      </c>
      <c r="L41" s="50">
        <f t="shared" si="16"/>
        <v>187.06105341999896</v>
      </c>
      <c r="N41" s="5"/>
    </row>
    <row r="42" spans="1:14" ht="15" thickBot="1">
      <c r="A42" s="52"/>
      <c r="B42" s="48"/>
      <c r="C42" s="48"/>
      <c r="D42" s="48"/>
      <c r="E42" s="48"/>
      <c r="F42" s="48"/>
      <c r="G42" s="48"/>
      <c r="H42" s="48"/>
      <c r="I42" s="48"/>
      <c r="J42" s="48"/>
      <c r="K42" s="48"/>
      <c r="L42" s="48"/>
      <c r="N42" s="5"/>
    </row>
    <row r="43" spans="1:14" ht="15" thickBot="1">
      <c r="A43" s="13" t="s">
        <v>24</v>
      </c>
      <c r="B43" s="50">
        <f t="shared" ref="B43:L43" si="17">B32+B41</f>
        <v>-11.711000000000002</v>
      </c>
      <c r="C43" s="50">
        <f t="shared" si="17"/>
        <v>12.679000000000004</v>
      </c>
      <c r="D43" s="50">
        <f t="shared" si="17"/>
        <v>105.61399999999998</v>
      </c>
      <c r="E43" s="50">
        <f t="shared" si="17"/>
        <v>91.408999999999992</v>
      </c>
      <c r="F43" s="50">
        <f t="shared" si="17"/>
        <v>136.91600000000003</v>
      </c>
      <c r="G43" s="50">
        <f t="shared" si="17"/>
        <v>479.512</v>
      </c>
      <c r="H43" s="50">
        <f>H32+H41</f>
        <v>566.1406999999997</v>
      </c>
      <c r="I43" s="50">
        <f t="shared" si="17"/>
        <v>574.04036999999948</v>
      </c>
      <c r="J43" s="50">
        <f t="shared" si="17"/>
        <v>336.33230699999928</v>
      </c>
      <c r="K43" s="50">
        <f t="shared" si="17"/>
        <v>290.7932026999992</v>
      </c>
      <c r="L43" s="50">
        <f t="shared" si="17"/>
        <v>208.20105341999897</v>
      </c>
      <c r="N43" s="5"/>
    </row>
    <row r="44" spans="1:14">
      <c r="A44" s="27" t="s">
        <v>267</v>
      </c>
    </row>
    <row r="46" spans="1:14" s="27" customFormat="1" outlineLevel="1">
      <c r="A46" s="57" t="s">
        <v>25</v>
      </c>
      <c r="B46" s="624">
        <f t="shared" ref="B46:L46" si="18">B20-B43</f>
        <v>14.931000000000001</v>
      </c>
      <c r="C46" s="624">
        <f t="shared" si="18"/>
        <v>1.4249999999999972</v>
      </c>
      <c r="D46" s="624" t="e">
        <f t="shared" si="18"/>
        <v>#REF!</v>
      </c>
      <c r="E46" s="624">
        <f t="shared" si="18"/>
        <v>0</v>
      </c>
      <c r="F46" s="624">
        <f t="shared" si="18"/>
        <v>0</v>
      </c>
      <c r="G46" s="624">
        <f t="shared" si="18"/>
        <v>0</v>
      </c>
      <c r="H46" s="624">
        <f t="shared" si="18"/>
        <v>0</v>
      </c>
      <c r="I46" s="624">
        <f t="shared" si="18"/>
        <v>0</v>
      </c>
      <c r="J46" s="624">
        <f t="shared" si="18"/>
        <v>8.5265128291212022E-13</v>
      </c>
      <c r="K46" s="624">
        <f t="shared" si="18"/>
        <v>9.6633812063373625E-13</v>
      </c>
      <c r="L46" s="624">
        <f t="shared" si="18"/>
        <v>1.0516032489249483E-12</v>
      </c>
    </row>
    <row r="49" spans="1:13" ht="15" thickBot="1"/>
    <row r="50" spans="1:13">
      <c r="A50" s="625" t="s">
        <v>109</v>
      </c>
      <c r="B50" s="40"/>
      <c r="C50" s="40"/>
      <c r="D50" s="40"/>
      <c r="E50" s="40"/>
      <c r="F50" s="40">
        <f t="shared" ref="F50" si="19">AVERAGE(E8:F8)+AVERAGE(E9:F9)</f>
        <v>94.282000000000011</v>
      </c>
      <c r="G50" s="40">
        <f>AVERAGE(F8:G8)+AVERAGE(F9:G9)</f>
        <v>206.94900000000001</v>
      </c>
      <c r="H50" s="40">
        <f>AVERAGE(G8:H8)+AVERAGE(G9:H9)+AVERAGE(G16:H16)</f>
        <v>496.41035000000005</v>
      </c>
      <c r="I50" s="40">
        <f t="shared" ref="I50:L50" si="20">AVERAGE(H8:I8)+AVERAGE(H9:I9)+AVERAGE(H16:I16)</f>
        <v>543.67453500000011</v>
      </c>
      <c r="J50" s="40">
        <f t="shared" si="20"/>
        <v>428.77033850000009</v>
      </c>
      <c r="K50" s="40">
        <f t="shared" si="20"/>
        <v>287.14675485000009</v>
      </c>
      <c r="L50" s="38">
        <f t="shared" si="20"/>
        <v>223.08112806000005</v>
      </c>
    </row>
    <row r="51" spans="1:13">
      <c r="A51" s="7" t="s">
        <v>70</v>
      </c>
      <c r="B51" s="138"/>
      <c r="C51" s="138"/>
      <c r="D51" s="138"/>
      <c r="E51" s="42"/>
      <c r="F51" s="42">
        <f>F52/F50</f>
        <v>4.7771578880380125E-2</v>
      </c>
      <c r="G51" s="42">
        <f>G52/G50</f>
        <v>2.6668406225688453E-2</v>
      </c>
      <c r="H51" s="42">
        <v>0.03</v>
      </c>
      <c r="I51" s="634">
        <f t="shared" ref="I51:L51" si="21">H51</f>
        <v>0.03</v>
      </c>
      <c r="J51" s="634">
        <f t="shared" si="21"/>
        <v>0.03</v>
      </c>
      <c r="K51" s="634">
        <f t="shared" si="21"/>
        <v>0.03</v>
      </c>
      <c r="L51" s="626">
        <f t="shared" si="21"/>
        <v>0.03</v>
      </c>
    </row>
    <row r="52" spans="1:13">
      <c r="A52" s="7" t="s">
        <v>32</v>
      </c>
      <c r="B52" s="11"/>
      <c r="C52" s="11"/>
      <c r="D52" s="11"/>
      <c r="E52" s="11"/>
      <c r="F52" s="96">
        <f>'INCOME STATEMENT'!P19</f>
        <v>4.5039999999999996</v>
      </c>
      <c r="G52" s="96">
        <f>'INCOME STATEMENT'!U19</f>
        <v>5.5190000000000001</v>
      </c>
      <c r="H52" s="11">
        <f t="shared" ref="H52:L52" si="22">H50*H51</f>
        <v>14.892310500000001</v>
      </c>
      <c r="I52" s="11">
        <f t="shared" si="22"/>
        <v>16.310236050000004</v>
      </c>
      <c r="J52" s="11">
        <f t="shared" si="22"/>
        <v>12.863110155000003</v>
      </c>
      <c r="K52" s="11">
        <f t="shared" si="22"/>
        <v>8.614402645500002</v>
      </c>
      <c r="L52" s="12">
        <f t="shared" si="22"/>
        <v>6.6924338418000016</v>
      </c>
    </row>
    <row r="53" spans="1:13" ht="15" thickBot="1">
      <c r="A53" s="17" t="s">
        <v>32</v>
      </c>
      <c r="B53" s="283"/>
      <c r="C53" s="283"/>
      <c r="D53" s="283"/>
      <c r="E53" s="283"/>
      <c r="F53" s="283"/>
      <c r="G53" s="283"/>
      <c r="H53" s="283">
        <v>12</v>
      </c>
      <c r="I53" s="283">
        <v>12.5</v>
      </c>
      <c r="J53" s="283">
        <v>10</v>
      </c>
      <c r="K53" s="283">
        <v>5.5</v>
      </c>
      <c r="L53" s="627">
        <v>3.5</v>
      </c>
      <c r="M53" s="96"/>
    </row>
    <row r="55" spans="1:13" ht="15.65" customHeight="1"/>
  </sheetData>
  <pageMargins left="0.7" right="0.7" top="0.75" bottom="0.75" header="0.3" footer="0.3"/>
  <pageSetup scale="10"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59"/>
  <sheetViews>
    <sheetView zoomScale="115" zoomScaleNormal="115" zoomScaleSheetLayoutView="100" workbookViewId="0">
      <pane xSplit="1" ySplit="3" topLeftCell="B4" activePane="bottomRight" state="frozen"/>
      <selection pane="topRight" activeCell="B1" sqref="B1"/>
      <selection pane="bottomLeft" activeCell="A4" sqref="A4"/>
      <selection pane="bottomRight" activeCell="E8" sqref="E8"/>
    </sheetView>
  </sheetViews>
  <sheetFormatPr defaultRowHeight="14.5" outlineLevelRow="1"/>
  <cols>
    <col min="1" max="1" width="54.81640625" bestFit="1" customWidth="1"/>
    <col min="2" max="2" width="0" hidden="1" customWidth="1"/>
    <col min="3" max="9" width="9.1796875" customWidth="1"/>
  </cols>
  <sheetData>
    <row r="1" spans="1:9">
      <c r="A1" s="1" t="s">
        <v>276</v>
      </c>
    </row>
    <row r="2" spans="1:9" ht="15" thickBot="1">
      <c r="A2" s="260" t="s">
        <v>138</v>
      </c>
    </row>
    <row r="3" spans="1:9" ht="15" thickBot="1">
      <c r="B3" s="54">
        <v>2023</v>
      </c>
      <c r="C3" s="54">
        <v>2024</v>
      </c>
      <c r="D3" s="54">
        <v>2025</v>
      </c>
      <c r="E3" s="54" t="s">
        <v>2</v>
      </c>
      <c r="F3" s="54" t="s">
        <v>3</v>
      </c>
      <c r="G3" s="54" t="s">
        <v>4</v>
      </c>
      <c r="H3" s="54" t="s">
        <v>5</v>
      </c>
      <c r="I3" s="54" t="s">
        <v>6</v>
      </c>
    </row>
    <row r="4" spans="1:9" ht="5.15" customHeight="1">
      <c r="A4" s="47"/>
      <c r="B4" s="68"/>
      <c r="C4" s="68"/>
      <c r="D4" s="68"/>
      <c r="E4" s="68"/>
      <c r="F4" s="68"/>
      <c r="G4" s="68"/>
      <c r="H4" s="68"/>
      <c r="I4" s="68"/>
    </row>
    <row r="5" spans="1:9">
      <c r="A5" s="105" t="s">
        <v>47</v>
      </c>
      <c r="B5" s="48"/>
      <c r="C5" s="48"/>
      <c r="D5" s="48"/>
      <c r="E5" s="48"/>
      <c r="F5" s="48"/>
      <c r="G5" s="48"/>
      <c r="H5" s="48"/>
      <c r="I5" s="48"/>
    </row>
    <row r="6" spans="1:9">
      <c r="A6" s="52" t="s">
        <v>48</v>
      </c>
      <c r="B6" s="56">
        <f>'INCOME STATEMENT'!K29</f>
        <v>-55.708999999999996</v>
      </c>
      <c r="C6" s="48">
        <f>'INCOME STATEMENT'!P29</f>
        <v>-77.417000000000002</v>
      </c>
      <c r="D6" s="49">
        <v>-161.15199999999999</v>
      </c>
      <c r="E6" s="48">
        <f>'INCOME STATEMENT'!Z29</f>
        <v>-160.80000000000001</v>
      </c>
      <c r="F6" s="48">
        <f>'INCOME STATEMENT'!AA29</f>
        <v>-191.69</v>
      </c>
      <c r="G6" s="48">
        <f>'INCOME STATEMENT'!AB29</f>
        <v>-245.68150000000003</v>
      </c>
      <c r="H6" s="48">
        <f>'INCOME STATEMENT'!AC29</f>
        <v>-245.91263500000002</v>
      </c>
      <c r="I6" s="48">
        <f>'INCOME STATEMENT'!AD29</f>
        <v>-331.38263055000004</v>
      </c>
    </row>
    <row r="7" spans="1:9">
      <c r="A7" s="52" t="s">
        <v>150</v>
      </c>
      <c r="B7" s="49">
        <v>0.55600000000000005</v>
      </c>
      <c r="C7" s="49">
        <v>0.70099999999999996</v>
      </c>
      <c r="D7" s="49">
        <v>0.57799999999999996</v>
      </c>
      <c r="E7" s="56">
        <f t="shared" ref="E7:I7" si="0">D7</f>
        <v>0.57799999999999996</v>
      </c>
      <c r="F7" s="56">
        <f t="shared" si="0"/>
        <v>0.57799999999999996</v>
      </c>
      <c r="G7" s="56">
        <f t="shared" si="0"/>
        <v>0.57799999999999996</v>
      </c>
      <c r="H7" s="56">
        <f t="shared" si="0"/>
        <v>0.57799999999999996</v>
      </c>
      <c r="I7" s="56">
        <f t="shared" si="0"/>
        <v>0.57799999999999996</v>
      </c>
    </row>
    <row r="8" spans="1:9">
      <c r="A8" s="52" t="s">
        <v>49</v>
      </c>
      <c r="B8" s="49">
        <v>1.0449999999999999</v>
      </c>
      <c r="C8" s="49">
        <v>1.08</v>
      </c>
      <c r="D8" s="49">
        <v>36.006</v>
      </c>
      <c r="E8" s="56">
        <f>EXPENSES!AA88</f>
        <v>8.4</v>
      </c>
      <c r="F8" s="56">
        <f>EXPENSES!AB88</f>
        <v>8.82</v>
      </c>
      <c r="G8" s="56">
        <f>EXPENSES!AC88</f>
        <v>9.261000000000001</v>
      </c>
      <c r="H8" s="56">
        <f>EXPENSES!AD88</f>
        <v>9.7240500000000019</v>
      </c>
      <c r="I8" s="56">
        <f>EXPENSES!AE88</f>
        <v>10.210252500000003</v>
      </c>
    </row>
    <row r="9" spans="1:9">
      <c r="A9" s="52" t="s">
        <v>354</v>
      </c>
      <c r="B9" s="49"/>
      <c r="C9" s="49">
        <v>-1.7410000000000001</v>
      </c>
      <c r="D9" s="49">
        <v>-2.1019999999999999</v>
      </c>
      <c r="E9" s="56">
        <f t="shared" ref="E9:I9" si="1">D9</f>
        <v>-2.1019999999999999</v>
      </c>
      <c r="F9" s="56">
        <f t="shared" si="1"/>
        <v>-2.1019999999999999</v>
      </c>
      <c r="G9" s="56">
        <f t="shared" si="1"/>
        <v>-2.1019999999999999</v>
      </c>
      <c r="H9" s="56">
        <f t="shared" si="1"/>
        <v>-2.1019999999999999</v>
      </c>
      <c r="I9" s="56">
        <f t="shared" si="1"/>
        <v>-2.1019999999999999</v>
      </c>
    </row>
    <row r="10" spans="1:9" ht="13.5" customHeight="1">
      <c r="A10" s="52" t="s">
        <v>387</v>
      </c>
      <c r="B10" s="49">
        <v>0.53300000000000003</v>
      </c>
      <c r="C10" s="49">
        <v>0.745</v>
      </c>
      <c r="D10" s="49">
        <v>0.86599999999999999</v>
      </c>
      <c r="E10" s="56">
        <f t="shared" ref="E10:I10" si="2">D10</f>
        <v>0.86599999999999999</v>
      </c>
      <c r="F10" s="56">
        <f t="shared" si="2"/>
        <v>0.86599999999999999</v>
      </c>
      <c r="G10" s="56">
        <f t="shared" si="2"/>
        <v>0.86599999999999999</v>
      </c>
      <c r="H10" s="56">
        <f t="shared" si="2"/>
        <v>0.86599999999999999</v>
      </c>
      <c r="I10" s="56">
        <f t="shared" si="2"/>
        <v>0.86599999999999999</v>
      </c>
    </row>
    <row r="11" spans="1:9">
      <c r="A11" s="52" t="s">
        <v>388</v>
      </c>
      <c r="B11" s="49">
        <v>0.51400000000000001</v>
      </c>
      <c r="C11" s="49">
        <v>0</v>
      </c>
      <c r="D11" s="49">
        <v>0.496</v>
      </c>
      <c r="E11" s="56">
        <v>0</v>
      </c>
      <c r="F11" s="56">
        <v>0</v>
      </c>
      <c r="G11" s="56">
        <v>0</v>
      </c>
      <c r="H11" s="56">
        <v>0</v>
      </c>
      <c r="I11" s="56">
        <v>0</v>
      </c>
    </row>
    <row r="12" spans="1:9">
      <c r="A12" s="52" t="s">
        <v>355</v>
      </c>
      <c r="B12" s="49">
        <v>-0.98599999999999999</v>
      </c>
      <c r="C12" s="49">
        <v>0.98599999999999999</v>
      </c>
      <c r="D12" s="56">
        <v>0</v>
      </c>
      <c r="E12" s="56">
        <v>0</v>
      </c>
      <c r="F12" s="56">
        <v>0</v>
      </c>
      <c r="G12" s="56">
        <v>0</v>
      </c>
      <c r="H12" s="56">
        <v>0</v>
      </c>
      <c r="I12" s="56">
        <v>0</v>
      </c>
    </row>
    <row r="13" spans="1:9">
      <c r="A13" s="52" t="s">
        <v>389</v>
      </c>
      <c r="B13" s="49"/>
      <c r="C13" s="49">
        <v>5.8999999999999997E-2</v>
      </c>
      <c r="D13" s="49">
        <v>7.0000000000000001E-3</v>
      </c>
      <c r="E13" s="56">
        <v>0</v>
      </c>
      <c r="F13" s="56">
        <v>0</v>
      </c>
      <c r="G13" s="56">
        <v>0</v>
      </c>
      <c r="H13" s="56">
        <v>0</v>
      </c>
      <c r="I13" s="56">
        <v>0</v>
      </c>
    </row>
    <row r="14" spans="1:9" ht="5.15" customHeight="1">
      <c r="A14" s="52"/>
      <c r="B14" s="68"/>
      <c r="C14" s="68"/>
      <c r="D14" s="68"/>
      <c r="E14" s="68"/>
      <c r="F14" s="68"/>
      <c r="G14" s="68"/>
      <c r="H14" s="68"/>
      <c r="I14" s="68"/>
    </row>
    <row r="15" spans="1:9" ht="15" thickBot="1">
      <c r="A15" s="52" t="s">
        <v>50</v>
      </c>
      <c r="B15" s="48">
        <f t="shared" ref="B15:I15" si="3">SUM(B16:B20)</f>
        <v>2.0410000000000004</v>
      </c>
      <c r="C15" s="48">
        <f t="shared" si="3"/>
        <v>-3.0650000000000004</v>
      </c>
      <c r="D15" s="48">
        <f>SUM(D16:D20)</f>
        <v>-12.836</v>
      </c>
      <c r="E15" s="48">
        <f t="shared" si="3"/>
        <v>0</v>
      </c>
      <c r="F15" s="48">
        <f t="shared" si="3"/>
        <v>0</v>
      </c>
      <c r="G15" s="48">
        <f t="shared" si="3"/>
        <v>0</v>
      </c>
      <c r="H15" s="48">
        <f t="shared" si="3"/>
        <v>0</v>
      </c>
      <c r="I15" s="48">
        <f t="shared" si="3"/>
        <v>0</v>
      </c>
    </row>
    <row r="16" spans="1:9" hidden="1" outlineLevel="1">
      <c r="A16" s="52" t="s">
        <v>10</v>
      </c>
      <c r="B16" s="49">
        <v>0</v>
      </c>
      <c r="C16" s="48">
        <v>0</v>
      </c>
      <c r="D16" s="48">
        <f>'BALANCE SHEET'!G10-'BALANCE SHEET'!F10</f>
        <v>0</v>
      </c>
      <c r="E16" s="48">
        <f>'BALANCE SHEET'!H10-'BALANCE SHEET'!G10</f>
        <v>0</v>
      </c>
      <c r="F16" s="48">
        <f>'BALANCE SHEET'!I10-'BALANCE SHEET'!H10</f>
        <v>0</v>
      </c>
      <c r="G16" s="48">
        <f>'BALANCE SHEET'!J10-'BALANCE SHEET'!I10</f>
        <v>0</v>
      </c>
      <c r="H16" s="48">
        <f>'BALANCE SHEET'!K10-'BALANCE SHEET'!J10</f>
        <v>0</v>
      </c>
      <c r="I16" s="48">
        <f>'BALANCE SHEET'!L10-'BALANCE SHEET'!K10</f>
        <v>0</v>
      </c>
    </row>
    <row r="17" spans="1:9" hidden="1" outlineLevel="1">
      <c r="A17" s="52" t="s">
        <v>61</v>
      </c>
      <c r="B17" s="49">
        <v>0</v>
      </c>
      <c r="C17" s="48">
        <v>0</v>
      </c>
      <c r="D17" s="48">
        <f>'BALANCE SHEET'!G11-'BALANCE SHEET'!F11</f>
        <v>0</v>
      </c>
      <c r="E17" s="48">
        <f>'BALANCE SHEET'!H11-'BALANCE SHEET'!G11</f>
        <v>0</v>
      </c>
      <c r="F17" s="48">
        <f>'BALANCE SHEET'!I11-'BALANCE SHEET'!H11</f>
        <v>0</v>
      </c>
      <c r="G17" s="48">
        <f>'BALANCE SHEET'!J11-'BALANCE SHEET'!I11</f>
        <v>0</v>
      </c>
      <c r="H17" s="48">
        <f>'BALANCE SHEET'!K11-'BALANCE SHEET'!J11</f>
        <v>0</v>
      </c>
      <c r="I17" s="48">
        <f>'BALANCE SHEET'!L11-'BALANCE SHEET'!K11</f>
        <v>0</v>
      </c>
    </row>
    <row r="18" spans="1:9" hidden="1" outlineLevel="1">
      <c r="A18" s="52" t="s">
        <v>137</v>
      </c>
      <c r="B18" s="49">
        <v>0.53200000000000003</v>
      </c>
      <c r="C18" s="49">
        <v>-2.2770000000000001</v>
      </c>
      <c r="D18" s="49">
        <v>-13.103</v>
      </c>
      <c r="E18" s="48">
        <f>'BALANCE SHEET'!H12-'BALANCE SHEET'!G12</f>
        <v>0</v>
      </c>
      <c r="F18" s="48">
        <f>'BALANCE SHEET'!I12-'BALANCE SHEET'!H12</f>
        <v>0</v>
      </c>
      <c r="G18" s="48">
        <f>'BALANCE SHEET'!J12-'BALANCE SHEET'!I12</f>
        <v>0</v>
      </c>
      <c r="H18" s="48">
        <f>'BALANCE SHEET'!K12-'BALANCE SHEET'!J12</f>
        <v>0</v>
      </c>
      <c r="I18" s="48">
        <f>'BALANCE SHEET'!L12-'BALANCE SHEET'!K12</f>
        <v>0</v>
      </c>
    </row>
    <row r="19" spans="1:9" hidden="1" outlineLevel="1">
      <c r="A19" s="52" t="s">
        <v>62</v>
      </c>
      <c r="B19" s="49">
        <f>-0.405+3.922</f>
        <v>3.5170000000000003</v>
      </c>
      <c r="C19" s="49">
        <f>-1.345+2.169</f>
        <v>0.82400000000000007</v>
      </c>
      <c r="D19" s="49">
        <f>1.384+2.899</f>
        <v>4.2829999999999995</v>
      </c>
      <c r="E19" s="48">
        <f>-('BALANCE SHEET'!H25-'BALANCE SHEET'!G25)</f>
        <v>0</v>
      </c>
      <c r="F19" s="48">
        <f>-('BALANCE SHEET'!I25-'BALANCE SHEET'!H25)</f>
        <v>0</v>
      </c>
      <c r="G19" s="48">
        <f>-('BALANCE SHEET'!J25-'BALANCE SHEET'!I25)</f>
        <v>0</v>
      </c>
      <c r="H19" s="48">
        <f>-('BALANCE SHEET'!K25-'BALANCE SHEET'!J25)</f>
        <v>0</v>
      </c>
      <c r="I19" s="48">
        <f>-('BALANCE SHEET'!L25-'BALANCE SHEET'!K25)</f>
        <v>0</v>
      </c>
    </row>
    <row r="20" spans="1:9" ht="15" hidden="1" outlineLevel="1" thickBot="1">
      <c r="A20" s="52" t="s">
        <v>18</v>
      </c>
      <c r="B20" s="49">
        <f>-0.347-1.661</f>
        <v>-2.008</v>
      </c>
      <c r="C20" s="49">
        <f>-0.653-0.959</f>
        <v>-1.6120000000000001</v>
      </c>
      <c r="D20" s="49">
        <f>-0.777-3.239</f>
        <v>-4.016</v>
      </c>
      <c r="E20" s="48">
        <f>'BALANCE SHEET'!H26-'BALANCE SHEET'!G26+'BALANCE SHEET'!H31-'BALANCE SHEET'!G31</f>
        <v>0</v>
      </c>
      <c r="F20" s="48">
        <f>'BALANCE SHEET'!I26-'BALANCE SHEET'!H26+'BALANCE SHEET'!I31-'BALANCE SHEET'!H31</f>
        <v>0</v>
      </c>
      <c r="G20" s="48">
        <f>'BALANCE SHEET'!J26-'BALANCE SHEET'!I26+'BALANCE SHEET'!J31-'BALANCE SHEET'!I31</f>
        <v>0</v>
      </c>
      <c r="H20" s="48">
        <f>'BALANCE SHEET'!K26-'BALANCE SHEET'!J26+'BALANCE SHEET'!K31-'BALANCE SHEET'!J31</f>
        <v>0</v>
      </c>
      <c r="I20" s="48">
        <f>'BALANCE SHEET'!L26-'BALANCE SHEET'!K26+'BALANCE SHEET'!L31-'BALANCE SHEET'!K31</f>
        <v>0</v>
      </c>
    </row>
    <row r="21" spans="1:9" s="1" customFormat="1" ht="15" collapsed="1" thickBot="1">
      <c r="A21" s="13" t="s">
        <v>51</v>
      </c>
      <c r="B21" s="50">
        <f t="shared" ref="B21:I21" si="4">SUM(B6:B15)</f>
        <v>-52.005999999999986</v>
      </c>
      <c r="C21" s="50">
        <f t="shared" si="4"/>
        <v>-78.652000000000001</v>
      </c>
      <c r="D21" s="50">
        <f t="shared" si="4"/>
        <v>-138.137</v>
      </c>
      <c r="E21" s="50">
        <f t="shared" si="4"/>
        <v>-153.05799999999999</v>
      </c>
      <c r="F21" s="50">
        <f t="shared" si="4"/>
        <v>-183.52799999999999</v>
      </c>
      <c r="G21" s="50">
        <f t="shared" si="4"/>
        <v>-237.07850000000002</v>
      </c>
      <c r="H21" s="50">
        <f t="shared" si="4"/>
        <v>-236.846585</v>
      </c>
      <c r="I21" s="50">
        <f t="shared" si="4"/>
        <v>-321.83037805000004</v>
      </c>
    </row>
    <row r="22" spans="1:9">
      <c r="A22" s="52"/>
      <c r="B22" s="48"/>
      <c r="C22" s="56"/>
      <c r="D22" s="48"/>
      <c r="E22" s="48"/>
      <c r="F22" s="48"/>
      <c r="G22" s="48"/>
      <c r="H22" s="48"/>
      <c r="I22" s="48"/>
    </row>
    <row r="23" spans="1:9">
      <c r="A23" s="105" t="s">
        <v>52</v>
      </c>
      <c r="B23" s="48"/>
      <c r="C23" s="56"/>
      <c r="D23" s="48"/>
      <c r="E23" s="48"/>
      <c r="F23" s="48"/>
      <c r="G23" s="48"/>
      <c r="H23" s="48"/>
      <c r="I23" s="48"/>
    </row>
    <row r="24" spans="1:9">
      <c r="A24" s="52" t="s">
        <v>53</v>
      </c>
      <c r="B24" s="49">
        <v>0</v>
      </c>
      <c r="C24" s="49">
        <f>-125.018+45</f>
        <v>-80.018000000000001</v>
      </c>
      <c r="D24" s="49">
        <f>-408.234+85.5</f>
        <v>-322.73399999999998</v>
      </c>
      <c r="E24" s="56">
        <f>'BALANCE SHEET'!G9-'BALANCE SHEET'!H9+'BALANCE SHEET'!G16-'BALANCE SHEET'!H16</f>
        <v>58.374000000000024</v>
      </c>
      <c r="F24" s="56">
        <f>'BALANCE SHEET'!H9-'BALANCE SHEET'!I9+'BALANCE SHEET'!H16-'BALANCE SHEET'!I16</f>
        <v>297.99299999999999</v>
      </c>
      <c r="G24" s="56">
        <f>'BALANCE SHEET'!I9-'BALANCE SHEET'!J9+'BALANCE SHEET'!I16-'BALANCE SHEET'!J16</f>
        <v>0</v>
      </c>
      <c r="H24" s="56">
        <f>'BALANCE SHEET'!J9-'BALANCE SHEET'!K9+'BALANCE SHEET'!J16-'BALANCE SHEET'!K16</f>
        <v>0</v>
      </c>
      <c r="I24" s="56">
        <f>'BALANCE SHEET'!K9-'BALANCE SHEET'!L9+'BALANCE SHEET'!K16-'BALANCE SHEET'!L16</f>
        <v>50</v>
      </c>
    </row>
    <row r="25" spans="1:9">
      <c r="A25" s="52" t="s">
        <v>54</v>
      </c>
      <c r="B25" s="49">
        <v>-0.46200000000000002</v>
      </c>
      <c r="C25" s="49">
        <v>-0.77</v>
      </c>
      <c r="D25" s="49">
        <f>-0.473</f>
        <v>-0.47299999999999998</v>
      </c>
      <c r="E25" s="56">
        <f t="shared" ref="E25:I25" si="5">D25*1.1</f>
        <v>-0.52029999999999998</v>
      </c>
      <c r="F25" s="56">
        <f t="shared" si="5"/>
        <v>-0.57233000000000001</v>
      </c>
      <c r="G25" s="56">
        <f t="shared" si="5"/>
        <v>-0.62956300000000009</v>
      </c>
      <c r="H25" s="56">
        <f t="shared" si="5"/>
        <v>-0.69251930000000017</v>
      </c>
      <c r="I25" s="56">
        <f t="shared" si="5"/>
        <v>-0.76177123000000024</v>
      </c>
    </row>
    <row r="26" spans="1:9" ht="15" thickBot="1">
      <c r="A26" s="52" t="s">
        <v>11</v>
      </c>
      <c r="B26" s="49">
        <v>0</v>
      </c>
      <c r="C26" s="49">
        <f>B26</f>
        <v>0</v>
      </c>
      <c r="D26" s="49">
        <v>0</v>
      </c>
      <c r="E26" s="56">
        <f t="shared" ref="E26:F26" si="6">D26</f>
        <v>0</v>
      </c>
      <c r="F26" s="56">
        <f t="shared" si="6"/>
        <v>0</v>
      </c>
      <c r="G26" s="56">
        <v>0</v>
      </c>
      <c r="H26" s="56">
        <v>0</v>
      </c>
      <c r="I26" s="56">
        <v>0</v>
      </c>
    </row>
    <row r="27" spans="1:9" ht="15" thickBot="1">
      <c r="A27" s="13" t="s">
        <v>55</v>
      </c>
      <c r="B27" s="50">
        <f t="shared" ref="B27:I27" si="7">SUM(B24:B26)</f>
        <v>-0.46200000000000002</v>
      </c>
      <c r="C27" s="50">
        <f t="shared" si="7"/>
        <v>-80.787999999999997</v>
      </c>
      <c r="D27" s="50">
        <f t="shared" si="7"/>
        <v>-323.20699999999999</v>
      </c>
      <c r="E27" s="50">
        <f t="shared" si="7"/>
        <v>57.853700000000025</v>
      </c>
      <c r="F27" s="50">
        <f t="shared" si="7"/>
        <v>297.42066999999997</v>
      </c>
      <c r="G27" s="50">
        <f t="shared" si="7"/>
        <v>-0.62956300000000009</v>
      </c>
      <c r="H27" s="50">
        <f t="shared" si="7"/>
        <v>-0.69251930000000017</v>
      </c>
      <c r="I27" s="50">
        <f t="shared" si="7"/>
        <v>49.238228769999999</v>
      </c>
    </row>
    <row r="28" spans="1:9">
      <c r="A28" s="52"/>
      <c r="B28" s="60"/>
      <c r="C28" s="628"/>
      <c r="D28" s="48"/>
      <c r="E28" s="48"/>
      <c r="F28" s="48"/>
      <c r="G28" s="48"/>
      <c r="H28" s="48"/>
      <c r="I28" s="628"/>
    </row>
    <row r="29" spans="1:9">
      <c r="A29" s="105" t="s">
        <v>56</v>
      </c>
      <c r="B29" s="60"/>
      <c r="C29" s="48"/>
      <c r="D29" s="48"/>
      <c r="E29" s="48"/>
      <c r="F29" s="48"/>
      <c r="G29" s="48"/>
      <c r="H29" s="48"/>
      <c r="I29" s="48"/>
    </row>
    <row r="30" spans="1:9">
      <c r="A30" s="52" t="s">
        <v>390</v>
      </c>
      <c r="B30" s="61">
        <v>104.572</v>
      </c>
      <c r="C30" s="49">
        <v>119.956</v>
      </c>
      <c r="D30" s="49">
        <f>198.84-5.021</f>
        <v>193.81900000000002</v>
      </c>
      <c r="E30" s="49">
        <v>0</v>
      </c>
      <c r="F30" s="49">
        <v>0</v>
      </c>
      <c r="G30" s="49">
        <v>0</v>
      </c>
      <c r="H30" s="49">
        <v>0</v>
      </c>
      <c r="I30" s="49">
        <v>0</v>
      </c>
    </row>
    <row r="31" spans="1:9">
      <c r="A31" s="52" t="s">
        <v>155</v>
      </c>
      <c r="B31" s="87">
        <v>0</v>
      </c>
      <c r="C31" s="629">
        <v>0</v>
      </c>
      <c r="D31" s="49">
        <v>275.71600000000001</v>
      </c>
      <c r="E31" s="56">
        <f>E41*0.96</f>
        <v>240</v>
      </c>
      <c r="F31" s="56">
        <f>F41*0.96</f>
        <v>192</v>
      </c>
      <c r="G31" s="56">
        <f>G41*0.96</f>
        <v>0</v>
      </c>
      <c r="H31" s="56">
        <f>H41*0.96</f>
        <v>192</v>
      </c>
      <c r="I31" s="56">
        <f>I41*0.96</f>
        <v>240</v>
      </c>
    </row>
    <row r="32" spans="1:9" ht="15" thickBot="1">
      <c r="A32" s="52" t="s">
        <v>11</v>
      </c>
      <c r="B32" s="61">
        <v>0.04</v>
      </c>
      <c r="C32" s="630">
        <f>-2.19+0.294</f>
        <v>-1.8959999999999999</v>
      </c>
      <c r="D32" s="49">
        <v>0.28499999999999998</v>
      </c>
      <c r="E32" s="49">
        <v>0</v>
      </c>
      <c r="F32" s="49">
        <v>0</v>
      </c>
      <c r="G32" s="49">
        <v>0</v>
      </c>
      <c r="H32" s="49">
        <v>0</v>
      </c>
      <c r="I32" s="49">
        <v>0</v>
      </c>
    </row>
    <row r="33" spans="1:9" ht="15" thickBot="1">
      <c r="A33" s="13" t="s">
        <v>57</v>
      </c>
      <c r="B33" s="50">
        <f t="shared" ref="B33:I33" si="8">SUM(B30:B32)</f>
        <v>104.61200000000001</v>
      </c>
      <c r="C33" s="50">
        <f t="shared" si="8"/>
        <v>118.06</v>
      </c>
      <c r="D33" s="50">
        <f t="shared" si="8"/>
        <v>469.82000000000005</v>
      </c>
      <c r="E33" s="50">
        <f t="shared" si="8"/>
        <v>240</v>
      </c>
      <c r="F33" s="50">
        <f t="shared" si="8"/>
        <v>192</v>
      </c>
      <c r="G33" s="50">
        <f t="shared" si="8"/>
        <v>0</v>
      </c>
      <c r="H33" s="50">
        <f t="shared" si="8"/>
        <v>192</v>
      </c>
      <c r="I33" s="50">
        <f t="shared" si="8"/>
        <v>240</v>
      </c>
    </row>
    <row r="34" spans="1:9" ht="15" thickBot="1">
      <c r="A34" s="52"/>
      <c r="B34" s="48"/>
      <c r="C34" s="48"/>
      <c r="D34" s="48"/>
      <c r="E34" s="48"/>
      <c r="F34" s="48"/>
      <c r="G34" s="48"/>
      <c r="H34" s="48"/>
      <c r="I34" s="48"/>
    </row>
    <row r="35" spans="1:9">
      <c r="A35" s="47" t="s">
        <v>58</v>
      </c>
      <c r="B35" s="261">
        <v>27.899000000000001</v>
      </c>
      <c r="C35" s="628">
        <f t="shared" ref="C35:I35" si="9">B37</f>
        <v>80.043000000000021</v>
      </c>
      <c r="D35" s="261">
        <v>38.46</v>
      </c>
      <c r="E35" s="628">
        <f>D37</f>
        <v>46.936000000000057</v>
      </c>
      <c r="F35" s="628">
        <f t="shared" si="9"/>
        <v>191.7317000000001</v>
      </c>
      <c r="G35" s="628">
        <f t="shared" si="9"/>
        <v>497.62437000000006</v>
      </c>
      <c r="H35" s="628">
        <f t="shared" si="9"/>
        <v>259.91630700000007</v>
      </c>
      <c r="I35" s="628">
        <f t="shared" si="9"/>
        <v>214.37720270000008</v>
      </c>
    </row>
    <row r="36" spans="1:9">
      <c r="A36" s="52" t="s">
        <v>59</v>
      </c>
      <c r="B36" s="48">
        <f t="shared" ref="B36:I36" si="10">B21+B27+B33</f>
        <v>52.14400000000002</v>
      </c>
      <c r="C36" s="48">
        <f t="shared" si="10"/>
        <v>-41.379999999999995</v>
      </c>
      <c r="D36" s="48">
        <f t="shared" si="10"/>
        <v>8.4760000000000559</v>
      </c>
      <c r="E36" s="48">
        <f t="shared" si="10"/>
        <v>144.79570000000004</v>
      </c>
      <c r="F36" s="48">
        <f t="shared" si="10"/>
        <v>305.89266999999995</v>
      </c>
      <c r="G36" s="48">
        <f t="shared" si="10"/>
        <v>-237.70806300000001</v>
      </c>
      <c r="H36" s="48">
        <f t="shared" si="10"/>
        <v>-45.539104299999991</v>
      </c>
      <c r="I36" s="48">
        <f t="shared" si="10"/>
        <v>-32.592149280000058</v>
      </c>
    </row>
    <row r="37" spans="1:9" ht="15" thickBot="1">
      <c r="A37" s="631" t="s">
        <v>60</v>
      </c>
      <c r="B37" s="632">
        <f>B35+B36</f>
        <v>80.043000000000021</v>
      </c>
      <c r="C37" s="632">
        <f t="shared" ref="C37:I37" si="11">C35+C36</f>
        <v>38.663000000000025</v>
      </c>
      <c r="D37" s="632">
        <f>D35+D36</f>
        <v>46.936000000000057</v>
      </c>
      <c r="E37" s="632">
        <f t="shared" si="11"/>
        <v>191.7317000000001</v>
      </c>
      <c r="F37" s="632">
        <f t="shared" si="11"/>
        <v>497.62437000000006</v>
      </c>
      <c r="G37" s="632">
        <f t="shared" si="11"/>
        <v>259.91630700000007</v>
      </c>
      <c r="H37" s="632">
        <f t="shared" si="11"/>
        <v>214.37720270000008</v>
      </c>
      <c r="I37" s="633">
        <f t="shared" si="11"/>
        <v>181.78505342000003</v>
      </c>
    </row>
    <row r="38" spans="1:9">
      <c r="A38" s="27" t="s">
        <v>267</v>
      </c>
    </row>
    <row r="40" spans="1:9" ht="15" thickBot="1">
      <c r="E40" s="87"/>
    </row>
    <row r="41" spans="1:9">
      <c r="A41" s="119" t="s">
        <v>140</v>
      </c>
      <c r="B41" s="20"/>
      <c r="C41" s="20"/>
      <c r="D41" s="517">
        <f>D48+D52+D57</f>
        <v>296.1825</v>
      </c>
      <c r="E41" s="120">
        <v>250</v>
      </c>
      <c r="F41" s="120">
        <v>200</v>
      </c>
      <c r="G41" s="120">
        <v>0</v>
      </c>
      <c r="H41" s="120">
        <v>200</v>
      </c>
      <c r="I41" s="518">
        <v>250</v>
      </c>
    </row>
    <row r="42" spans="1:9">
      <c r="A42" s="7" t="s">
        <v>141</v>
      </c>
      <c r="D42" s="516">
        <v>17</v>
      </c>
      <c r="E42" s="516">
        <v>25</v>
      </c>
      <c r="F42" s="516">
        <v>24</v>
      </c>
      <c r="G42" s="516">
        <f t="shared" ref="G42:I42" si="12">F42*1.1</f>
        <v>26.400000000000002</v>
      </c>
      <c r="H42" s="516">
        <f t="shared" si="12"/>
        <v>29.040000000000006</v>
      </c>
      <c r="I42" s="519">
        <f t="shared" si="12"/>
        <v>31.94400000000001</v>
      </c>
    </row>
    <row r="43" spans="1:9" ht="15" thickBot="1">
      <c r="A43" s="17" t="s">
        <v>112</v>
      </c>
      <c r="B43" s="103"/>
      <c r="C43" s="103"/>
      <c r="D43" s="308">
        <f>D41/D42</f>
        <v>17.422499999999999</v>
      </c>
      <c r="E43" s="308">
        <f t="shared" ref="E43:I43" si="13">E41/E42</f>
        <v>10</v>
      </c>
      <c r="F43" s="308">
        <f t="shared" si="13"/>
        <v>8.3333333333333339</v>
      </c>
      <c r="G43" s="308">
        <f t="shared" si="13"/>
        <v>0</v>
      </c>
      <c r="H43" s="308">
        <f t="shared" si="13"/>
        <v>6.8870523415977942</v>
      </c>
      <c r="I43" s="520">
        <f t="shared" si="13"/>
        <v>7.8261958427247658</v>
      </c>
    </row>
    <row r="46" spans="1:9" ht="15" thickBot="1"/>
    <row r="47" spans="1:9" ht="15" thickBot="1">
      <c r="D47" s="234" t="s">
        <v>258</v>
      </c>
    </row>
    <row r="48" spans="1:9">
      <c r="A48" s="119" t="s">
        <v>140</v>
      </c>
      <c r="B48" s="120"/>
      <c r="C48" s="120"/>
      <c r="D48" s="524">
        <f>D49*D50</f>
        <v>250.75</v>
      </c>
    </row>
    <row r="49" spans="1:12">
      <c r="A49" s="7" t="s">
        <v>141</v>
      </c>
      <c r="B49" s="516"/>
      <c r="C49" s="516"/>
      <c r="D49" s="444">
        <v>17</v>
      </c>
      <c r="L49" s="313"/>
    </row>
    <row r="50" spans="1:12" ht="15" thickBot="1">
      <c r="A50" s="17" t="s">
        <v>112</v>
      </c>
      <c r="B50" s="308"/>
      <c r="C50" s="308"/>
      <c r="D50" s="525">
        <v>14.75</v>
      </c>
    </row>
    <row r="51" spans="1:12" ht="15" thickBot="1">
      <c r="D51" s="414" t="s">
        <v>258</v>
      </c>
    </row>
    <row r="52" spans="1:12">
      <c r="A52" s="119" t="s">
        <v>140</v>
      </c>
      <c r="B52" s="120"/>
      <c r="C52" s="120"/>
      <c r="D52" s="524">
        <f>D53*D54</f>
        <v>37.612499999999997</v>
      </c>
    </row>
    <row r="53" spans="1:12">
      <c r="A53" s="7" t="s">
        <v>141</v>
      </c>
      <c r="B53" s="516"/>
      <c r="C53" s="516"/>
      <c r="D53" s="444">
        <v>17</v>
      </c>
    </row>
    <row r="54" spans="1:12" ht="15" thickBot="1">
      <c r="A54" s="17" t="s">
        <v>112</v>
      </c>
      <c r="B54" s="308"/>
      <c r="C54" s="308"/>
      <c r="D54" s="525">
        <v>2.2124999999999999</v>
      </c>
    </row>
    <row r="55" spans="1:12">
      <c r="D55" s="52"/>
    </row>
    <row r="56" spans="1:12" ht="15" thickBot="1">
      <c r="D56" s="414" t="s">
        <v>258</v>
      </c>
    </row>
    <row r="57" spans="1:12">
      <c r="A57" s="119" t="s">
        <v>140</v>
      </c>
      <c r="B57" s="120"/>
      <c r="C57" s="120"/>
      <c r="D57" s="524">
        <f>D58*D59</f>
        <v>7.82</v>
      </c>
    </row>
    <row r="58" spans="1:12">
      <c r="A58" s="7" t="s">
        <v>141</v>
      </c>
      <c r="B58" s="516"/>
      <c r="C58" s="516"/>
      <c r="D58" s="444">
        <v>17</v>
      </c>
    </row>
    <row r="59" spans="1:12" ht="15" thickBot="1">
      <c r="A59" s="17" t="s">
        <v>112</v>
      </c>
      <c r="B59" s="308"/>
      <c r="C59" s="308"/>
      <c r="D59" s="525">
        <v>0.46</v>
      </c>
    </row>
  </sheetData>
  <pageMargins left="0.7" right="0.7" top="0.75" bottom="0.75" header="0.3" footer="0.3"/>
  <pageSetup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178"/>
  <sheetViews>
    <sheetView topLeftCell="A6" zoomScale="110" zoomScaleNormal="110" workbookViewId="0">
      <selection activeCell="H16" sqref="H16"/>
    </sheetView>
  </sheetViews>
  <sheetFormatPr defaultRowHeight="14.5" outlineLevelRow="1"/>
  <cols>
    <col min="1" max="1" width="56.54296875" customWidth="1"/>
    <col min="2" max="17" width="8.7265625" customWidth="1"/>
    <col min="27" max="27" width="10.453125" customWidth="1"/>
    <col min="28" max="28" width="20.1796875" bestFit="1" customWidth="1"/>
  </cols>
  <sheetData>
    <row r="1" spans="1:25">
      <c r="A1" s="1" t="s">
        <v>277</v>
      </c>
    </row>
    <row r="2" spans="1:25" ht="15" thickBot="1">
      <c r="A2" s="27" t="s">
        <v>267</v>
      </c>
    </row>
    <row r="3" spans="1:25">
      <c r="B3" s="84" t="s">
        <v>119</v>
      </c>
      <c r="C3" s="84"/>
      <c r="D3" s="84" t="s">
        <v>118</v>
      </c>
      <c r="E3" s="84" t="s">
        <v>119</v>
      </c>
      <c r="F3" s="84" t="s">
        <v>120</v>
      </c>
      <c r="G3" s="84" t="s">
        <v>118</v>
      </c>
      <c r="H3" s="90" t="s">
        <v>121</v>
      </c>
      <c r="I3" s="84" t="s">
        <v>131</v>
      </c>
      <c r="L3" s="119" t="s">
        <v>357</v>
      </c>
      <c r="M3" s="20"/>
      <c r="N3" s="102">
        <f>'INCOME STATEMENT'!P7</f>
        <v>0</v>
      </c>
    </row>
    <row r="4" spans="1:25">
      <c r="B4" s="84" t="s">
        <v>124</v>
      </c>
      <c r="C4" s="84" t="s">
        <v>122</v>
      </c>
      <c r="D4" s="84" t="s">
        <v>123</v>
      </c>
      <c r="E4" s="84" t="s">
        <v>124</v>
      </c>
      <c r="F4" s="84" t="s">
        <v>122</v>
      </c>
      <c r="G4" s="84" t="s">
        <v>123</v>
      </c>
      <c r="H4" s="84" t="s">
        <v>125</v>
      </c>
      <c r="I4" s="84" t="s">
        <v>132</v>
      </c>
      <c r="L4" s="7" t="s">
        <v>110</v>
      </c>
      <c r="N4" s="135">
        <v>0.1</v>
      </c>
    </row>
    <row r="5" spans="1:25">
      <c r="A5" s="1" t="s">
        <v>126</v>
      </c>
      <c r="L5" s="7" t="s">
        <v>112</v>
      </c>
      <c r="N5" s="12">
        <f>'INCOME STATEMENT'!V32</f>
        <v>54</v>
      </c>
      <c r="O5" s="8" t="s">
        <v>259</v>
      </c>
    </row>
    <row r="6" spans="1:25" ht="15" thickBot="1">
      <c r="A6" t="s">
        <v>337</v>
      </c>
      <c r="B6" s="92">
        <v>1</v>
      </c>
      <c r="C6" s="41">
        <f>B91</f>
        <v>1631.4260297401847</v>
      </c>
      <c r="D6" s="91">
        <f>C6/$N$5</f>
        <v>30.211593143336753</v>
      </c>
      <c r="E6" s="124">
        <f>B92</f>
        <v>0.65</v>
      </c>
      <c r="F6" s="41">
        <f>B93</f>
        <v>1060.4269193311202</v>
      </c>
      <c r="G6" s="29">
        <f>B94</f>
        <v>19.637535543168891</v>
      </c>
      <c r="H6" s="30">
        <f>G6/G$20</f>
        <v>0.64403341275044668</v>
      </c>
      <c r="I6" s="5">
        <f>MAX(B69:W69)</f>
        <v>1011.3008697792005</v>
      </c>
      <c r="L6" s="17" t="s">
        <v>38</v>
      </c>
      <c r="M6" s="25"/>
      <c r="N6" s="182">
        <v>0.25</v>
      </c>
      <c r="U6" s="8"/>
      <c r="W6" s="8"/>
      <c r="Y6" s="8"/>
    </row>
    <row r="7" spans="1:25" ht="15" thickBot="1">
      <c r="A7" t="s">
        <v>338</v>
      </c>
      <c r="B7" s="92">
        <v>1</v>
      </c>
      <c r="C7" s="41">
        <f>B122</f>
        <v>1611.8991270707963</v>
      </c>
      <c r="D7" s="91">
        <f>C7/$N$5</f>
        <v>29.849983834644377</v>
      </c>
      <c r="E7" s="124">
        <f>B123</f>
        <v>0.35</v>
      </c>
      <c r="F7" s="41">
        <f>B124</f>
        <v>564.16469447477868</v>
      </c>
      <c r="G7" s="29">
        <f>B125</f>
        <v>10.44749434212553</v>
      </c>
      <c r="H7" s="30">
        <f>G7/G$20</f>
        <v>0.3426364485023517</v>
      </c>
      <c r="I7" s="5">
        <f>MAX(B100:W100)</f>
        <v>1368.4814325</v>
      </c>
      <c r="L7" s="639" t="s">
        <v>113</v>
      </c>
      <c r="M7" s="640"/>
      <c r="N7" s="641"/>
      <c r="U7" s="8"/>
      <c r="W7" s="8"/>
      <c r="Y7" s="8"/>
    </row>
    <row r="8" spans="1:25">
      <c r="A8" s="1" t="s">
        <v>334</v>
      </c>
      <c r="B8" s="92">
        <v>1</v>
      </c>
      <c r="C8" s="141">
        <f>C6+C7</f>
        <v>3243.3251568109808</v>
      </c>
      <c r="D8" s="419">
        <f>C8/$N$5</f>
        <v>60.061576977981126</v>
      </c>
      <c r="E8" s="124"/>
      <c r="F8" s="141">
        <f>F6+F7</f>
        <v>1624.5916138058988</v>
      </c>
      <c r="G8" s="136">
        <f>G6+G7</f>
        <v>30.085029885294421</v>
      </c>
      <c r="H8" s="528">
        <f>G8/G$20</f>
        <v>0.98666986125279843</v>
      </c>
      <c r="I8" s="22">
        <f>I6+I7</f>
        <v>2379.7823022792004</v>
      </c>
      <c r="L8" s="7" t="s">
        <v>391</v>
      </c>
      <c r="N8" s="267">
        <f>'BALANCE SHEET'!G8+'BALANCE SHEET'!G9+'BALANCE SHEET'!G16</f>
        <v>453.096</v>
      </c>
      <c r="O8" s="8" t="s">
        <v>358</v>
      </c>
      <c r="U8" s="8"/>
      <c r="W8" s="8"/>
      <c r="Y8" s="8"/>
    </row>
    <row r="9" spans="1:25">
      <c r="B9" s="92"/>
      <c r="C9" s="41"/>
      <c r="D9" s="91"/>
      <c r="E9" s="124"/>
      <c r="F9" s="41"/>
      <c r="G9" s="29"/>
      <c r="H9" s="30"/>
      <c r="I9" s="5"/>
      <c r="L9" s="7" t="s">
        <v>243</v>
      </c>
      <c r="N9" s="157">
        <v>0</v>
      </c>
      <c r="O9" s="8"/>
      <c r="U9" s="8"/>
      <c r="W9" s="8"/>
      <c r="Y9" s="8"/>
    </row>
    <row r="10" spans="1:25" ht="15" thickBot="1">
      <c r="A10" s="1" t="s">
        <v>365</v>
      </c>
      <c r="B10" s="526">
        <v>1</v>
      </c>
      <c r="C10" s="141">
        <f>B155</f>
        <v>3382.0969976444544</v>
      </c>
      <c r="D10" s="419">
        <f>C10/$N$5</f>
        <v>62.631425882304711</v>
      </c>
      <c r="E10" s="527">
        <f>B156</f>
        <v>0</v>
      </c>
      <c r="F10" s="22">
        <f>B157</f>
        <v>0</v>
      </c>
      <c r="G10" s="136">
        <f>B158</f>
        <v>0</v>
      </c>
      <c r="H10" s="528">
        <f>G10/G$20</f>
        <v>0</v>
      </c>
      <c r="I10" s="22">
        <f>MAX(B133:Q133)</f>
        <v>2004.8541174635388</v>
      </c>
      <c r="L10" s="17" t="s">
        <v>113</v>
      </c>
      <c r="M10" s="25"/>
      <c r="N10" s="256">
        <f>N9-N8</f>
        <v>-453.096</v>
      </c>
      <c r="O10" s="8"/>
      <c r="U10" s="8"/>
      <c r="W10" s="8"/>
      <c r="Y10" s="8"/>
    </row>
    <row r="11" spans="1:25">
      <c r="B11" s="92"/>
      <c r="C11" s="41"/>
      <c r="D11" s="91"/>
      <c r="E11" s="124"/>
      <c r="F11" s="41"/>
      <c r="G11" s="29"/>
      <c r="H11" s="30"/>
      <c r="I11" s="5"/>
      <c r="N11" s="41"/>
      <c r="O11" s="8"/>
      <c r="U11" s="8"/>
      <c r="W11" s="8"/>
      <c r="Y11" s="8"/>
    </row>
    <row r="12" spans="1:25">
      <c r="A12" s="1" t="s">
        <v>154</v>
      </c>
      <c r="B12" s="92">
        <v>1</v>
      </c>
      <c r="C12" s="141">
        <f>SUM(C6:C10)</f>
        <v>9868.7473112664156</v>
      </c>
      <c r="D12" s="136">
        <f>SUM(D6:D10)</f>
        <v>182.75457983826698</v>
      </c>
      <c r="F12" s="141">
        <f>F8+F10</f>
        <v>1624.5916138058988</v>
      </c>
      <c r="G12" s="136">
        <f>G8+G10</f>
        <v>30.085029885294421</v>
      </c>
      <c r="H12" s="142"/>
      <c r="I12" s="22"/>
      <c r="J12" s="6"/>
      <c r="O12" s="8"/>
      <c r="U12" s="41"/>
      <c r="V12" s="41"/>
      <c r="W12" s="86"/>
      <c r="X12" s="41"/>
      <c r="Y12" s="86"/>
    </row>
    <row r="13" spans="1:25">
      <c r="B13" s="92"/>
      <c r="C13" s="41"/>
      <c r="D13" s="91"/>
      <c r="E13" s="137"/>
      <c r="F13" s="41"/>
      <c r="G13" s="29"/>
      <c r="H13" s="138"/>
      <c r="I13" s="5"/>
      <c r="W13" s="86"/>
      <c r="X13" s="41"/>
      <c r="Y13" s="86"/>
    </row>
    <row r="14" spans="1:25">
      <c r="A14" s="1" t="s">
        <v>75</v>
      </c>
      <c r="C14" s="5"/>
      <c r="E14" s="139"/>
      <c r="F14" s="5"/>
      <c r="G14" s="29"/>
      <c r="H14" s="138"/>
      <c r="W14" s="86"/>
      <c r="X14" s="41"/>
      <c r="Y14" s="86"/>
    </row>
    <row r="15" spans="1:25">
      <c r="A15" s="88" t="s">
        <v>64</v>
      </c>
      <c r="C15" s="41">
        <f>B36</f>
        <v>-309.26655379283704</v>
      </c>
      <c r="D15" s="91">
        <f>C15/$N$5</f>
        <v>-5.7271584035710568</v>
      </c>
      <c r="E15" s="143"/>
      <c r="F15" s="41">
        <f>C15</f>
        <v>-309.26655379283704</v>
      </c>
      <c r="G15" s="29">
        <f>D15</f>
        <v>-5.7271584035710568</v>
      </c>
      <c r="H15" s="138">
        <f>G15/G$20</f>
        <v>-0.18782811946570058</v>
      </c>
      <c r="I15" s="11"/>
      <c r="L15" t="s">
        <v>77</v>
      </c>
      <c r="U15" s="41"/>
      <c r="V15" s="41"/>
      <c r="W15" s="86"/>
      <c r="X15" s="41"/>
      <c r="Y15" s="86"/>
    </row>
    <row r="16" spans="1:25" ht="15" customHeight="1">
      <c r="A16" t="s">
        <v>127</v>
      </c>
      <c r="C16" s="41"/>
      <c r="D16" s="91"/>
      <c r="F16" s="41"/>
      <c r="I16" s="143"/>
      <c r="L16" s="97" t="s">
        <v>114</v>
      </c>
      <c r="M16" s="98"/>
      <c r="N16" s="160"/>
      <c r="O16" s="160"/>
      <c r="P16" s="160"/>
      <c r="Q16" s="98" t="s">
        <v>115</v>
      </c>
      <c r="R16" s="98"/>
      <c r="S16" s="98" t="s">
        <v>116</v>
      </c>
      <c r="T16" s="160"/>
      <c r="U16" s="161"/>
      <c r="X16" s="41"/>
      <c r="Y16" s="86"/>
    </row>
    <row r="17" spans="1:28">
      <c r="A17" t="s">
        <v>151</v>
      </c>
      <c r="C17" s="41">
        <f>B62</f>
        <v>-121.88083657589723</v>
      </c>
      <c r="D17" s="91">
        <f>C17/$N$5</f>
        <v>-2.2570525291832819</v>
      </c>
      <c r="E17" s="143"/>
      <c r="F17" s="41">
        <f>C17</f>
        <v>-121.88083657589723</v>
      </c>
      <c r="G17" s="29">
        <f>D17</f>
        <v>-2.2570525291832819</v>
      </c>
      <c r="H17" s="138">
        <f>G17/G$20</f>
        <v>-7.402238635960566E-2</v>
      </c>
      <c r="I17" s="143"/>
      <c r="L17" s="320" t="s">
        <v>361</v>
      </c>
      <c r="M17" s="1"/>
      <c r="Q17" s="1"/>
      <c r="R17" s="1"/>
      <c r="S17" s="1"/>
      <c r="U17" s="109"/>
      <c r="X17" s="41"/>
      <c r="Y17" s="86"/>
    </row>
    <row r="18" spans="1:28">
      <c r="A18" t="s">
        <v>111</v>
      </c>
      <c r="C18" s="140">
        <f>-N10</f>
        <v>453.096</v>
      </c>
      <c r="D18" s="91">
        <f>C18/$N$5</f>
        <v>8.3906666666666663</v>
      </c>
      <c r="E18" s="143"/>
      <c r="F18" s="41">
        <f>C18</f>
        <v>453.096</v>
      </c>
      <c r="G18" s="29">
        <f>D18</f>
        <v>8.3906666666666663</v>
      </c>
      <c r="H18" s="138">
        <f>G18/G$20</f>
        <v>0.27518064457250785</v>
      </c>
      <c r="I18" s="143"/>
      <c r="L18" s="166" t="s">
        <v>244</v>
      </c>
      <c r="Q18">
        <v>2033</v>
      </c>
      <c r="S18" s="28"/>
      <c r="U18" s="109"/>
      <c r="X18" s="41"/>
      <c r="Y18" s="86"/>
    </row>
    <row r="19" spans="1:28" ht="15" thickBot="1">
      <c r="I19" s="141"/>
      <c r="J19" s="89"/>
      <c r="L19" s="108" t="s">
        <v>245</v>
      </c>
      <c r="M19" s="28"/>
      <c r="Q19">
        <v>2042</v>
      </c>
      <c r="S19" s="28"/>
      <c r="U19" s="109"/>
      <c r="X19" s="41"/>
      <c r="Y19" s="86"/>
    </row>
    <row r="20" spans="1:28" ht="15" thickBot="1">
      <c r="A20" s="1" t="s">
        <v>76</v>
      </c>
      <c r="C20" s="141">
        <f>C12+C15+C16+C18</f>
        <v>10012.576757473578</v>
      </c>
      <c r="D20" s="136">
        <f>D12+D15+D16+D18</f>
        <v>185.4180881013626</v>
      </c>
      <c r="E20" s="141"/>
      <c r="F20" s="141">
        <f>F12+F15+F16+F18</f>
        <v>1768.4210600130618</v>
      </c>
      <c r="G20" s="307">
        <f>G12+G15+G16+G17+G18</f>
        <v>30.491485619206749</v>
      </c>
      <c r="H20" s="142">
        <f>G20/G$20</f>
        <v>1</v>
      </c>
      <c r="I20" s="141"/>
      <c r="L20" s="166" t="s">
        <v>362</v>
      </c>
      <c r="M20" s="28"/>
      <c r="Q20" s="67">
        <v>2045</v>
      </c>
      <c r="R20" s="67"/>
      <c r="S20" s="28"/>
      <c r="U20" s="109"/>
      <c r="X20" s="41"/>
      <c r="Y20" s="86"/>
    </row>
    <row r="21" spans="1:28" ht="15" thickBot="1">
      <c r="H21" s="144"/>
      <c r="I21" s="22"/>
      <c r="J21" s="89"/>
      <c r="L21" s="162"/>
      <c r="M21" s="110"/>
      <c r="N21" s="110"/>
      <c r="O21" s="110"/>
      <c r="P21" s="110"/>
      <c r="Q21" s="110"/>
      <c r="R21" s="110"/>
      <c r="S21" s="110"/>
      <c r="T21" s="150"/>
      <c r="U21" s="168"/>
      <c r="X21" s="41"/>
      <c r="Y21" s="86"/>
    </row>
    <row r="22" spans="1:28" ht="15" thickBot="1">
      <c r="A22" s="1" t="s">
        <v>128</v>
      </c>
      <c r="B22" s="233" t="s">
        <v>359</v>
      </c>
      <c r="C22" s="89"/>
      <c r="E22" s="145"/>
      <c r="F22" s="178" t="str" cm="1">
        <f t="array" ref="F22">_xll.FDS("aldX-US","P_DATE(NOW)")</f>
        <v>03/19/2026</v>
      </c>
      <c r="G22" s="170" cm="1">
        <f t="array" ref="G22">_xll.FDS($B$22,"FG_PRICE(NOW)")</f>
        <v>17.27</v>
      </c>
      <c r="Q22" s="27"/>
      <c r="R22" s="27"/>
    </row>
    <row r="23" spans="1:28">
      <c r="F23" s="1" t="s">
        <v>134</v>
      </c>
      <c r="G23" s="146">
        <f>G20/G22-1</f>
        <v>0.76557531089790087</v>
      </c>
      <c r="Q23" s="27"/>
      <c r="R23" s="27"/>
    </row>
    <row r="24" spans="1:28">
      <c r="F24" s="1"/>
      <c r="G24" s="146"/>
      <c r="Q24" s="27"/>
      <c r="R24" s="27"/>
    </row>
    <row r="25" spans="1:28" ht="15" thickBot="1">
      <c r="A25" s="87"/>
      <c r="E25" s="87"/>
      <c r="F25" s="100"/>
      <c r="G25" s="101"/>
      <c r="Q25" s="27"/>
      <c r="R25" s="27"/>
      <c r="X25" s="86"/>
      <c r="AB25" s="89"/>
    </row>
    <row r="26" spans="1:28">
      <c r="A26" s="348" t="s">
        <v>117</v>
      </c>
      <c r="B26" s="134" t="s">
        <v>2</v>
      </c>
      <c r="C26" s="33" t="s">
        <v>3</v>
      </c>
      <c r="D26" s="134" t="s">
        <v>4</v>
      </c>
      <c r="E26" s="33" t="s">
        <v>5</v>
      </c>
      <c r="F26" s="149" t="s">
        <v>6</v>
      </c>
      <c r="G26" s="134" t="s">
        <v>103</v>
      </c>
      <c r="H26" s="134" t="s">
        <v>104</v>
      </c>
      <c r="I26" s="33" t="s">
        <v>105</v>
      </c>
      <c r="J26" s="134" t="s">
        <v>106</v>
      </c>
      <c r="K26" s="33" t="s">
        <v>107</v>
      </c>
      <c r="L26" s="33" t="s">
        <v>148</v>
      </c>
      <c r="M26" s="33" t="s">
        <v>270</v>
      </c>
      <c r="N26" s="33" t="s">
        <v>283</v>
      </c>
      <c r="O26" s="33" t="s">
        <v>284</v>
      </c>
      <c r="P26" s="33" t="s">
        <v>285</v>
      </c>
      <c r="Q26" s="33" t="s">
        <v>360</v>
      </c>
      <c r="R26" s="472" t="s">
        <v>78</v>
      </c>
    </row>
    <row r="27" spans="1:28">
      <c r="A27" s="221" t="s">
        <v>79</v>
      </c>
      <c r="B27" s="318">
        <f>EXPENSES!Z38-EXPENSES!Z34</f>
        <v>21.8</v>
      </c>
      <c r="C27" s="318">
        <f>EXPENSES!AA38-EXPENSES!AA34</f>
        <v>22.89</v>
      </c>
      <c r="D27" s="318">
        <f>EXPENSES!AB38-EXPENSES!AB34</f>
        <v>24.034500000000001</v>
      </c>
      <c r="E27" s="318">
        <f>EXPENSES!AC38-EXPENSES!AC34</f>
        <v>29.469825000000011</v>
      </c>
      <c r="F27" s="318">
        <f>EXPENSES!AD38-EXPENSES!AD34</f>
        <v>30.943316250000013</v>
      </c>
      <c r="G27" s="318">
        <f>EXPENSES!AE38-EXPENSES!AE34</f>
        <v>32.490482062500007</v>
      </c>
      <c r="H27" s="318">
        <f>EXPENSES!AF38-EXPENSES!AF34</f>
        <v>34.115006165625012</v>
      </c>
      <c r="I27" s="318">
        <f>EXPENSES!AG38-EXPENSES!AG34</f>
        <v>35.441700849843762</v>
      </c>
      <c r="J27" s="318">
        <f>EXPENSES!AH38-EXPENSES!AH34</f>
        <v>36.823358599551582</v>
      </c>
      <c r="K27" s="318">
        <f>EXPENSES!AI38-EXPENSES!AI34</f>
        <v>38.262386417961253</v>
      </c>
      <c r="L27" s="318">
        <f>EXPENSES!AJ38-EXPENSES!AJ34</f>
        <v>39.761301423944374</v>
      </c>
      <c r="M27" s="318">
        <f>EXPENSES!AK38-EXPENSES!AK34</f>
        <v>41.322736050779199</v>
      </c>
      <c r="N27" s="318">
        <f>EXPENSES!AL38-EXPENSES!AL34</f>
        <v>42.949443495624898</v>
      </c>
      <c r="O27" s="318">
        <f>EXPENSES!AM38-EXPENSES!AM34</f>
        <v>44.644303431982081</v>
      </c>
      <c r="P27" s="318">
        <f>EXPENSES!AN38-EXPENSES!AN34</f>
        <v>46.410327998004405</v>
      </c>
      <c r="Q27" s="222">
        <f>EXPENSES!AO38-EXPENSES!AO34</f>
        <v>48.250668074160544</v>
      </c>
      <c r="R27" s="473"/>
    </row>
    <row r="28" spans="1:28">
      <c r="A28" s="349" t="s">
        <v>37</v>
      </c>
      <c r="B28" s="319">
        <f>B27*'INCOME STATEMENT'!Z26</f>
        <v>0</v>
      </c>
      <c r="C28" s="319">
        <f>C27*'INCOME STATEMENT'!AA26</f>
        <v>0</v>
      </c>
      <c r="D28" s="319">
        <f>D27*'INCOME STATEMENT'!AB26</f>
        <v>0</v>
      </c>
      <c r="E28" s="417">
        <f>E27*'INCOME STATEMENT'!AC26</f>
        <v>0</v>
      </c>
      <c r="F28" s="417">
        <f>F27*'INCOME STATEMENT'!AD26</f>
        <v>0</v>
      </c>
      <c r="G28" s="418">
        <f>F28</f>
        <v>0</v>
      </c>
      <c r="H28" s="418">
        <v>0</v>
      </c>
      <c r="I28" s="418">
        <v>0</v>
      </c>
      <c r="J28" s="418">
        <v>0</v>
      </c>
      <c r="K28" s="418">
        <v>0</v>
      </c>
      <c r="L28" s="509">
        <f>L27*0.05</f>
        <v>1.9880650711972188</v>
      </c>
      <c r="M28" s="509">
        <f>M27*0.15</f>
        <v>6.1984104076168798</v>
      </c>
      <c r="N28" s="509">
        <f>N27*$N$6</f>
        <v>10.737360873906225</v>
      </c>
      <c r="O28" s="509">
        <f t="shared" ref="O28:Q28" si="0">O27*$N$6</f>
        <v>11.16107585799552</v>
      </c>
      <c r="P28" s="509">
        <f t="shared" si="0"/>
        <v>11.602581999501101</v>
      </c>
      <c r="Q28" s="509">
        <f t="shared" si="0"/>
        <v>12.062667018540136</v>
      </c>
      <c r="R28" s="474"/>
    </row>
    <row r="29" spans="1:28">
      <c r="A29" s="221" t="s">
        <v>92</v>
      </c>
      <c r="B29" s="223">
        <f t="shared" ref="B29:Q29" si="1">B27-B28</f>
        <v>21.8</v>
      </c>
      <c r="C29" s="222">
        <f t="shared" si="1"/>
        <v>22.89</v>
      </c>
      <c r="D29" s="223">
        <f t="shared" si="1"/>
        <v>24.034500000000001</v>
      </c>
      <c r="E29" s="222">
        <f t="shared" si="1"/>
        <v>29.469825000000011</v>
      </c>
      <c r="F29" s="224">
        <f t="shared" si="1"/>
        <v>30.943316250000013</v>
      </c>
      <c r="G29" s="224">
        <f t="shared" si="1"/>
        <v>32.490482062500007</v>
      </c>
      <c r="H29" s="224">
        <f t="shared" si="1"/>
        <v>34.115006165625012</v>
      </c>
      <c r="I29" s="224">
        <f t="shared" si="1"/>
        <v>35.441700849843762</v>
      </c>
      <c r="J29" s="224">
        <f t="shared" si="1"/>
        <v>36.823358599551582</v>
      </c>
      <c r="K29" s="224">
        <f t="shared" si="1"/>
        <v>38.262386417961253</v>
      </c>
      <c r="L29" s="224">
        <f t="shared" si="1"/>
        <v>37.773236352747155</v>
      </c>
      <c r="M29" s="224">
        <f t="shared" si="1"/>
        <v>35.124325643162322</v>
      </c>
      <c r="N29" s="224">
        <f t="shared" si="1"/>
        <v>32.212082621718672</v>
      </c>
      <c r="O29" s="224">
        <f t="shared" si="1"/>
        <v>33.483227573986561</v>
      </c>
      <c r="P29" s="224">
        <f t="shared" si="1"/>
        <v>34.807745998503307</v>
      </c>
      <c r="Q29" s="471">
        <f t="shared" si="1"/>
        <v>36.188001055620404</v>
      </c>
      <c r="R29" s="475">
        <f>(Q29*(1+$G$35))/($G$36-$G$35)</f>
        <v>361.88001055620401</v>
      </c>
    </row>
    <row r="30" spans="1:28">
      <c r="A30" s="221" t="s">
        <v>99</v>
      </c>
      <c r="B30" s="225"/>
      <c r="C30" s="225">
        <f>C29/B29-1</f>
        <v>5.0000000000000044E-2</v>
      </c>
      <c r="D30" s="225">
        <f>D29/C29-1</f>
        <v>5.0000000000000044E-2</v>
      </c>
      <c r="E30" s="225">
        <f>E29/D29-1</f>
        <v>0.22614678899082596</v>
      </c>
      <c r="F30" s="285">
        <f>F29/E29-1</f>
        <v>5.0000000000000044E-2</v>
      </c>
      <c r="G30" s="285">
        <f t="shared" ref="G30" si="2">G29/F29-1</f>
        <v>4.9999999999999822E-2</v>
      </c>
      <c r="H30" s="285">
        <f t="shared" ref="H30" si="3">H29/G29-1</f>
        <v>5.0000000000000044E-2</v>
      </c>
      <c r="I30" s="285">
        <f t="shared" ref="I30" si="4">I29/H29-1</f>
        <v>3.8888888888888973E-2</v>
      </c>
      <c r="J30" s="285">
        <f t="shared" ref="J30" si="5">J29/I29-1</f>
        <v>3.898395721925163E-2</v>
      </c>
      <c r="K30" s="285">
        <f t="shared" ref="K30:Q30" si="6">K29/J29-1</f>
        <v>3.907921148798188E-2</v>
      </c>
      <c r="L30" s="285">
        <f t="shared" si="6"/>
        <v>-1.2784097151464668E-2</v>
      </c>
      <c r="M30" s="285">
        <f t="shared" si="6"/>
        <v>-7.0126654884634543E-2</v>
      </c>
      <c r="N30" s="285">
        <f t="shared" si="6"/>
        <v>-8.2912425167387616E-2</v>
      </c>
      <c r="O30" s="285">
        <f t="shared" si="6"/>
        <v>3.9461743818167028E-2</v>
      </c>
      <c r="P30" s="285">
        <f t="shared" si="6"/>
        <v>3.9557668733995577E-2</v>
      </c>
      <c r="Q30" s="285">
        <f t="shared" si="6"/>
        <v>3.9653675281830836E-2</v>
      </c>
      <c r="R30" s="51"/>
    </row>
    <row r="31" spans="1:28" hidden="1" outlineLevel="1">
      <c r="A31" s="350" t="s">
        <v>85</v>
      </c>
      <c r="B31" s="200">
        <v>1</v>
      </c>
      <c r="C31" s="200">
        <f t="shared" ref="C31:R31" si="7">B31+1</f>
        <v>2</v>
      </c>
      <c r="D31" s="200">
        <f t="shared" si="7"/>
        <v>3</v>
      </c>
      <c r="E31" s="200">
        <f t="shared" si="7"/>
        <v>4</v>
      </c>
      <c r="F31" s="200">
        <f t="shared" si="7"/>
        <v>5</v>
      </c>
      <c r="G31" s="200">
        <f t="shared" si="7"/>
        <v>6</v>
      </c>
      <c r="H31" s="200">
        <f t="shared" si="7"/>
        <v>7</v>
      </c>
      <c r="I31" s="200">
        <f t="shared" si="7"/>
        <v>8</v>
      </c>
      <c r="J31" s="200">
        <f t="shared" si="7"/>
        <v>9</v>
      </c>
      <c r="K31" s="200">
        <f t="shared" si="7"/>
        <v>10</v>
      </c>
      <c r="L31" s="200">
        <f t="shared" si="7"/>
        <v>11</v>
      </c>
      <c r="M31" s="200">
        <f t="shared" si="7"/>
        <v>12</v>
      </c>
      <c r="N31" s="200">
        <f t="shared" si="7"/>
        <v>13</v>
      </c>
      <c r="O31" s="200">
        <f t="shared" si="7"/>
        <v>14</v>
      </c>
      <c r="P31" s="200">
        <f t="shared" si="7"/>
        <v>15</v>
      </c>
      <c r="Q31" s="200">
        <f t="shared" si="7"/>
        <v>16</v>
      </c>
      <c r="R31" s="476">
        <f t="shared" si="7"/>
        <v>17</v>
      </c>
    </row>
    <row r="32" spans="1:28" ht="15" collapsed="1" thickBot="1">
      <c r="A32" s="350" t="s">
        <v>80</v>
      </c>
      <c r="B32" s="228">
        <f>B29/((1+$G$36)^(B31))</f>
        <v>19.818181818181817</v>
      </c>
      <c r="C32" s="228">
        <f t="shared" ref="C32:Q32" si="8">C29/((1+$G$36)^(C31))</f>
        <v>18.917355371900825</v>
      </c>
      <c r="D32" s="228">
        <f t="shared" si="8"/>
        <v>18.057475582268967</v>
      </c>
      <c r="E32" s="228">
        <f t="shared" si="8"/>
        <v>20.128287002253945</v>
      </c>
      <c r="F32" s="228">
        <f>F29/((1+$G$36)^(F31))</f>
        <v>19.213364865787856</v>
      </c>
      <c r="G32" s="228">
        <f t="shared" si="8"/>
        <v>18.34003009916113</v>
      </c>
      <c r="H32" s="228">
        <f t="shared" si="8"/>
        <v>17.506392367381078</v>
      </c>
      <c r="I32" s="228">
        <f t="shared" si="8"/>
        <v>16.533815013637689</v>
      </c>
      <c r="J32" s="228">
        <f t="shared" si="8"/>
        <v>15.616698682545778</v>
      </c>
      <c r="K32" s="228">
        <f t="shared" si="8"/>
        <v>14.75180632100461</v>
      </c>
      <c r="L32" s="228">
        <f t="shared" si="8"/>
        <v>13.239288905306632</v>
      </c>
      <c r="M32" s="228">
        <f t="shared" si="8"/>
        <v>11.191692601205656</v>
      </c>
      <c r="N32" s="228">
        <f t="shared" si="8"/>
        <v>9.3306929326470787</v>
      </c>
      <c r="O32" s="228">
        <f t="shared" si="8"/>
        <v>8.8171803152737969</v>
      </c>
      <c r="P32" s="228">
        <f t="shared" si="8"/>
        <v>8.3326976485030038</v>
      </c>
      <c r="Q32" s="229">
        <f t="shared" si="8"/>
        <v>7.8755633957076512</v>
      </c>
      <c r="R32" s="477">
        <f>R29/((1+$G$36)^(R31))</f>
        <v>71.596030870069555</v>
      </c>
    </row>
    <row r="33" spans="1:40" ht="15" thickBot="1">
      <c r="A33" s="27"/>
      <c r="B33" s="22"/>
      <c r="C33" s="154"/>
      <c r="D33" s="154"/>
      <c r="E33" s="154"/>
      <c r="F33" s="154"/>
      <c r="G33" s="154"/>
      <c r="H33" s="154"/>
      <c r="I33" s="154"/>
      <c r="J33" s="154"/>
      <c r="K33" s="154"/>
      <c r="L33" s="154"/>
      <c r="M33" s="154"/>
      <c r="N33" s="154"/>
      <c r="O33" s="154"/>
      <c r="Q33" s="27"/>
      <c r="R33" s="27"/>
    </row>
    <row r="34" spans="1:40">
      <c r="A34" s="119" t="s">
        <v>366</v>
      </c>
      <c r="B34" s="38">
        <f>-(SUM(B32:Q32))</f>
        <v>-237.67052292276747</v>
      </c>
      <c r="D34" s="204" t="s">
        <v>40</v>
      </c>
      <c r="E34" s="211"/>
      <c r="F34" s="211"/>
      <c r="G34" s="212">
        <f>$N$5</f>
        <v>54</v>
      </c>
      <c r="Q34" s="27"/>
      <c r="R34" s="27"/>
    </row>
    <row r="35" spans="1:40">
      <c r="A35" s="7" t="s">
        <v>81</v>
      </c>
      <c r="B35" s="10">
        <f>-R32</f>
        <v>-71.596030870069555</v>
      </c>
      <c r="D35" s="43" t="s">
        <v>82</v>
      </c>
      <c r="G35" s="213">
        <v>0</v>
      </c>
      <c r="O35" s="22"/>
      <c r="Q35" s="27"/>
      <c r="R35" s="27"/>
    </row>
    <row r="36" spans="1:40" ht="15" thickBot="1">
      <c r="A36" s="7" t="s">
        <v>108</v>
      </c>
      <c r="B36" s="10">
        <f>B34+B35</f>
        <v>-309.26655379283704</v>
      </c>
      <c r="D36" s="43" t="s">
        <v>110</v>
      </c>
      <c r="G36" s="214">
        <f>$N$4</f>
        <v>0.1</v>
      </c>
      <c r="O36" s="22"/>
      <c r="Q36" s="27"/>
      <c r="R36" s="27"/>
    </row>
    <row r="37" spans="1:40" ht="15" thickBot="1">
      <c r="A37" s="216" t="s">
        <v>83</v>
      </c>
      <c r="B37" s="217">
        <f>B36/G34</f>
        <v>-5.7271584035710568</v>
      </c>
      <c r="D37" s="162" t="s">
        <v>38</v>
      </c>
      <c r="E37" s="110"/>
      <c r="F37" s="110"/>
      <c r="G37" s="215">
        <f>$N$6</f>
        <v>0.25</v>
      </c>
      <c r="O37" s="230"/>
    </row>
    <row r="38" spans="1:40">
      <c r="A38" s="1"/>
      <c r="B38" s="136"/>
      <c r="G38" s="231"/>
      <c r="O38" s="230"/>
    </row>
    <row r="39" spans="1:40">
      <c r="A39" s="1"/>
      <c r="B39" s="136"/>
      <c r="C39" s="218"/>
      <c r="G39" s="231"/>
      <c r="O39" s="230"/>
    </row>
    <row r="40" spans="1:40">
      <c r="A40" s="348" t="s">
        <v>127</v>
      </c>
      <c r="B40" s="134" t="s">
        <v>2</v>
      </c>
      <c r="C40" s="33" t="s">
        <v>3</v>
      </c>
      <c r="D40" s="134" t="s">
        <v>4</v>
      </c>
      <c r="E40" s="33" t="s">
        <v>5</v>
      </c>
      <c r="F40" s="149" t="s">
        <v>6</v>
      </c>
      <c r="G40" s="149" t="s">
        <v>103</v>
      </c>
      <c r="H40" s="149" t="s">
        <v>104</v>
      </c>
      <c r="I40" s="149" t="s">
        <v>105</v>
      </c>
      <c r="J40" s="149" t="s">
        <v>106</v>
      </c>
      <c r="K40" s="149" t="s">
        <v>107</v>
      </c>
      <c r="L40" s="149" t="s">
        <v>148</v>
      </c>
      <c r="M40" s="149" t="s">
        <v>270</v>
      </c>
      <c r="N40" s="149" t="s">
        <v>283</v>
      </c>
      <c r="O40" s="149" t="s">
        <v>284</v>
      </c>
      <c r="P40" s="149" t="s">
        <v>285</v>
      </c>
      <c r="Q40" s="149" t="s">
        <v>360</v>
      </c>
      <c r="R40" s="134" t="s">
        <v>78</v>
      </c>
    </row>
    <row r="41" spans="1:40">
      <c r="A41" s="221" t="s">
        <v>102</v>
      </c>
      <c r="B41" s="318">
        <f>EXPENSES!Z14+EXPENSES!Z18+EXPENSES!Z19</f>
        <v>42</v>
      </c>
      <c r="C41" s="318">
        <f>EXPENSES!AA14+EXPENSES!AA18+EXPENSES!AA19</f>
        <v>45.900000000000006</v>
      </c>
      <c r="D41" s="318">
        <f>EXPENSES!AB14+EXPENSES!AB18+EXPENSES!AB19</f>
        <v>47.826999999999998</v>
      </c>
      <c r="E41" s="318">
        <f>EXPENSES!AC14+EXPENSES!AC18+EXPENSES!AC19</f>
        <v>47.681809999999999</v>
      </c>
      <c r="F41" s="318">
        <f>EXPENSES!AD14+EXPENSES!AD18+EXPENSES!AD19</f>
        <v>47.565264299999996</v>
      </c>
      <c r="G41" s="318">
        <f>EXPENSES!AE14+EXPENSES!AE18+EXPENSES!AE19</f>
        <v>48.578222228999998</v>
      </c>
      <c r="H41" s="318">
        <f>EXPENSES!AF14+EXPENSES!AF18+EXPENSES!AF19</f>
        <v>49.621568895869999</v>
      </c>
      <c r="I41" s="318">
        <f>EXPENSES!AG14+EXPENSES!AG18+EXPENSES!AG19</f>
        <v>50.696215962746102</v>
      </c>
      <c r="J41" s="318">
        <f>EXPENSES!AH14+EXPENSES!AH18+EXPENSES!AH19</f>
        <v>51.803102441628489</v>
      </c>
      <c r="K41" s="318">
        <f>EXPENSES!AI14+EXPENSES!AI18+EXPENSES!AI19</f>
        <v>52.943195514877345</v>
      </c>
      <c r="L41" s="318">
        <f>EXPENSES!AJ14+EXPENSES!AJ18+EXPENSES!AJ19</f>
        <v>54.117491380323663</v>
      </c>
      <c r="M41" s="318">
        <f>EXPENSES!AK14+EXPENSES!AK18+EXPENSES!AK19</f>
        <v>55.327016121733372</v>
      </c>
      <c r="N41" s="318">
        <f>EXPENSES!AL14+EXPENSES!AL18+EXPENSES!AL19</f>
        <v>56.572826605385373</v>
      </c>
      <c r="O41" s="318">
        <f>EXPENSES!AM14+EXPENSES!AM18+EXPENSES!AM19</f>
        <v>57.856011403546937</v>
      </c>
      <c r="P41" s="318">
        <f>EXPENSES!AN14+EXPENSES!AN18+EXPENSES!AN19</f>
        <v>59.177691745653348</v>
      </c>
      <c r="Q41" s="318">
        <f>EXPENSES!AO14+EXPENSES!AO18+EXPENSES!AO19</f>
        <v>60.539022498022952</v>
      </c>
      <c r="R41" s="151"/>
    </row>
    <row r="42" spans="1:40">
      <c r="A42" s="349" t="s">
        <v>37</v>
      </c>
      <c r="B42" s="220">
        <f>B41*'INCOME STATEMENT'!Z26</f>
        <v>0</v>
      </c>
      <c r="C42" s="11">
        <f>C41*'INCOME STATEMENT'!AA26</f>
        <v>0</v>
      </c>
      <c r="D42" s="220">
        <f>D41*'INCOME STATEMENT'!AB26</f>
        <v>0</v>
      </c>
      <c r="E42" s="96">
        <f>E41*'INCOME STATEMENT'!AC26</f>
        <v>0</v>
      </c>
      <c r="F42" s="418">
        <f>F41*'INCOME STATEMENT'!AD26</f>
        <v>0</v>
      </c>
      <c r="G42" s="418">
        <f>G41*'INCOME STATEMENT'!AE26</f>
        <v>0</v>
      </c>
      <c r="H42" s="418">
        <f>H41*'INCOME STATEMENT'!AF26</f>
        <v>0</v>
      </c>
      <c r="I42" s="418">
        <f>I41*'INCOME STATEMENT'!AG26</f>
        <v>0</v>
      </c>
      <c r="J42" s="418">
        <f>J41*'INCOME STATEMENT'!AH26</f>
        <v>0</v>
      </c>
      <c r="K42" s="418">
        <f>K41*'INCOME STATEMENT'!AI26</f>
        <v>0</v>
      </c>
      <c r="L42" s="509">
        <f>L41*0.05</f>
        <v>2.7058745690161832</v>
      </c>
      <c r="M42" s="509">
        <f>M41*0.15</f>
        <v>8.2990524182600058</v>
      </c>
      <c r="N42" s="509">
        <f>N41*$N$6</f>
        <v>14.143206651346343</v>
      </c>
      <c r="O42" s="509">
        <f t="shared" ref="O42" si="9">O41*$N$6</f>
        <v>14.464002850886734</v>
      </c>
      <c r="P42" s="509">
        <f t="shared" ref="P42" si="10">P41*$N$6</f>
        <v>14.794422936413337</v>
      </c>
      <c r="Q42" s="509">
        <f t="shared" ref="Q42" si="11">Q41*$N$6</f>
        <v>15.134755624505738</v>
      </c>
      <c r="R42" s="152"/>
    </row>
    <row r="43" spans="1:40">
      <c r="A43" s="221" t="s">
        <v>92</v>
      </c>
      <c r="B43" s="223">
        <f>B41-B42</f>
        <v>42</v>
      </c>
      <c r="C43" s="222">
        <f>C41-C42</f>
        <v>45.900000000000006</v>
      </c>
      <c r="D43" s="223">
        <f>D41-D42</f>
        <v>47.826999999999998</v>
      </c>
      <c r="E43" s="222">
        <f>E41-E42</f>
        <v>47.681809999999999</v>
      </c>
      <c r="F43" s="224">
        <f>F41-F42</f>
        <v>47.565264299999996</v>
      </c>
      <c r="G43" s="224">
        <f t="shared" ref="G43:H43" si="12">G41-G42</f>
        <v>48.578222228999998</v>
      </c>
      <c r="H43" s="224">
        <f t="shared" si="12"/>
        <v>49.621568895869999</v>
      </c>
      <c r="I43" s="224">
        <f t="shared" ref="I43:K43" si="13">I41-I42</f>
        <v>50.696215962746102</v>
      </c>
      <c r="J43" s="224">
        <f t="shared" si="13"/>
        <v>51.803102441628489</v>
      </c>
      <c r="K43" s="224">
        <f t="shared" si="13"/>
        <v>52.943195514877345</v>
      </c>
      <c r="L43" s="224">
        <f t="shared" ref="L43:Q43" si="14">L41-L42</f>
        <v>51.411616811307482</v>
      </c>
      <c r="M43" s="224">
        <f t="shared" si="14"/>
        <v>47.027963703473368</v>
      </c>
      <c r="N43" s="224">
        <f t="shared" si="14"/>
        <v>42.429619954039026</v>
      </c>
      <c r="O43" s="224">
        <f t="shared" si="14"/>
        <v>43.392008552660201</v>
      </c>
      <c r="P43" s="224">
        <f t="shared" si="14"/>
        <v>44.383268809240008</v>
      </c>
      <c r="Q43" s="224">
        <f t="shared" si="14"/>
        <v>45.404266873517216</v>
      </c>
      <c r="R43" s="148">
        <f>(Q43*(1+$G$49))/($G$50-$G$49)</f>
        <v>154.37450736995854</v>
      </c>
    </row>
    <row r="44" spans="1:40">
      <c r="A44" s="221" t="s">
        <v>99</v>
      </c>
      <c r="B44" s="225"/>
      <c r="C44" s="225">
        <f t="shared" ref="C44:Q44" si="15">C43/B43-1</f>
        <v>9.2857142857142971E-2</v>
      </c>
      <c r="D44" s="225">
        <f t="shared" si="15"/>
        <v>4.1982570806100128E-2</v>
      </c>
      <c r="E44" s="225">
        <f t="shared" si="15"/>
        <v>-3.0357329541890188E-3</v>
      </c>
      <c r="F44" s="226">
        <f t="shared" si="15"/>
        <v>-2.4442381696501148E-3</v>
      </c>
      <c r="G44" s="226">
        <f t="shared" si="15"/>
        <v>2.1296169461209269E-2</v>
      </c>
      <c r="H44" s="226">
        <f t="shared" si="15"/>
        <v>2.1477662602629177E-2</v>
      </c>
      <c r="I44" s="226">
        <f t="shared" si="15"/>
        <v>2.1656853880038129E-2</v>
      </c>
      <c r="J44" s="226">
        <f t="shared" si="15"/>
        <v>2.1833710028688946E-2</v>
      </c>
      <c r="K44" s="226">
        <f t="shared" si="15"/>
        <v>2.2008200658126809E-2</v>
      </c>
      <c r="L44" s="226">
        <f t="shared" si="15"/>
        <v>-2.8928716687293243E-2</v>
      </c>
      <c r="M44" s="226">
        <f t="shared" si="15"/>
        <v>-8.5265809163775796E-2</v>
      </c>
      <c r="N44" s="226">
        <f t="shared" si="15"/>
        <v>-9.777892528854526E-2</v>
      </c>
      <c r="O44" s="226">
        <f t="shared" si="15"/>
        <v>2.2681999029537936E-2</v>
      </c>
      <c r="P44" s="226">
        <f t="shared" si="15"/>
        <v>2.2844304507748658E-2</v>
      </c>
      <c r="Q44" s="226">
        <f t="shared" si="15"/>
        <v>2.3004120509137582E-2</v>
      </c>
      <c r="R44" s="147"/>
    </row>
    <row r="45" spans="1:40" outlineLevel="1">
      <c r="A45" s="350" t="s">
        <v>85</v>
      </c>
      <c r="B45" s="200">
        <v>1</v>
      </c>
      <c r="C45" s="200">
        <f t="shared" ref="C45:R45" si="16">B45+1</f>
        <v>2</v>
      </c>
      <c r="D45" s="200">
        <f t="shared" si="16"/>
        <v>3</v>
      </c>
      <c r="E45" s="200">
        <f t="shared" si="16"/>
        <v>4</v>
      </c>
      <c r="F45" s="200">
        <f t="shared" si="16"/>
        <v>5</v>
      </c>
      <c r="G45" s="200">
        <f t="shared" si="16"/>
        <v>6</v>
      </c>
      <c r="H45" s="200">
        <f t="shared" si="16"/>
        <v>7</v>
      </c>
      <c r="I45" s="200">
        <f t="shared" si="16"/>
        <v>8</v>
      </c>
      <c r="J45" s="200">
        <f t="shared" si="16"/>
        <v>9</v>
      </c>
      <c r="K45" s="200">
        <f t="shared" si="16"/>
        <v>10</v>
      </c>
      <c r="L45" s="200">
        <f t="shared" si="16"/>
        <v>11</v>
      </c>
      <c r="M45" s="200">
        <f t="shared" si="16"/>
        <v>12</v>
      </c>
      <c r="N45" s="200">
        <f t="shared" si="16"/>
        <v>13</v>
      </c>
      <c r="O45" s="200">
        <f t="shared" si="16"/>
        <v>14</v>
      </c>
      <c r="P45" s="200">
        <f t="shared" si="16"/>
        <v>15</v>
      </c>
      <c r="Q45" s="200">
        <f t="shared" si="16"/>
        <v>16</v>
      </c>
      <c r="R45" s="200">
        <f t="shared" si="16"/>
        <v>17</v>
      </c>
    </row>
    <row r="46" spans="1:40">
      <c r="A46" s="350" t="s">
        <v>91</v>
      </c>
      <c r="B46" s="228">
        <f>B43/((1+$G$50)^(B45))</f>
        <v>38.18181818181818</v>
      </c>
      <c r="C46" s="228">
        <f t="shared" ref="C46:Q46" si="17">C43/((1+$G$50)^(C45))</f>
        <v>37.933884297520663</v>
      </c>
      <c r="D46" s="228">
        <f t="shared" si="17"/>
        <v>35.933132982719748</v>
      </c>
      <c r="E46" s="228">
        <f t="shared" si="17"/>
        <v>32.567317806160773</v>
      </c>
      <c r="F46" s="228">
        <f t="shared" si="17"/>
        <v>29.534286840814389</v>
      </c>
      <c r="G46" s="228">
        <f t="shared" si="17"/>
        <v>27.421140016629387</v>
      </c>
      <c r="H46" s="228">
        <f t="shared" si="17"/>
        <v>25.463710918260002</v>
      </c>
      <c r="I46" s="228">
        <f t="shared" si="17"/>
        <v>23.650158895327539</v>
      </c>
      <c r="J46" s="228">
        <f t="shared" si="17"/>
        <v>21.969572369800488</v>
      </c>
      <c r="K46" s="228">
        <f t="shared" si="17"/>
        <v>20.411893751716629</v>
      </c>
      <c r="L46" s="228">
        <f t="shared" si="17"/>
        <v>18.019458054838257</v>
      </c>
      <c r="M46" s="228">
        <f t="shared" si="17"/>
        <v>14.984558530090688</v>
      </c>
      <c r="N46" s="228">
        <f t="shared" si="17"/>
        <v>12.290349546450106</v>
      </c>
      <c r="O46" s="228">
        <f t="shared" si="17"/>
        <v>11.42647203903215</v>
      </c>
      <c r="P46" s="228">
        <f t="shared" si="17"/>
        <v>10.625001677946434</v>
      </c>
      <c r="Q46" s="228">
        <f t="shared" si="17"/>
        <v>9.8812913608688202</v>
      </c>
      <c r="R46" s="227">
        <f>R43/((1+$G$50)^(R45))</f>
        <v>30.542173297230903</v>
      </c>
    </row>
    <row r="47" spans="1:40" ht="15" thickBot="1">
      <c r="B47" s="5"/>
      <c r="O47" s="41"/>
    </row>
    <row r="48" spans="1:40">
      <c r="A48" s="119" t="s">
        <v>366</v>
      </c>
      <c r="B48" s="38">
        <f>-(SUM(B46:Q46))</f>
        <v>-370.29404726999422</v>
      </c>
      <c r="D48" s="204" t="s">
        <v>40</v>
      </c>
      <c r="E48" s="211"/>
      <c r="F48" s="211"/>
      <c r="G48" s="212">
        <f>G34</f>
        <v>54</v>
      </c>
      <c r="O48" s="41"/>
      <c r="Z48" s="11"/>
      <c r="AA48" s="11"/>
      <c r="AB48" s="11"/>
      <c r="AC48" s="11"/>
      <c r="AD48" s="11"/>
      <c r="AE48" s="11"/>
      <c r="AF48" s="11"/>
      <c r="AG48" s="11"/>
      <c r="AH48" s="11"/>
      <c r="AI48" s="11"/>
      <c r="AJ48" s="11"/>
      <c r="AK48" s="11"/>
      <c r="AL48" s="11"/>
      <c r="AM48" s="11"/>
      <c r="AN48" s="11"/>
    </row>
    <row r="49" spans="1:43">
      <c r="A49" s="7" t="s">
        <v>81</v>
      </c>
      <c r="B49" s="10">
        <f>-R60</f>
        <v>-20.959604092175368</v>
      </c>
      <c r="D49" s="43" t="s">
        <v>82</v>
      </c>
      <c r="G49" s="213">
        <v>-0.15</v>
      </c>
      <c r="O49" s="41"/>
      <c r="Z49" s="11"/>
      <c r="AA49" s="11"/>
      <c r="AB49" s="11"/>
      <c r="AC49" s="11"/>
      <c r="AD49" s="11"/>
      <c r="AE49" s="11"/>
      <c r="AF49" s="11"/>
      <c r="AG49" s="11"/>
      <c r="AH49" s="11"/>
      <c r="AI49" s="11"/>
      <c r="AJ49" s="11"/>
      <c r="AK49" s="11"/>
      <c r="AL49" s="11"/>
      <c r="AM49" s="11"/>
      <c r="AN49" s="11"/>
      <c r="AO49" s="11"/>
      <c r="AP49" s="11"/>
      <c r="AQ49" s="11"/>
    </row>
    <row r="50" spans="1:43" ht="15" thickBot="1">
      <c r="A50" s="7" t="s">
        <v>108</v>
      </c>
      <c r="B50" s="10">
        <f>B48+B49</f>
        <v>-391.25365136216959</v>
      </c>
      <c r="D50" s="39" t="s">
        <v>110</v>
      </c>
      <c r="E50" s="218"/>
      <c r="F50" s="218"/>
      <c r="G50" s="219">
        <f>$N$4</f>
        <v>0.1</v>
      </c>
      <c r="O50" s="41"/>
    </row>
    <row r="51" spans="1:43" ht="15" thickBot="1">
      <c r="A51" s="216" t="s">
        <v>93</v>
      </c>
      <c r="B51" s="217">
        <f>B50/G48</f>
        <v>-7.2454379881883257</v>
      </c>
    </row>
    <row r="53" spans="1:43" ht="15" thickBot="1"/>
    <row r="54" spans="1:43" ht="15" thickBot="1">
      <c r="A54" s="450" t="s">
        <v>151</v>
      </c>
      <c r="B54" s="451" t="s">
        <v>2</v>
      </c>
      <c r="C54" s="452" t="s">
        <v>3</v>
      </c>
      <c r="D54" s="451" t="s">
        <v>4</v>
      </c>
      <c r="E54" s="452" t="s">
        <v>5</v>
      </c>
      <c r="F54" s="453" t="s">
        <v>6</v>
      </c>
      <c r="G54" s="453" t="s">
        <v>103</v>
      </c>
      <c r="H54" s="453" t="s">
        <v>104</v>
      </c>
      <c r="I54" s="453" t="s">
        <v>105</v>
      </c>
      <c r="J54" s="453" t="s">
        <v>106</v>
      </c>
      <c r="K54" s="453" t="s">
        <v>107</v>
      </c>
      <c r="L54" s="453" t="s">
        <v>148</v>
      </c>
      <c r="M54" s="453" t="s">
        <v>270</v>
      </c>
      <c r="N54" s="453" t="s">
        <v>283</v>
      </c>
      <c r="O54" s="453" t="s">
        <v>284</v>
      </c>
      <c r="P54" s="453" t="s">
        <v>285</v>
      </c>
      <c r="Q54" s="453" t="s">
        <v>360</v>
      </c>
      <c r="R54" s="454" t="s">
        <v>78</v>
      </c>
    </row>
    <row r="55" spans="1:43">
      <c r="A55" s="349" t="s">
        <v>102</v>
      </c>
      <c r="B55" s="449">
        <f>EXPENSES!Z88</f>
        <v>8</v>
      </c>
      <c r="C55" s="449">
        <f>EXPENSES!AA88</f>
        <v>8.4</v>
      </c>
      <c r="D55" s="449">
        <f>EXPENSES!AB88</f>
        <v>8.82</v>
      </c>
      <c r="E55" s="449">
        <f>EXPENSES!AC88</f>
        <v>9.261000000000001</v>
      </c>
      <c r="F55" s="449">
        <f>EXPENSES!AD88</f>
        <v>9.7240500000000019</v>
      </c>
      <c r="G55" s="449">
        <f>EXPENSES!AE88</f>
        <v>10.210252500000003</v>
      </c>
      <c r="H55" s="449">
        <f>EXPENSES!AF88</f>
        <v>10.720765125000003</v>
      </c>
      <c r="I55" s="449">
        <f>EXPENSES!AG88</f>
        <v>11.095991904375005</v>
      </c>
      <c r="J55" s="449">
        <f>EXPENSES!AH88</f>
        <v>11.485155678412506</v>
      </c>
      <c r="K55" s="449">
        <f>EXPENSES!AI88</f>
        <v>11.82971034876488</v>
      </c>
      <c r="L55" s="449">
        <f>EXPENSES!AJ88</f>
        <v>12.184601659227827</v>
      </c>
      <c r="M55" s="449">
        <f>EXPENSES!AK88</f>
        <v>12.550139709004663</v>
      </c>
      <c r="N55" s="449">
        <f>EXPENSES!AL88</f>
        <v>12.926643900274803</v>
      </c>
      <c r="O55" s="449">
        <f>EXPENSES!AM88</f>
        <v>13.314443217283049</v>
      </c>
      <c r="P55" s="449">
        <f>EXPENSES!AN88</f>
        <v>13.713876513801541</v>
      </c>
      <c r="Q55" s="449">
        <f>EXPENSES!AO88</f>
        <v>14.125292809215587</v>
      </c>
      <c r="R55" s="152"/>
    </row>
    <row r="56" spans="1:43">
      <c r="A56" s="349" t="s">
        <v>37</v>
      </c>
      <c r="B56" s="319">
        <f>B55*'INCOME STATEMENT'!Z26</f>
        <v>0</v>
      </c>
      <c r="C56" s="319">
        <f>C55*'INCOME STATEMENT'!AA26</f>
        <v>0</v>
      </c>
      <c r="D56" s="319">
        <f>D55*'INCOME STATEMENT'!AB26</f>
        <v>0</v>
      </c>
      <c r="E56" s="319">
        <f>E55*'INCOME STATEMENT'!AC26</f>
        <v>0</v>
      </c>
      <c r="F56" s="319">
        <f>F55*'INCOME STATEMENT'!AD26</f>
        <v>0</v>
      </c>
      <c r="G56" s="418">
        <f>G55*'INCOME STATEMENT'!AE41</f>
        <v>0</v>
      </c>
      <c r="H56" s="418">
        <f>H55*'INCOME STATEMENT'!AF41</f>
        <v>0</v>
      </c>
      <c r="I56" s="418">
        <f>I55*'INCOME STATEMENT'!AG41</f>
        <v>0</v>
      </c>
      <c r="J56" s="418">
        <f>J55*'INCOME STATEMENT'!AH41</f>
        <v>0</v>
      </c>
      <c r="K56" s="418">
        <f>K55*'INCOME STATEMENT'!AI41</f>
        <v>0</v>
      </c>
      <c r="L56" s="509">
        <f>L55*0.05</f>
        <v>0.60923008296139136</v>
      </c>
      <c r="M56" s="509">
        <f>M55*0.15</f>
        <v>1.8825209563506993</v>
      </c>
      <c r="N56" s="509">
        <f>N55*$N$6</f>
        <v>3.2316609750687006</v>
      </c>
      <c r="O56" s="509">
        <f t="shared" ref="O56" si="18">O55*$N$6</f>
        <v>3.3286108043207623</v>
      </c>
      <c r="P56" s="509">
        <f t="shared" ref="P56" si="19">P55*$N$6</f>
        <v>3.4284691284503852</v>
      </c>
      <c r="Q56" s="509">
        <f t="shared" ref="Q56" si="20">Q55*$N$6</f>
        <v>3.5313232023038967</v>
      </c>
      <c r="R56" s="152"/>
    </row>
    <row r="57" spans="1:43">
      <c r="A57" s="221" t="s">
        <v>92</v>
      </c>
      <c r="B57" s="223">
        <f t="shared" ref="B57:K57" si="21">B55-B56</f>
        <v>8</v>
      </c>
      <c r="C57" s="222">
        <f t="shared" si="21"/>
        <v>8.4</v>
      </c>
      <c r="D57" s="223">
        <f t="shared" si="21"/>
        <v>8.82</v>
      </c>
      <c r="E57" s="222">
        <f t="shared" si="21"/>
        <v>9.261000000000001</v>
      </c>
      <c r="F57" s="224">
        <f t="shared" si="21"/>
        <v>9.7240500000000019</v>
      </c>
      <c r="G57" s="224">
        <f t="shared" si="21"/>
        <v>10.210252500000003</v>
      </c>
      <c r="H57" s="224">
        <f t="shared" si="21"/>
        <v>10.720765125000003</v>
      </c>
      <c r="I57" s="224">
        <f t="shared" si="21"/>
        <v>11.095991904375005</v>
      </c>
      <c r="J57" s="224">
        <f t="shared" si="21"/>
        <v>11.485155678412506</v>
      </c>
      <c r="K57" s="224">
        <f t="shared" si="21"/>
        <v>11.82971034876488</v>
      </c>
      <c r="L57" s="224">
        <f t="shared" ref="L57:Q57" si="22">L55-L56</f>
        <v>11.575371576266436</v>
      </c>
      <c r="M57" s="224">
        <f t="shared" si="22"/>
        <v>10.667618752653963</v>
      </c>
      <c r="N57" s="224">
        <f t="shared" si="22"/>
        <v>9.6949829252061015</v>
      </c>
      <c r="O57" s="224">
        <f t="shared" si="22"/>
        <v>9.9858324129622869</v>
      </c>
      <c r="P57" s="224">
        <f t="shared" si="22"/>
        <v>10.285407385351157</v>
      </c>
      <c r="Q57" s="224">
        <f t="shared" si="22"/>
        <v>10.59396960691169</v>
      </c>
      <c r="R57" s="148">
        <f>(Q57*(1+$G$63))/($G$64-$G$63)</f>
        <v>105.93969606911689</v>
      </c>
    </row>
    <row r="58" spans="1:43">
      <c r="A58" s="221" t="s">
        <v>99</v>
      </c>
      <c r="B58" s="225"/>
      <c r="C58" s="225">
        <f>C57/B57-1</f>
        <v>5.0000000000000044E-2</v>
      </c>
      <c r="D58" s="225">
        <f>D57/C57-1</f>
        <v>5.0000000000000044E-2</v>
      </c>
      <c r="E58" s="225">
        <f>E57/D57-1</f>
        <v>5.0000000000000044E-2</v>
      </c>
      <c r="F58" s="226">
        <f>F57/E57-1</f>
        <v>5.0000000000000044E-2</v>
      </c>
      <c r="G58" s="226">
        <f t="shared" ref="G58" si="23">G57/F57-1</f>
        <v>5.0000000000000044E-2</v>
      </c>
      <c r="H58" s="226">
        <f t="shared" ref="H58" si="24">H57/G57-1</f>
        <v>5.0000000000000044E-2</v>
      </c>
      <c r="I58" s="226">
        <f t="shared" ref="I58" si="25">I57/H57-1</f>
        <v>3.5000000000000142E-2</v>
      </c>
      <c r="J58" s="226">
        <f t="shared" ref="J58" si="26">J57/I57-1</f>
        <v>3.5072463768115902E-2</v>
      </c>
      <c r="K58" s="226">
        <f t="shared" ref="K58" si="27">K57/J57-1</f>
        <v>3.0000000000000027E-2</v>
      </c>
      <c r="L58" s="226">
        <f t="shared" ref="L58:Q58" si="28">L57/K57-1</f>
        <v>-2.1499999999999964E-2</v>
      </c>
      <c r="M58" s="226">
        <f t="shared" si="28"/>
        <v>-7.8421052631578947E-2</v>
      </c>
      <c r="N58" s="226">
        <f t="shared" si="28"/>
        <v>-9.1176470588235303E-2</v>
      </c>
      <c r="O58" s="226">
        <f t="shared" si="28"/>
        <v>3.0000000000000249E-2</v>
      </c>
      <c r="P58" s="226">
        <f t="shared" si="28"/>
        <v>3.0000000000000027E-2</v>
      </c>
      <c r="Q58" s="226">
        <f t="shared" si="28"/>
        <v>2.9999999999999805E-2</v>
      </c>
      <c r="R58" s="147"/>
    </row>
    <row r="59" spans="1:43" outlineLevel="1">
      <c r="A59" s="350" t="s">
        <v>85</v>
      </c>
      <c r="B59" s="200">
        <v>1</v>
      </c>
      <c r="C59" s="200">
        <f>B59+1</f>
        <v>2</v>
      </c>
      <c r="D59" s="200">
        <f>C59+1</f>
        <v>3</v>
      </c>
      <c r="E59" s="200">
        <f>D59+1</f>
        <v>4</v>
      </c>
      <c r="F59" s="200">
        <f>E59+1</f>
        <v>5</v>
      </c>
      <c r="G59" s="200">
        <f t="shared" ref="G59" si="29">F59+1</f>
        <v>6</v>
      </c>
      <c r="H59" s="200">
        <f t="shared" ref="H59" si="30">G59+1</f>
        <v>7</v>
      </c>
      <c r="I59" s="200">
        <f t="shared" ref="I59" si="31">H59+1</f>
        <v>8</v>
      </c>
      <c r="J59" s="200">
        <f t="shared" ref="J59" si="32">I59+1</f>
        <v>9</v>
      </c>
      <c r="K59" s="200">
        <f t="shared" ref="K59" si="33">J59+1</f>
        <v>10</v>
      </c>
      <c r="L59" s="200">
        <f t="shared" ref="L59:R59" si="34">K59+1</f>
        <v>11</v>
      </c>
      <c r="M59" s="200">
        <f t="shared" si="34"/>
        <v>12</v>
      </c>
      <c r="N59" s="200">
        <f t="shared" si="34"/>
        <v>13</v>
      </c>
      <c r="O59" s="200">
        <f t="shared" si="34"/>
        <v>14</v>
      </c>
      <c r="P59" s="200">
        <f t="shared" si="34"/>
        <v>15</v>
      </c>
      <c r="Q59" s="200">
        <f t="shared" si="34"/>
        <v>16</v>
      </c>
      <c r="R59" s="200">
        <f t="shared" si="34"/>
        <v>17</v>
      </c>
    </row>
    <row r="60" spans="1:43">
      <c r="A60" s="350" t="s">
        <v>91</v>
      </c>
      <c r="B60" s="232">
        <f t="shared" ref="B60:J60" si="35">B57/((1+$G$64)^(B59))</f>
        <v>7.2727272727272725</v>
      </c>
      <c r="C60" s="232">
        <f t="shared" si="35"/>
        <v>6.9421487603305776</v>
      </c>
      <c r="D60" s="232">
        <f t="shared" si="35"/>
        <v>6.6265965439519139</v>
      </c>
      <c r="E60" s="232">
        <f t="shared" si="35"/>
        <v>6.3253876101359188</v>
      </c>
      <c r="F60" s="232">
        <f t="shared" si="35"/>
        <v>6.0378699914933769</v>
      </c>
      <c r="G60" s="232">
        <f t="shared" si="35"/>
        <v>5.7634213555164049</v>
      </c>
      <c r="H60" s="232">
        <f t="shared" si="35"/>
        <v>5.5014476575383862</v>
      </c>
      <c r="I60" s="232">
        <f t="shared" si="35"/>
        <v>5.1763621141383913</v>
      </c>
      <c r="J60" s="232">
        <f t="shared" si="35"/>
        <v>4.8708271698519621</v>
      </c>
      <c r="K60" s="232">
        <f>K57/((1+$G$64)^(K59))</f>
        <v>4.5608654408613818</v>
      </c>
      <c r="L60" s="229">
        <f t="shared" ref="L60:Q60" si="36">L57/((1+$G$50)^(L93))</f>
        <v>11.575371576266436</v>
      </c>
      <c r="M60" s="229">
        <f>M57/((1+$G$50)^(M93))</f>
        <v>10.667618752653963</v>
      </c>
      <c r="N60" s="229">
        <f t="shared" si="36"/>
        <v>9.6949829252061015</v>
      </c>
      <c r="O60" s="229">
        <f t="shared" si="36"/>
        <v>9.9858324129622869</v>
      </c>
      <c r="P60" s="229">
        <f t="shared" si="36"/>
        <v>10.285407385351157</v>
      </c>
      <c r="Q60" s="229">
        <f t="shared" si="36"/>
        <v>10.59396960691169</v>
      </c>
      <c r="R60" s="227">
        <f>R57/((1+$G$50)^(R59))</f>
        <v>20.959604092175368</v>
      </c>
    </row>
    <row r="61" spans="1:43" ht="15" thickBot="1">
      <c r="B61" s="5"/>
      <c r="O61" s="41"/>
    </row>
    <row r="62" spans="1:43">
      <c r="A62" s="119" t="s">
        <v>366</v>
      </c>
      <c r="B62" s="38">
        <f>-(SUM(B60:Q60))</f>
        <v>-121.88083657589723</v>
      </c>
      <c r="D62" s="204" t="s">
        <v>40</v>
      </c>
      <c r="E62" s="211"/>
      <c r="F62" s="211"/>
      <c r="G62" s="212">
        <f>G48</f>
        <v>54</v>
      </c>
      <c r="O62" s="41"/>
    </row>
    <row r="63" spans="1:43">
      <c r="A63" s="7" t="s">
        <v>81</v>
      </c>
      <c r="B63" s="10">
        <f>-L60</f>
        <v>-11.575371576266436</v>
      </c>
      <c r="D63" s="43" t="s">
        <v>82</v>
      </c>
      <c r="G63" s="213">
        <f>G35</f>
        <v>0</v>
      </c>
      <c r="O63" s="41"/>
    </row>
    <row r="64" spans="1:43" ht="15" thickBot="1">
      <c r="A64" s="7" t="s">
        <v>108</v>
      </c>
      <c r="B64" s="10">
        <f>B62+B63</f>
        <v>-133.45620815216367</v>
      </c>
      <c r="D64" s="39" t="s">
        <v>110</v>
      </c>
      <c r="E64" s="218"/>
      <c r="F64" s="218"/>
      <c r="G64" s="219">
        <f>$N$4</f>
        <v>0.1</v>
      </c>
      <c r="O64" s="41"/>
    </row>
    <row r="65" spans="1:24" ht="15" thickBot="1">
      <c r="A65" s="216" t="s">
        <v>93</v>
      </c>
      <c r="B65" s="217">
        <f>B64/G62</f>
        <v>-2.4714112620771052</v>
      </c>
    </row>
    <row r="68" spans="1:24">
      <c r="A68" s="32" t="s">
        <v>342</v>
      </c>
      <c r="B68" s="134" t="s">
        <v>2</v>
      </c>
      <c r="C68" s="134" t="s">
        <v>3</v>
      </c>
      <c r="D68" s="134" t="s">
        <v>4</v>
      </c>
      <c r="E68" s="134" t="s">
        <v>5</v>
      </c>
      <c r="F68" s="134" t="s">
        <v>6</v>
      </c>
      <c r="G68" s="134" t="s">
        <v>103</v>
      </c>
      <c r="H68" s="134" t="s">
        <v>104</v>
      </c>
      <c r="I68" s="33" t="s">
        <v>105</v>
      </c>
      <c r="J68" s="134" t="s">
        <v>106</v>
      </c>
      <c r="K68" s="149" t="s">
        <v>107</v>
      </c>
      <c r="L68" s="149" t="s">
        <v>148</v>
      </c>
      <c r="M68" s="149" t="s">
        <v>270</v>
      </c>
      <c r="N68" s="149" t="s">
        <v>283</v>
      </c>
      <c r="O68" s="149" t="s">
        <v>284</v>
      </c>
      <c r="P68" s="149" t="s">
        <v>285</v>
      </c>
      <c r="Q68" s="149" t="s">
        <v>360</v>
      </c>
      <c r="R68" s="149" t="s">
        <v>367</v>
      </c>
      <c r="S68" s="149" t="s">
        <v>368</v>
      </c>
      <c r="T68" s="149" t="s">
        <v>369</v>
      </c>
      <c r="U68" s="149" t="s">
        <v>370</v>
      </c>
      <c r="V68" s="149" t="s">
        <v>371</v>
      </c>
      <c r="W68" s="134" t="s">
        <v>372</v>
      </c>
      <c r="X68" s="34" t="s">
        <v>78</v>
      </c>
    </row>
    <row r="69" spans="1:24">
      <c r="A69" s="183" t="s">
        <v>26</v>
      </c>
      <c r="B69" s="127">
        <f>REVENUES!K8</f>
        <v>0</v>
      </c>
      <c r="C69" s="127">
        <f>REVENUES!L8</f>
        <v>0</v>
      </c>
      <c r="D69" s="127">
        <f>REVENUES!M8</f>
        <v>0</v>
      </c>
      <c r="E69" s="127">
        <f>REVENUES!N8</f>
        <v>0</v>
      </c>
      <c r="F69" s="127">
        <f>REVENUES!O8</f>
        <v>55</v>
      </c>
      <c r="G69" s="127">
        <f>REVENUES!P8</f>
        <v>200</v>
      </c>
      <c r="H69" s="127">
        <f>REVENUES!Q8</f>
        <v>350</v>
      </c>
      <c r="I69" s="127">
        <f>REVENUES!R8</f>
        <v>525</v>
      </c>
      <c r="J69" s="127">
        <f>REVENUES!S8</f>
        <v>625</v>
      </c>
      <c r="K69" s="127">
        <f>REVENUES!T8</f>
        <v>700.00000000000011</v>
      </c>
      <c r="L69" s="127">
        <f>REVENUES!U8</f>
        <v>770.00000000000023</v>
      </c>
      <c r="M69" s="127">
        <f>REVENUES!V8</f>
        <v>831.60000000000025</v>
      </c>
      <c r="N69" s="127">
        <f>REVENUES!W8</f>
        <v>881.49600000000032</v>
      </c>
      <c r="O69" s="127">
        <f>REVENUES!X8</f>
        <v>925.57080000000042</v>
      </c>
      <c r="P69" s="127">
        <f>REVENUES!Y8</f>
        <v>962.59363200000041</v>
      </c>
      <c r="Q69" s="165">
        <f>REVENUES!Z8</f>
        <v>991.47144096000045</v>
      </c>
      <c r="R69" s="165">
        <f>REVENUES!AA8</f>
        <v>1011.3008697792005</v>
      </c>
      <c r="S69" s="165">
        <f>REVENUES!AB8</f>
        <v>1011.3008697792005</v>
      </c>
      <c r="T69" s="165">
        <f>REVENUES!AC8</f>
        <v>1011.3008697792005</v>
      </c>
      <c r="U69" s="165">
        <f>REVENUES!AD8</f>
        <v>657.34556535648039</v>
      </c>
      <c r="V69" s="165">
        <f>REVENUES!AE8</f>
        <v>197.20366960694412</v>
      </c>
      <c r="W69" s="164">
        <f>REVENUES!AF8</f>
        <v>59.161100882083232</v>
      </c>
      <c r="X69" s="184"/>
    </row>
    <row r="70" spans="1:24">
      <c r="A70" s="185" t="s">
        <v>27</v>
      </c>
      <c r="B70" s="186">
        <f>EXPENSES!Z82</f>
        <v>0</v>
      </c>
      <c r="C70" s="186">
        <f>EXPENSES!AA82</f>
        <v>0</v>
      </c>
      <c r="D70" s="186">
        <f>EXPENSES!AB82</f>
        <v>0</v>
      </c>
      <c r="E70" s="186">
        <f>EXPENSES!AC82</f>
        <v>0</v>
      </c>
      <c r="F70" s="186">
        <f>EXPENSES!AD82</f>
        <v>1.65</v>
      </c>
      <c r="G70" s="186">
        <f>EXPENSES!AE82</f>
        <v>6</v>
      </c>
      <c r="H70" s="186">
        <f>EXPENSES!AF82</f>
        <v>10.5</v>
      </c>
      <c r="I70" s="186">
        <f>EXPENSES!AG82</f>
        <v>15.75</v>
      </c>
      <c r="J70" s="186">
        <f>EXPENSES!AH82</f>
        <v>18.75</v>
      </c>
      <c r="K70" s="186">
        <f>EXPENSES!AI82</f>
        <v>21.000000000000004</v>
      </c>
      <c r="L70" s="186">
        <f>EXPENSES!AJ82</f>
        <v>23.100000000000005</v>
      </c>
      <c r="M70" s="186">
        <f>EXPENSES!AK82</f>
        <v>24.948000000000008</v>
      </c>
      <c r="N70" s="186">
        <f>EXPENSES!AL82</f>
        <v>26.444880000000008</v>
      </c>
      <c r="O70" s="186">
        <f>EXPENSES!AM82</f>
        <v>27.767124000000013</v>
      </c>
      <c r="P70" s="186">
        <f>EXPENSES!AN82</f>
        <v>28.87780896000001</v>
      </c>
      <c r="Q70" s="456">
        <f>EXPENSES!AO82</f>
        <v>29.744143228800013</v>
      </c>
      <c r="R70" s="505">
        <f t="shared" ref="R70:W70" si="37">R69*R83</f>
        <v>30.339026093376013</v>
      </c>
      <c r="S70" s="505">
        <f t="shared" si="37"/>
        <v>30.339026093376013</v>
      </c>
      <c r="T70" s="505">
        <f t="shared" si="37"/>
        <v>30.339026093376013</v>
      </c>
      <c r="U70" s="505">
        <f t="shared" si="37"/>
        <v>19.72036696069441</v>
      </c>
      <c r="V70" s="506">
        <f t="shared" si="37"/>
        <v>5.9161100882083231</v>
      </c>
      <c r="W70" s="507">
        <f t="shared" si="37"/>
        <v>1.774833026462497</v>
      </c>
      <c r="X70" s="163"/>
    </row>
    <row r="71" spans="1:24">
      <c r="A71" s="185" t="s">
        <v>28</v>
      </c>
      <c r="B71" s="186">
        <f t="shared" ref="B71:R71" si="38">B69-B70</f>
        <v>0</v>
      </c>
      <c r="C71" s="186">
        <f t="shared" si="38"/>
        <v>0</v>
      </c>
      <c r="D71" s="186">
        <f t="shared" si="38"/>
        <v>0</v>
      </c>
      <c r="E71" s="186">
        <f t="shared" si="38"/>
        <v>0</v>
      </c>
      <c r="F71" s="186">
        <f t="shared" si="38"/>
        <v>53.35</v>
      </c>
      <c r="G71" s="186">
        <f t="shared" si="38"/>
        <v>194</v>
      </c>
      <c r="H71" s="169">
        <f t="shared" si="38"/>
        <v>339.5</v>
      </c>
      <c r="I71" s="187">
        <f t="shared" si="38"/>
        <v>509.25</v>
      </c>
      <c r="J71" s="169">
        <f t="shared" si="38"/>
        <v>606.25</v>
      </c>
      <c r="K71" s="169">
        <f t="shared" si="38"/>
        <v>679.00000000000011</v>
      </c>
      <c r="L71" s="169">
        <f t="shared" si="38"/>
        <v>746.9000000000002</v>
      </c>
      <c r="M71" s="169">
        <f t="shared" si="38"/>
        <v>806.65200000000027</v>
      </c>
      <c r="N71" s="169">
        <f t="shared" si="38"/>
        <v>855.05112000000031</v>
      </c>
      <c r="O71" s="169">
        <f t="shared" si="38"/>
        <v>897.80367600000045</v>
      </c>
      <c r="P71" s="169">
        <f t="shared" si="38"/>
        <v>933.71582304000037</v>
      </c>
      <c r="Q71" s="456">
        <f t="shared" si="38"/>
        <v>961.72729773120045</v>
      </c>
      <c r="R71" s="456">
        <f t="shared" si="38"/>
        <v>980.96184368582453</v>
      </c>
      <c r="S71" s="456">
        <f t="shared" ref="S71:W71" si="39">S69-S70</f>
        <v>980.96184368582453</v>
      </c>
      <c r="T71" s="456">
        <f t="shared" si="39"/>
        <v>980.96184368582453</v>
      </c>
      <c r="U71" s="456">
        <f t="shared" si="39"/>
        <v>637.62519839578601</v>
      </c>
      <c r="V71" s="187">
        <f t="shared" si="39"/>
        <v>191.2875595187358</v>
      </c>
      <c r="W71" s="169">
        <f t="shared" si="39"/>
        <v>57.386267855620737</v>
      </c>
      <c r="X71" s="163"/>
    </row>
    <row r="72" spans="1:24" ht="5.15" customHeight="1">
      <c r="A72" s="185"/>
      <c r="B72" s="186"/>
      <c r="C72" s="186"/>
      <c r="D72" s="186"/>
      <c r="E72" s="186"/>
      <c r="F72" s="186"/>
      <c r="G72" s="171"/>
      <c r="H72" s="167"/>
      <c r="I72" s="188"/>
      <c r="J72" s="167"/>
      <c r="K72" s="167"/>
      <c r="L72" s="167"/>
      <c r="M72" s="167"/>
      <c r="N72" s="167"/>
      <c r="O72" s="167"/>
      <c r="P72" s="167"/>
      <c r="Q72" s="167"/>
      <c r="R72" s="167"/>
      <c r="S72" s="167"/>
      <c r="T72" s="167"/>
      <c r="U72" s="167"/>
      <c r="V72" s="188"/>
      <c r="W72" s="167"/>
      <c r="X72" s="163"/>
    </row>
    <row r="73" spans="1:24">
      <c r="A73" s="185" t="s">
        <v>96</v>
      </c>
      <c r="B73" s="186">
        <f>EXPENSES!Z60+EXPENSES!Z53</f>
        <v>0</v>
      </c>
      <c r="C73" s="186">
        <f>EXPENSES!AA60+EXPENSES!AA53</f>
        <v>0</v>
      </c>
      <c r="D73" s="186">
        <f>EXPENSES!AB60+EXPENSES!AB53</f>
        <v>0</v>
      </c>
      <c r="E73" s="186">
        <f>EXPENSES!AC60+EXPENSES!AC53</f>
        <v>0</v>
      </c>
      <c r="F73" s="186">
        <f>EXPENSES!AD60+EXPENSES!AD53</f>
        <v>155</v>
      </c>
      <c r="G73" s="186">
        <f>EXPENSES!AE60+EXPENSES!AE53</f>
        <v>159.65</v>
      </c>
      <c r="H73" s="186">
        <f>EXPENSES!AF60+EXPENSES!AF53</f>
        <v>164.43950000000001</v>
      </c>
      <c r="I73" s="186">
        <f>EXPENSES!AG60+EXPENSES!AG53</f>
        <v>169.37268499999999</v>
      </c>
      <c r="J73" s="186">
        <f>EXPENSES!AH60+EXPENSES!AH53</f>
        <v>174.45386554999999</v>
      </c>
      <c r="K73" s="186">
        <f>EXPENSES!AI60+EXPENSES!AI53</f>
        <v>179.68748151649999</v>
      </c>
      <c r="L73" s="186">
        <f>EXPENSES!AJ60+EXPENSES!AJ53</f>
        <v>185.07810596199499</v>
      </c>
      <c r="M73" s="186">
        <f>EXPENSES!AK60+EXPENSES!AK53</f>
        <v>190.63044914085486</v>
      </c>
      <c r="N73" s="186">
        <f>EXPENSES!AL60+EXPENSES!AL53</f>
        <v>196.34936261508051</v>
      </c>
      <c r="O73" s="186">
        <f>EXPENSES!AM60+EXPENSES!AM53</f>
        <v>202.23984349353293</v>
      </c>
      <c r="P73" s="186">
        <f>EXPENSES!AN60+EXPENSES!AN53</f>
        <v>208.30703879833891</v>
      </c>
      <c r="Q73" s="186">
        <f>EXPENSES!AO60+EXPENSES!AO53</f>
        <v>214.55624996228909</v>
      </c>
      <c r="R73" s="483">
        <f>Q73*1.03</f>
        <v>220.99293746115777</v>
      </c>
      <c r="S73" s="483">
        <f>R73*1.03</f>
        <v>227.62272558499251</v>
      </c>
      <c r="T73" s="483">
        <f>S73*1.03</f>
        <v>234.45140735254228</v>
      </c>
      <c r="U73" s="483">
        <f>T73*0.5</f>
        <v>117.22570367627114</v>
      </c>
      <c r="V73" s="508">
        <v>0</v>
      </c>
      <c r="W73" s="482">
        <f>V73*1.03</f>
        <v>0</v>
      </c>
      <c r="X73" s="163"/>
    </row>
    <row r="74" spans="1:24">
      <c r="A74" s="189" t="s">
        <v>30</v>
      </c>
      <c r="B74" s="190">
        <f>EXPENSES!Z7+EXPENSES!Z16</f>
        <v>53</v>
      </c>
      <c r="C74" s="190">
        <f>EXPENSES!AA7+EXPENSES!AA16</f>
        <v>62</v>
      </c>
      <c r="D74" s="190">
        <f>EXPENSES!AB7+EXPENSES!AB16</f>
        <v>75</v>
      </c>
      <c r="E74" s="190">
        <f>EXPENSES!AC7+EXPENSES!AC16</f>
        <v>60</v>
      </c>
      <c r="F74" s="190">
        <f>EXPENSES!AD7+EXPENSES!AD16</f>
        <v>30</v>
      </c>
      <c r="G74" s="190">
        <f>EXPENSES!AE7+EXPENSES!AE16</f>
        <v>15</v>
      </c>
      <c r="H74" s="190">
        <f>EXPENSES!AF7</f>
        <v>10</v>
      </c>
      <c r="I74" s="190">
        <f>EXPENSES!AG7</f>
        <v>5</v>
      </c>
      <c r="J74" s="190">
        <f>EXPENSES!AH7</f>
        <v>1</v>
      </c>
      <c r="K74" s="190">
        <f>EXPENSES!AI7</f>
        <v>1</v>
      </c>
      <c r="L74" s="190">
        <f>EXPENSES!AJ7</f>
        <v>1</v>
      </c>
      <c r="M74" s="190">
        <f>EXPENSES!AK7</f>
        <v>1</v>
      </c>
      <c r="N74" s="190">
        <f>EXPENSES!AL7</f>
        <v>1</v>
      </c>
      <c r="O74" s="190">
        <f>EXPENSES!AM7</f>
        <v>1</v>
      </c>
      <c r="P74" s="190">
        <f>EXPENSES!AN7</f>
        <v>1</v>
      </c>
      <c r="Q74" s="457">
        <f>EXPENSES!AO7</f>
        <v>1</v>
      </c>
      <c r="R74" s="458">
        <f>Q74</f>
        <v>1</v>
      </c>
      <c r="S74" s="458">
        <f t="shared" ref="S74:W74" si="40">R74</f>
        <v>1</v>
      </c>
      <c r="T74" s="458">
        <f t="shared" si="40"/>
        <v>1</v>
      </c>
      <c r="U74" s="458">
        <f t="shared" si="40"/>
        <v>1</v>
      </c>
      <c r="V74" s="458">
        <f t="shared" si="40"/>
        <v>1</v>
      </c>
      <c r="W74" s="458">
        <f t="shared" si="40"/>
        <v>1</v>
      </c>
      <c r="X74" s="163"/>
    </row>
    <row r="75" spans="1:24">
      <c r="A75" s="183" t="s">
        <v>31</v>
      </c>
      <c r="B75" s="127">
        <f t="shared" ref="B75:R75" si="41">B69-B70-B73-B74</f>
        <v>-53</v>
      </c>
      <c r="C75" s="127">
        <f t="shared" si="41"/>
        <v>-62</v>
      </c>
      <c r="D75" s="127">
        <f t="shared" si="41"/>
        <v>-75</v>
      </c>
      <c r="E75" s="127">
        <f t="shared" si="41"/>
        <v>-60</v>
      </c>
      <c r="F75" s="127">
        <f t="shared" si="41"/>
        <v>-131.65</v>
      </c>
      <c r="G75" s="127">
        <f t="shared" si="41"/>
        <v>19.349999999999994</v>
      </c>
      <c r="H75" s="164">
        <f t="shared" si="41"/>
        <v>165.06049999999999</v>
      </c>
      <c r="I75" s="165">
        <f t="shared" si="41"/>
        <v>334.87731500000001</v>
      </c>
      <c r="J75" s="164">
        <f t="shared" si="41"/>
        <v>430.79613445000001</v>
      </c>
      <c r="K75" s="164">
        <f t="shared" si="41"/>
        <v>498.31251848350013</v>
      </c>
      <c r="L75" s="164">
        <f t="shared" si="41"/>
        <v>560.82189403800521</v>
      </c>
      <c r="M75" s="164">
        <f t="shared" si="41"/>
        <v>615.02155085914546</v>
      </c>
      <c r="N75" s="164">
        <f t="shared" si="41"/>
        <v>657.7017573849198</v>
      </c>
      <c r="O75" s="164">
        <f t="shared" si="41"/>
        <v>694.56383250646752</v>
      </c>
      <c r="P75" s="164">
        <f t="shared" si="41"/>
        <v>724.40878424166146</v>
      </c>
      <c r="Q75" s="165">
        <f t="shared" si="41"/>
        <v>746.17104776891142</v>
      </c>
      <c r="R75" s="165">
        <f t="shared" si="41"/>
        <v>758.96890622466674</v>
      </c>
      <c r="S75" s="165">
        <f t="shared" ref="S75:W75" si="42">S69-S70-S73-S74</f>
        <v>752.33911810083202</v>
      </c>
      <c r="T75" s="165">
        <f t="shared" si="42"/>
        <v>745.51043633328231</v>
      </c>
      <c r="U75" s="165">
        <f t="shared" si="42"/>
        <v>519.39949471951491</v>
      </c>
      <c r="V75" s="165">
        <f t="shared" si="42"/>
        <v>190.2875595187358</v>
      </c>
      <c r="W75" s="164">
        <f t="shared" si="42"/>
        <v>56.386267855620737</v>
      </c>
      <c r="X75" s="163"/>
    </row>
    <row r="76" spans="1:24">
      <c r="A76" s="191" t="s">
        <v>37</v>
      </c>
      <c r="B76" s="192">
        <f>B75*'INCOME STATEMENT'!Z26</f>
        <v>0</v>
      </c>
      <c r="C76" s="192">
        <f>C75*'INCOME STATEMENT'!AA26</f>
        <v>0</v>
      </c>
      <c r="D76" s="192">
        <f>D75*'INCOME STATEMENT'!AB26</f>
        <v>0</v>
      </c>
      <c r="E76" s="192">
        <f>E75*'INCOME STATEMENT'!AC26</f>
        <v>0</v>
      </c>
      <c r="F76" s="192">
        <v>0</v>
      </c>
      <c r="G76" s="193">
        <v>0</v>
      </c>
      <c r="H76" s="193">
        <v>0</v>
      </c>
      <c r="I76" s="193">
        <v>0</v>
      </c>
      <c r="J76" s="193">
        <v>0</v>
      </c>
      <c r="K76" s="193">
        <v>0</v>
      </c>
      <c r="L76" s="510">
        <f>L75*0.05</f>
        <v>28.041094701900263</v>
      </c>
      <c r="M76" s="510">
        <f>M75*0.15</f>
        <v>92.253232628871814</v>
      </c>
      <c r="N76" s="510">
        <f>N75*$N$6</f>
        <v>164.42543934622995</v>
      </c>
      <c r="O76" s="510">
        <f t="shared" ref="O76" si="43">O75*$N$6</f>
        <v>173.64095812661688</v>
      </c>
      <c r="P76" s="510">
        <f t="shared" ref="P76" si="44">P75*$N$6</f>
        <v>181.10219606041537</v>
      </c>
      <c r="Q76" s="510">
        <f t="shared" ref="Q76" si="45">Q75*$N$6</f>
        <v>186.54276194222786</v>
      </c>
      <c r="R76" s="510">
        <f t="shared" ref="R76" si="46">R75*$N$6</f>
        <v>189.74222655616668</v>
      </c>
      <c r="S76" s="510">
        <f t="shared" ref="S76" si="47">S75*$N$6</f>
        <v>188.08477952520801</v>
      </c>
      <c r="T76" s="510">
        <f t="shared" ref="T76" si="48">T75*$N$6</f>
        <v>186.37760908332058</v>
      </c>
      <c r="U76" s="510">
        <f t="shared" ref="U76" si="49">U75*$N$6</f>
        <v>129.84987367987873</v>
      </c>
      <c r="V76" s="510">
        <f t="shared" ref="V76" si="50">V75*$N$6</f>
        <v>47.571889879683951</v>
      </c>
      <c r="W76" s="510">
        <f t="shared" ref="W76" si="51">W75*$N$6</f>
        <v>14.096566963905184</v>
      </c>
      <c r="X76" s="194"/>
    </row>
    <row r="77" spans="1:24">
      <c r="A77" s="195" t="s">
        <v>84</v>
      </c>
      <c r="B77" s="36">
        <f t="shared" ref="B77:R77" si="52">B75-B76</f>
        <v>-53</v>
      </c>
      <c r="C77" s="36">
        <f t="shared" si="52"/>
        <v>-62</v>
      </c>
      <c r="D77" s="36">
        <f t="shared" si="52"/>
        <v>-75</v>
      </c>
      <c r="E77" s="36">
        <f t="shared" si="52"/>
        <v>-60</v>
      </c>
      <c r="F77" s="36">
        <f t="shared" si="52"/>
        <v>-131.65</v>
      </c>
      <c r="G77" s="36">
        <f t="shared" si="52"/>
        <v>19.349999999999994</v>
      </c>
      <c r="H77" s="36">
        <f t="shared" si="52"/>
        <v>165.06049999999999</v>
      </c>
      <c r="I77" s="196">
        <f t="shared" si="52"/>
        <v>334.87731500000001</v>
      </c>
      <c r="J77" s="147">
        <f t="shared" si="52"/>
        <v>430.79613445000001</v>
      </c>
      <c r="K77" s="147">
        <f t="shared" si="52"/>
        <v>498.31251848350013</v>
      </c>
      <c r="L77" s="147">
        <f t="shared" si="52"/>
        <v>532.78079933610491</v>
      </c>
      <c r="M77" s="147">
        <f t="shared" si="52"/>
        <v>522.76831823027362</v>
      </c>
      <c r="N77" s="147">
        <f t="shared" si="52"/>
        <v>493.27631803868985</v>
      </c>
      <c r="O77" s="147">
        <f t="shared" si="52"/>
        <v>520.92287437985067</v>
      </c>
      <c r="P77" s="147">
        <f t="shared" si="52"/>
        <v>543.30658818124607</v>
      </c>
      <c r="Q77" s="459">
        <f t="shared" si="52"/>
        <v>559.62828582668362</v>
      </c>
      <c r="R77" s="459">
        <f t="shared" si="52"/>
        <v>569.22667966850008</v>
      </c>
      <c r="S77" s="459">
        <f t="shared" ref="S77:W77" si="53">S75-S76</f>
        <v>564.25433857562405</v>
      </c>
      <c r="T77" s="459">
        <f t="shared" si="53"/>
        <v>559.13282724996179</v>
      </c>
      <c r="U77" s="459">
        <f t="shared" si="53"/>
        <v>389.54962103963618</v>
      </c>
      <c r="V77" s="497">
        <f t="shared" si="53"/>
        <v>142.71566963905184</v>
      </c>
      <c r="W77" s="147">
        <f t="shared" si="53"/>
        <v>42.289700891715555</v>
      </c>
      <c r="X77" s="461">
        <f>(W77*(1+$G$90))/($G$91-$G$90)</f>
        <v>90.620787625104768</v>
      </c>
    </row>
    <row r="78" spans="1:24">
      <c r="A78" s="35" t="s">
        <v>99</v>
      </c>
      <c r="B78" s="197"/>
      <c r="C78" s="197">
        <f t="shared" ref="C78:H78" si="54">C77/B77-1</f>
        <v>0.16981132075471694</v>
      </c>
      <c r="D78" s="197">
        <f t="shared" si="54"/>
        <v>0.20967741935483875</v>
      </c>
      <c r="E78" s="197">
        <f t="shared" si="54"/>
        <v>-0.19999999999999996</v>
      </c>
      <c r="F78" s="197">
        <f t="shared" si="54"/>
        <v>1.1941666666666668</v>
      </c>
      <c r="G78" s="197">
        <f t="shared" si="54"/>
        <v>-1.1469806304595518</v>
      </c>
      <c r="H78" s="197">
        <f t="shared" si="54"/>
        <v>7.530258397932819</v>
      </c>
      <c r="I78" s="198">
        <f>I77/H77-1</f>
        <v>1.0288155858003583</v>
      </c>
      <c r="J78" s="197">
        <f>J77/I77-1</f>
        <v>0.28642973158692464</v>
      </c>
      <c r="K78" s="197">
        <f>K77/J77-1</f>
        <v>0.15672467469955054</v>
      </c>
      <c r="L78" s="197">
        <f t="shared" ref="L78:W78" si="55">L77/K77-1</f>
        <v>6.9170007924948651E-2</v>
      </c>
      <c r="M78" s="197">
        <f t="shared" si="55"/>
        <v>-1.8792871511713272E-2</v>
      </c>
      <c r="N78" s="197">
        <f t="shared" si="55"/>
        <v>-5.6415048814402069E-2</v>
      </c>
      <c r="O78" s="197">
        <f t="shared" si="55"/>
        <v>5.6046794322269333E-2</v>
      </c>
      <c r="P78" s="197">
        <f t="shared" si="55"/>
        <v>4.2969343260348847E-2</v>
      </c>
      <c r="Q78" s="198">
        <f t="shared" si="55"/>
        <v>3.0041413081471235E-2</v>
      </c>
      <c r="R78" s="198">
        <f t="shared" si="55"/>
        <v>1.7151373661604241E-2</v>
      </c>
      <c r="S78" s="198">
        <f t="shared" si="55"/>
        <v>-8.7352565690907991E-3</v>
      </c>
      <c r="T78" s="198">
        <f t="shared" si="55"/>
        <v>-9.0766007020712802E-3</v>
      </c>
      <c r="U78" s="198">
        <f t="shared" si="55"/>
        <v>-0.30329681597198188</v>
      </c>
      <c r="V78" s="198">
        <f t="shared" si="55"/>
        <v>-0.6336393056726124</v>
      </c>
      <c r="W78" s="197">
        <f t="shared" si="55"/>
        <v>-0.70367864300625005</v>
      </c>
      <c r="X78" s="462"/>
    </row>
    <row r="79" spans="1:24" hidden="1" outlineLevel="1">
      <c r="A79" s="37" t="s">
        <v>85</v>
      </c>
      <c r="B79" s="200">
        <v>1</v>
      </c>
      <c r="C79" s="200">
        <f>B79+1</f>
        <v>2</v>
      </c>
      <c r="D79" s="200">
        <f>C79+1</f>
        <v>3</v>
      </c>
      <c r="E79" s="200">
        <f>D79+1</f>
        <v>4</v>
      </c>
      <c r="F79" s="200">
        <f>E79+1</f>
        <v>5</v>
      </c>
      <c r="G79" s="200">
        <f t="shared" ref="G79:K79" si="56">F79+1</f>
        <v>6</v>
      </c>
      <c r="H79" s="200">
        <f t="shared" si="56"/>
        <v>7</v>
      </c>
      <c r="I79" s="200">
        <f t="shared" si="56"/>
        <v>8</v>
      </c>
      <c r="J79" s="200">
        <f t="shared" si="56"/>
        <v>9</v>
      </c>
      <c r="K79" s="200">
        <f t="shared" si="56"/>
        <v>10</v>
      </c>
      <c r="L79" s="200">
        <f t="shared" ref="L79" si="57">K79+1</f>
        <v>11</v>
      </c>
      <c r="M79" s="200">
        <f t="shared" ref="M79" si="58">L79+1</f>
        <v>12</v>
      </c>
      <c r="N79" s="200">
        <f t="shared" ref="N79" si="59">M79+1</f>
        <v>13</v>
      </c>
      <c r="O79" s="200">
        <f t="shared" ref="O79" si="60">N79+1</f>
        <v>14</v>
      </c>
      <c r="P79" s="200">
        <f t="shared" ref="P79" si="61">O79+1</f>
        <v>15</v>
      </c>
      <c r="Q79" s="200">
        <f t="shared" ref="Q79:X79" si="62">P79+1</f>
        <v>16</v>
      </c>
      <c r="R79" s="200">
        <f t="shared" si="62"/>
        <v>17</v>
      </c>
      <c r="S79" s="200">
        <f t="shared" si="62"/>
        <v>18</v>
      </c>
      <c r="T79" s="200">
        <f t="shared" si="62"/>
        <v>19</v>
      </c>
      <c r="U79" s="200">
        <f t="shared" si="62"/>
        <v>20</v>
      </c>
      <c r="V79" s="200">
        <f t="shared" si="62"/>
        <v>21</v>
      </c>
      <c r="W79" s="465">
        <f t="shared" si="62"/>
        <v>22</v>
      </c>
      <c r="X79" s="498">
        <f t="shared" si="62"/>
        <v>23</v>
      </c>
    </row>
    <row r="80" spans="1:24" collapsed="1">
      <c r="A80" s="201" t="s">
        <v>86</v>
      </c>
      <c r="B80" s="202">
        <f t="shared" ref="B80:P80" si="63">B77/((1+$G$91)^(B79))</f>
        <v>-48.18181818181818</v>
      </c>
      <c r="C80" s="202">
        <f t="shared" si="63"/>
        <v>-51.239669421487598</v>
      </c>
      <c r="D80" s="202">
        <f t="shared" si="63"/>
        <v>-56.348610067618317</v>
      </c>
      <c r="E80" s="202">
        <f t="shared" si="63"/>
        <v>-40.98080732190423</v>
      </c>
      <c r="F80" s="203">
        <f t="shared" si="63"/>
        <v>-81.744292180737759</v>
      </c>
      <c r="G80" s="203">
        <f t="shared" si="63"/>
        <v>10.922570546540586</v>
      </c>
      <c r="H80" s="203">
        <f t="shared" si="63"/>
        <v>84.702135574219511</v>
      </c>
      <c r="I80" s="203">
        <f t="shared" si="63"/>
        <v>156.22273891231958</v>
      </c>
      <c r="J80" s="203">
        <f t="shared" si="63"/>
        <v>182.69961462431769</v>
      </c>
      <c r="K80" s="203">
        <f t="shared" si="63"/>
        <v>192.12104754004284</v>
      </c>
      <c r="L80" s="203">
        <f t="shared" si="63"/>
        <v>186.73641992812455</v>
      </c>
      <c r="M80" s="203">
        <f t="shared" si="63"/>
        <v>166.57009671077998</v>
      </c>
      <c r="N80" s="203">
        <f t="shared" si="63"/>
        <v>142.88457870347423</v>
      </c>
      <c r="O80" s="203">
        <f t="shared" si="63"/>
        <v>137.1752739071745</v>
      </c>
      <c r="P80" s="203">
        <f t="shared" si="63"/>
        <v>130.06327758047658</v>
      </c>
      <c r="Q80" s="460">
        <f t="shared" ref="Q80:V80" si="64">Q77/((1+$G$91)^(Q79))</f>
        <v>121.79142020818338</v>
      </c>
      <c r="R80" s="460">
        <f t="shared" si="64"/>
        <v>112.61846396813762</v>
      </c>
      <c r="S80" s="460">
        <f t="shared" si="64"/>
        <v>101.48610253723547</v>
      </c>
      <c r="T80" s="460">
        <f t="shared" si="64"/>
        <v>91.4226851888141</v>
      </c>
      <c r="U80" s="460">
        <f t="shared" si="64"/>
        <v>57.904068966761741</v>
      </c>
      <c r="V80" s="460">
        <f t="shared" si="64"/>
        <v>19.285249919130699</v>
      </c>
      <c r="W80" s="466">
        <f>W77/((1+$G$91)^(W79))</f>
        <v>5.1951194781821934</v>
      </c>
      <c r="X80" s="463">
        <f>X77/((1+$G$91)^(X79))</f>
        <v>10.120362619835442</v>
      </c>
    </row>
    <row r="82" spans="1:24">
      <c r="A82" s="204" t="s">
        <v>26</v>
      </c>
      <c r="B82" s="205">
        <v>1</v>
      </c>
      <c r="C82" s="205">
        <v>1</v>
      </c>
      <c r="D82" s="205">
        <v>1</v>
      </c>
      <c r="E82" s="205">
        <v>1</v>
      </c>
      <c r="F82" s="205">
        <v>1</v>
      </c>
      <c r="G82" s="205">
        <v>1</v>
      </c>
      <c r="H82" s="205">
        <v>1</v>
      </c>
      <c r="I82" s="205">
        <v>1</v>
      </c>
      <c r="J82" s="205">
        <v>1</v>
      </c>
      <c r="K82" s="205">
        <v>1</v>
      </c>
      <c r="L82" s="205">
        <v>1</v>
      </c>
      <c r="M82" s="205">
        <v>1</v>
      </c>
      <c r="N82" s="205">
        <v>1</v>
      </c>
      <c r="O82" s="205">
        <v>1</v>
      </c>
      <c r="P82" s="205">
        <v>1</v>
      </c>
      <c r="Q82" s="205">
        <v>1</v>
      </c>
      <c r="R82" s="205">
        <v>1</v>
      </c>
      <c r="S82" s="205">
        <v>1</v>
      </c>
      <c r="T82" s="205">
        <v>1</v>
      </c>
      <c r="U82" s="205">
        <v>1</v>
      </c>
      <c r="V82" s="205">
        <v>1</v>
      </c>
      <c r="W82" s="205">
        <v>1</v>
      </c>
      <c r="X82" s="478"/>
    </row>
    <row r="83" spans="1:24">
      <c r="A83" s="43" t="s">
        <v>27</v>
      </c>
      <c r="B83" s="206">
        <f>EXPENSES!U76</f>
        <v>0</v>
      </c>
      <c r="C83" s="206">
        <f>EXPENSES!Z76</f>
        <v>0</v>
      </c>
      <c r="D83" s="206">
        <f>EXPENSES!AA76</f>
        <v>0</v>
      </c>
      <c r="E83" s="206">
        <f>EXPENSES!AB76</f>
        <v>0</v>
      </c>
      <c r="F83" s="206">
        <f>EXPENSES!AC76</f>
        <v>0.03</v>
      </c>
      <c r="G83" s="206">
        <f>EXPENSES!AD76</f>
        <v>0.03</v>
      </c>
      <c r="H83" s="206">
        <f>EXPENSES!AE76</f>
        <v>0.03</v>
      </c>
      <c r="I83" s="206">
        <f>EXPENSES!AF76</f>
        <v>0.03</v>
      </c>
      <c r="J83" s="206">
        <f>EXPENSES!AG76</f>
        <v>0.03</v>
      </c>
      <c r="K83" s="206">
        <f>EXPENSES!AH76</f>
        <v>0.03</v>
      </c>
      <c r="L83" s="206">
        <f>EXPENSES!AI76</f>
        <v>0.03</v>
      </c>
      <c r="M83" s="206">
        <f>EXPENSES!AJ76</f>
        <v>0.03</v>
      </c>
      <c r="N83" s="206">
        <f>EXPENSES!AK76</f>
        <v>0.03</v>
      </c>
      <c r="O83" s="206">
        <f>EXPENSES!AL76</f>
        <v>0.03</v>
      </c>
      <c r="P83" s="206">
        <f>EXPENSES!AM76</f>
        <v>0.03</v>
      </c>
      <c r="Q83" s="206">
        <f>EXPENSES!AN76</f>
        <v>0.03</v>
      </c>
      <c r="R83" s="207">
        <f t="shared" ref="R83:W83" si="65">Q83</f>
        <v>0.03</v>
      </c>
      <c r="S83" s="207">
        <f t="shared" si="65"/>
        <v>0.03</v>
      </c>
      <c r="T83" s="207">
        <f t="shared" si="65"/>
        <v>0.03</v>
      </c>
      <c r="U83" s="207">
        <f t="shared" si="65"/>
        <v>0.03</v>
      </c>
      <c r="V83" s="207">
        <f t="shared" si="65"/>
        <v>0.03</v>
      </c>
      <c r="W83" s="207">
        <f t="shared" si="65"/>
        <v>0.03</v>
      </c>
      <c r="X83" s="478"/>
    </row>
    <row r="84" spans="1:24">
      <c r="A84" s="43" t="s">
        <v>42</v>
      </c>
      <c r="B84" s="208">
        <f t="shared" ref="B84:K84" si="66">B82-B83</f>
        <v>1</v>
      </c>
      <c r="C84" s="208">
        <f t="shared" si="66"/>
        <v>1</v>
      </c>
      <c r="D84" s="208">
        <f t="shared" si="66"/>
        <v>1</v>
      </c>
      <c r="E84" s="208">
        <f t="shared" si="66"/>
        <v>1</v>
      </c>
      <c r="F84" s="208">
        <f t="shared" si="66"/>
        <v>0.97</v>
      </c>
      <c r="G84" s="208">
        <f t="shared" si="66"/>
        <v>0.97</v>
      </c>
      <c r="H84" s="208">
        <f t="shared" si="66"/>
        <v>0.97</v>
      </c>
      <c r="I84" s="208">
        <f t="shared" si="66"/>
        <v>0.97</v>
      </c>
      <c r="J84" s="208">
        <f t="shared" si="66"/>
        <v>0.97</v>
      </c>
      <c r="K84" s="208">
        <f t="shared" si="66"/>
        <v>0.97</v>
      </c>
      <c r="L84" s="208">
        <f t="shared" ref="L84" si="67">L82-L83</f>
        <v>0.97</v>
      </c>
      <c r="M84" s="208">
        <f t="shared" ref="M84" si="68">M82-M83</f>
        <v>0.97</v>
      </c>
      <c r="N84" s="208">
        <f t="shared" ref="N84" si="69">N82-N83</f>
        <v>0.97</v>
      </c>
      <c r="O84" s="208">
        <f t="shared" ref="O84" si="70">O82-O83</f>
        <v>0.97</v>
      </c>
      <c r="P84" s="208">
        <f t="shared" ref="P84" si="71">P82-P83</f>
        <v>0.97</v>
      </c>
      <c r="Q84" s="208">
        <f t="shared" ref="Q84:R84" si="72">Q82-Q83</f>
        <v>0.97</v>
      </c>
      <c r="R84" s="208">
        <f t="shared" si="72"/>
        <v>0.97</v>
      </c>
      <c r="S84" s="208">
        <f t="shared" ref="S84:W84" si="73">S82-S83</f>
        <v>0.97</v>
      </c>
      <c r="T84" s="208">
        <f t="shared" si="73"/>
        <v>0.97</v>
      </c>
      <c r="U84" s="208">
        <f t="shared" si="73"/>
        <v>0.97</v>
      </c>
      <c r="V84" s="208">
        <f t="shared" si="73"/>
        <v>0.97</v>
      </c>
      <c r="W84" s="208">
        <f t="shared" si="73"/>
        <v>0.97</v>
      </c>
      <c r="X84" s="479"/>
    </row>
    <row r="85" spans="1:24">
      <c r="A85" s="43" t="s">
        <v>96</v>
      </c>
      <c r="B85" s="209">
        <f>IFERROR(#REF!/#REF!,0)</f>
        <v>0</v>
      </c>
      <c r="C85" s="209">
        <f t="shared" ref="C85:K85" si="74">IFERROR(B73/B69,0)</f>
        <v>0</v>
      </c>
      <c r="D85" s="209">
        <f t="shared" si="74"/>
        <v>0</v>
      </c>
      <c r="E85" s="209">
        <f t="shared" si="74"/>
        <v>0</v>
      </c>
      <c r="F85" s="209">
        <f t="shared" si="74"/>
        <v>0</v>
      </c>
      <c r="G85" s="209">
        <f t="shared" si="74"/>
        <v>2.8181818181818183</v>
      </c>
      <c r="H85" s="209">
        <f t="shared" si="74"/>
        <v>0.79825000000000002</v>
      </c>
      <c r="I85" s="209">
        <f t="shared" si="74"/>
        <v>0.46982714285714289</v>
      </c>
      <c r="J85" s="209">
        <f t="shared" si="74"/>
        <v>0.32261463809523805</v>
      </c>
      <c r="K85" s="209">
        <f t="shared" si="74"/>
        <v>0.27912618487999996</v>
      </c>
      <c r="L85" s="209">
        <f t="shared" ref="L85:W85" si="75">IFERROR(K73/K69,0)</f>
        <v>0.25669640216642853</v>
      </c>
      <c r="M85" s="209">
        <f t="shared" si="75"/>
        <v>0.2403611765740194</v>
      </c>
      <c r="N85" s="209">
        <f t="shared" si="75"/>
        <v>0.22923334432522224</v>
      </c>
      <c r="O85" s="209">
        <f t="shared" si="75"/>
        <v>0.22274560816507441</v>
      </c>
      <c r="P85" s="209">
        <f t="shared" si="75"/>
        <v>0.21850283467621584</v>
      </c>
      <c r="Q85" s="209">
        <f t="shared" si="75"/>
        <v>0.21640184588125222</v>
      </c>
      <c r="R85" s="209">
        <f t="shared" si="75"/>
        <v>0.21640184588125222</v>
      </c>
      <c r="S85" s="209">
        <f t="shared" si="75"/>
        <v>0.21852343260557822</v>
      </c>
      <c r="T85" s="209">
        <f t="shared" si="75"/>
        <v>0.22507913558374559</v>
      </c>
      <c r="U85" s="209">
        <f t="shared" si="75"/>
        <v>0.23183150965125793</v>
      </c>
      <c r="V85" s="209">
        <f t="shared" si="75"/>
        <v>0.17833193050096763</v>
      </c>
      <c r="W85" s="209">
        <f t="shared" si="75"/>
        <v>0</v>
      </c>
      <c r="X85" s="480"/>
    </row>
    <row r="86" spans="1:24">
      <c r="A86" s="43" t="s">
        <v>30</v>
      </c>
      <c r="B86" s="209">
        <f>IFERROR(#REF!/#REF!,0)</f>
        <v>0</v>
      </c>
      <c r="C86" s="209">
        <f t="shared" ref="C86:K86" si="76">IFERROR(B74/B69,0)</f>
        <v>0</v>
      </c>
      <c r="D86" s="209">
        <f t="shared" si="76"/>
        <v>0</v>
      </c>
      <c r="E86" s="209">
        <f t="shared" si="76"/>
        <v>0</v>
      </c>
      <c r="F86" s="209">
        <f t="shared" si="76"/>
        <v>0</v>
      </c>
      <c r="G86" s="209">
        <f t="shared" si="76"/>
        <v>0.54545454545454541</v>
      </c>
      <c r="H86" s="209">
        <f t="shared" si="76"/>
        <v>7.4999999999999997E-2</v>
      </c>
      <c r="I86" s="209">
        <f t="shared" si="76"/>
        <v>2.8571428571428571E-2</v>
      </c>
      <c r="J86" s="209">
        <f t="shared" si="76"/>
        <v>9.5238095238095247E-3</v>
      </c>
      <c r="K86" s="209">
        <f t="shared" si="76"/>
        <v>1.6000000000000001E-3</v>
      </c>
      <c r="L86" s="209">
        <f t="shared" ref="L86:W86" si="77">IFERROR(K74/K69,0)</f>
        <v>1.4285714285714284E-3</v>
      </c>
      <c r="M86" s="209">
        <f t="shared" si="77"/>
        <v>1.2987012987012983E-3</v>
      </c>
      <c r="N86" s="209">
        <f t="shared" si="77"/>
        <v>1.2025012025012021E-3</v>
      </c>
      <c r="O86" s="209">
        <f t="shared" si="77"/>
        <v>1.1344350966992472E-3</v>
      </c>
      <c r="P86" s="209">
        <f t="shared" si="77"/>
        <v>1.0804143778088068E-3</v>
      </c>
      <c r="Q86" s="209">
        <f t="shared" si="77"/>
        <v>1.0388599786623142E-3</v>
      </c>
      <c r="R86" s="209">
        <f t="shared" si="77"/>
        <v>1.0086019210313729E-3</v>
      </c>
      <c r="S86" s="209">
        <f t="shared" si="77"/>
        <v>9.8882541277585585E-4</v>
      </c>
      <c r="T86" s="209">
        <f t="shared" si="77"/>
        <v>9.8882541277585585E-4</v>
      </c>
      <c r="U86" s="209">
        <f t="shared" si="77"/>
        <v>9.8882541277585585E-4</v>
      </c>
      <c r="V86" s="209">
        <f t="shared" si="77"/>
        <v>1.5212698658090089E-3</v>
      </c>
      <c r="W86" s="209">
        <f t="shared" si="77"/>
        <v>5.0708995526966959E-3</v>
      </c>
      <c r="X86" s="480"/>
    </row>
    <row r="87" spans="1:24">
      <c r="A87" s="39" t="s">
        <v>43</v>
      </c>
      <c r="B87" s="210">
        <f>IFERROR(#REF!/#REF!,0)</f>
        <v>0</v>
      </c>
      <c r="C87" s="210">
        <f t="shared" ref="C87:K87" si="78">IFERROR(B75/B69,0)</f>
        <v>0</v>
      </c>
      <c r="D87" s="210">
        <f t="shared" si="78"/>
        <v>0</v>
      </c>
      <c r="E87" s="210">
        <f t="shared" si="78"/>
        <v>0</v>
      </c>
      <c r="F87" s="210">
        <f t="shared" si="78"/>
        <v>0</v>
      </c>
      <c r="G87" s="210">
        <f t="shared" si="78"/>
        <v>-2.3936363636363636</v>
      </c>
      <c r="H87" s="210">
        <f t="shared" si="78"/>
        <v>9.6749999999999975E-2</v>
      </c>
      <c r="I87" s="210">
        <f t="shared" si="78"/>
        <v>0.47160142857142856</v>
      </c>
      <c r="J87" s="210">
        <f t="shared" si="78"/>
        <v>0.63786155238095243</v>
      </c>
      <c r="K87" s="210">
        <f t="shared" si="78"/>
        <v>0.68927381511999997</v>
      </c>
      <c r="L87" s="210">
        <f t="shared" ref="L87:W87" si="79">IFERROR(K75/K69,0)</f>
        <v>0.71187502640500011</v>
      </c>
      <c r="M87" s="210">
        <f t="shared" si="79"/>
        <v>0.72834012212727928</v>
      </c>
      <c r="N87" s="210">
        <f t="shared" si="79"/>
        <v>0.73956415447227664</v>
      </c>
      <c r="O87" s="210">
        <f t="shared" si="79"/>
        <v>0.74611995673822629</v>
      </c>
      <c r="P87" s="210">
        <f t="shared" si="79"/>
        <v>0.75041675094597537</v>
      </c>
      <c r="Q87" s="210">
        <f t="shared" si="79"/>
        <v>0.75255929414008549</v>
      </c>
      <c r="R87" s="210">
        <f t="shared" si="79"/>
        <v>0.7525895521977165</v>
      </c>
      <c r="S87" s="210">
        <f t="shared" si="79"/>
        <v>0.75048774198164592</v>
      </c>
      <c r="T87" s="210">
        <f t="shared" si="79"/>
        <v>0.7439320390034786</v>
      </c>
      <c r="U87" s="210">
        <f t="shared" si="79"/>
        <v>0.73717966493596632</v>
      </c>
      <c r="V87" s="210">
        <f t="shared" si="79"/>
        <v>0.79014679963322343</v>
      </c>
      <c r="W87" s="210">
        <f t="shared" si="79"/>
        <v>0.9649291004473034</v>
      </c>
      <c r="X87" s="480"/>
    </row>
    <row r="88" spans="1:24" ht="15" thickBot="1"/>
    <row r="89" spans="1:24">
      <c r="A89" s="119" t="s">
        <v>434</v>
      </c>
      <c r="B89" s="38">
        <f>SUM(B80:W80)</f>
        <v>1621.3056671203492</v>
      </c>
      <c r="D89" s="119" t="s">
        <v>40</v>
      </c>
      <c r="E89" s="20"/>
      <c r="F89" s="20"/>
      <c r="G89" s="495">
        <f>$N$5</f>
        <v>54</v>
      </c>
    </row>
    <row r="90" spans="1:24">
      <c r="A90" s="7" t="s">
        <v>81</v>
      </c>
      <c r="B90" s="10">
        <f>X80</f>
        <v>10.120362619835442</v>
      </c>
      <c r="D90" s="7" t="s">
        <v>82</v>
      </c>
      <c r="G90" s="135">
        <v>-0.25</v>
      </c>
    </row>
    <row r="91" spans="1:24" ht="15" thickBot="1">
      <c r="A91" s="7" t="s">
        <v>108</v>
      </c>
      <c r="B91" s="10">
        <f>B90+B89</f>
        <v>1631.4260297401847</v>
      </c>
      <c r="D91" s="17" t="s">
        <v>110</v>
      </c>
      <c r="E91" s="103"/>
      <c r="F91" s="103"/>
      <c r="G91" s="496">
        <f>$N$4</f>
        <v>0.1</v>
      </c>
    </row>
    <row r="92" spans="1:24">
      <c r="A92" s="7" t="s">
        <v>87</v>
      </c>
      <c r="B92" s="135">
        <v>0.65</v>
      </c>
      <c r="G92" s="124"/>
    </row>
    <row r="93" spans="1:24" ht="15" thickBot="1">
      <c r="A93" s="7" t="s">
        <v>88</v>
      </c>
      <c r="B93" s="10">
        <f>B92*B91</f>
        <v>1060.4269193311202</v>
      </c>
    </row>
    <row r="94" spans="1:24" ht="15" thickBot="1">
      <c r="A94" s="216" t="s">
        <v>89</v>
      </c>
      <c r="B94" s="217">
        <f>B93/G89</f>
        <v>19.637535543168891</v>
      </c>
    </row>
    <row r="97" spans="1:24">
      <c r="A97" s="1"/>
      <c r="B97" s="136"/>
    </row>
    <row r="98" spans="1:24">
      <c r="A98" s="1"/>
      <c r="B98" s="136"/>
    </row>
    <row r="99" spans="1:24">
      <c r="A99" s="32" t="s">
        <v>343</v>
      </c>
      <c r="B99" s="134" t="s">
        <v>2</v>
      </c>
      <c r="C99" s="134" t="s">
        <v>3</v>
      </c>
      <c r="D99" s="134" t="s">
        <v>4</v>
      </c>
      <c r="E99" s="134" t="s">
        <v>5</v>
      </c>
      <c r="F99" s="134" t="s">
        <v>6</v>
      </c>
      <c r="G99" s="134" t="s">
        <v>103</v>
      </c>
      <c r="H99" s="134" t="s">
        <v>104</v>
      </c>
      <c r="I99" s="33" t="s">
        <v>105</v>
      </c>
      <c r="J99" s="134" t="s">
        <v>106</v>
      </c>
      <c r="K99" s="134" t="s">
        <v>107</v>
      </c>
      <c r="L99" s="149" t="s">
        <v>148</v>
      </c>
      <c r="M99" s="149" t="s">
        <v>270</v>
      </c>
      <c r="N99" s="149" t="s">
        <v>283</v>
      </c>
      <c r="O99" s="149" t="s">
        <v>284</v>
      </c>
      <c r="P99" s="149" t="s">
        <v>285</v>
      </c>
      <c r="Q99" s="149" t="s">
        <v>360</v>
      </c>
      <c r="R99" s="149" t="s">
        <v>367</v>
      </c>
      <c r="S99" s="464" t="s">
        <v>368</v>
      </c>
      <c r="T99" s="464" t="s">
        <v>369</v>
      </c>
      <c r="U99" s="464" t="s">
        <v>370</v>
      </c>
      <c r="V99" s="464" t="s">
        <v>371</v>
      </c>
      <c r="W99" s="464">
        <v>2047</v>
      </c>
      <c r="X99" s="134" t="s">
        <v>78</v>
      </c>
    </row>
    <row r="100" spans="1:24">
      <c r="A100" s="183" t="s">
        <v>26</v>
      </c>
      <c r="B100" s="127">
        <f>REVENUES!K12</f>
        <v>0</v>
      </c>
      <c r="C100" s="127">
        <f>REVENUES!L12</f>
        <v>0</v>
      </c>
      <c r="D100" s="127">
        <f>REVENUES!M12</f>
        <v>0</v>
      </c>
      <c r="E100" s="127">
        <f>REVENUES!N12</f>
        <v>0</v>
      </c>
      <c r="F100" s="127">
        <f>REVENUES!O12</f>
        <v>0</v>
      </c>
      <c r="G100" s="127">
        <f>REVENUES!P12</f>
        <v>0</v>
      </c>
      <c r="H100" s="127">
        <f>REVENUES!Q12</f>
        <v>100</v>
      </c>
      <c r="I100" s="127">
        <f>REVENUES!R12</f>
        <v>250</v>
      </c>
      <c r="J100" s="127">
        <f>REVENUES!S12</f>
        <v>450</v>
      </c>
      <c r="K100" s="127">
        <f>REVENUES!T12</f>
        <v>650</v>
      </c>
      <c r="L100" s="127">
        <f>REVENUES!U12</f>
        <v>825</v>
      </c>
      <c r="M100" s="127">
        <f>REVENUES!V12</f>
        <v>950</v>
      </c>
      <c r="N100" s="127">
        <f>REVENUES!W12</f>
        <v>1050</v>
      </c>
      <c r="O100" s="127">
        <f>REVENUES!X12</f>
        <v>1125</v>
      </c>
      <c r="P100" s="127">
        <f>REVENUES!Y12</f>
        <v>1181.25</v>
      </c>
      <c r="Q100" s="127">
        <f>REVENUES!Z12</f>
        <v>1240.3125</v>
      </c>
      <c r="R100" s="165">
        <f>REVENUES!AA12</f>
        <v>1289.925</v>
      </c>
      <c r="S100" s="165">
        <f>REVENUES!AB12</f>
        <v>1328.62275</v>
      </c>
      <c r="T100" s="165">
        <f>REVENUES!AC12</f>
        <v>1368.4814325</v>
      </c>
      <c r="U100" s="165">
        <f>REVENUES!AD12</f>
        <v>889.51293112500002</v>
      </c>
      <c r="V100" s="165">
        <f>REVENUES!AE12</f>
        <v>266.85387933750002</v>
      </c>
      <c r="W100" s="165">
        <f>REVENUES!AF12</f>
        <v>80.056163801250008</v>
      </c>
      <c r="X100" s="467"/>
    </row>
    <row r="101" spans="1:24">
      <c r="A101" s="185" t="s">
        <v>27</v>
      </c>
      <c r="B101" s="186">
        <f>EXPENSES!Z83</f>
        <v>0</v>
      </c>
      <c r="C101" s="186">
        <f>EXPENSES!AA83</f>
        <v>0</v>
      </c>
      <c r="D101" s="186">
        <f>EXPENSES!AB83</f>
        <v>0</v>
      </c>
      <c r="E101" s="186">
        <f>EXPENSES!AC83</f>
        <v>0</v>
      </c>
      <c r="F101" s="186">
        <f>EXPENSES!AD83</f>
        <v>0</v>
      </c>
      <c r="G101" s="186">
        <f>EXPENSES!AE83</f>
        <v>0</v>
      </c>
      <c r="H101" s="186">
        <f>EXPENSES!AF83</f>
        <v>3</v>
      </c>
      <c r="I101" s="186">
        <f>EXPENSES!AG83</f>
        <v>7.5</v>
      </c>
      <c r="J101" s="186">
        <f>EXPENSES!AH83</f>
        <v>13.5</v>
      </c>
      <c r="K101" s="186">
        <f>EXPENSES!AI83</f>
        <v>19.5</v>
      </c>
      <c r="L101" s="186">
        <f>EXPENSES!AJ83</f>
        <v>24.75</v>
      </c>
      <c r="M101" s="186">
        <f>EXPENSES!AK83</f>
        <v>28.5</v>
      </c>
      <c r="N101" s="186">
        <f>EXPENSES!AL83</f>
        <v>31.5</v>
      </c>
      <c r="O101" s="186">
        <f>EXPENSES!AM83</f>
        <v>33.75</v>
      </c>
      <c r="P101" s="186">
        <f>EXPENSES!AN83</f>
        <v>35.4375</v>
      </c>
      <c r="Q101" s="186">
        <f>EXPENSES!AO83</f>
        <v>37.209375000000001</v>
      </c>
      <c r="R101" s="456">
        <f>R100*R114</f>
        <v>38.697749999999999</v>
      </c>
      <c r="S101" s="456">
        <f>S100*S114</f>
        <v>39.8586825</v>
      </c>
      <c r="T101" s="456">
        <f t="shared" ref="T101:W101" si="80">T100*T114</f>
        <v>41.054442975000001</v>
      </c>
      <c r="U101" s="456">
        <f t="shared" si="80"/>
        <v>26.68538793375</v>
      </c>
      <c r="V101" s="456">
        <f t="shared" si="80"/>
        <v>8.0056163801249998</v>
      </c>
      <c r="W101" s="456">
        <f t="shared" si="80"/>
        <v>2.4016849140375003</v>
      </c>
      <c r="X101" s="167"/>
    </row>
    <row r="102" spans="1:24">
      <c r="A102" s="185" t="s">
        <v>28</v>
      </c>
      <c r="B102" s="186">
        <f t="shared" ref="B102:Q102" si="81">B100-B101</f>
        <v>0</v>
      </c>
      <c r="C102" s="186">
        <f t="shared" si="81"/>
        <v>0</v>
      </c>
      <c r="D102" s="186">
        <f t="shared" si="81"/>
        <v>0</v>
      </c>
      <c r="E102" s="186">
        <f t="shared" si="81"/>
        <v>0</v>
      </c>
      <c r="F102" s="186">
        <f t="shared" si="81"/>
        <v>0</v>
      </c>
      <c r="G102" s="186">
        <f t="shared" si="81"/>
        <v>0</v>
      </c>
      <c r="H102" s="169">
        <f t="shared" si="81"/>
        <v>97</v>
      </c>
      <c r="I102" s="187">
        <f t="shared" si="81"/>
        <v>242.5</v>
      </c>
      <c r="J102" s="169">
        <f t="shared" si="81"/>
        <v>436.5</v>
      </c>
      <c r="K102" s="169">
        <f t="shared" si="81"/>
        <v>630.5</v>
      </c>
      <c r="L102" s="169">
        <f t="shared" si="81"/>
        <v>800.25</v>
      </c>
      <c r="M102" s="169">
        <f t="shared" si="81"/>
        <v>921.5</v>
      </c>
      <c r="N102" s="169">
        <f t="shared" si="81"/>
        <v>1018.5</v>
      </c>
      <c r="O102" s="169">
        <f t="shared" si="81"/>
        <v>1091.25</v>
      </c>
      <c r="P102" s="169">
        <f t="shared" si="81"/>
        <v>1145.8125</v>
      </c>
      <c r="Q102" s="169">
        <f t="shared" si="81"/>
        <v>1203.1031250000001</v>
      </c>
      <c r="R102" s="456">
        <f t="shared" ref="R102:S102" si="82">R100-R101</f>
        <v>1251.2272499999999</v>
      </c>
      <c r="S102" s="456">
        <f t="shared" si="82"/>
        <v>1288.7640675</v>
      </c>
      <c r="T102" s="456">
        <f t="shared" ref="T102:W102" si="83">T100-T101</f>
        <v>1327.426989525</v>
      </c>
      <c r="U102" s="456">
        <f t="shared" si="83"/>
        <v>862.82754319125002</v>
      </c>
      <c r="V102" s="456">
        <f t="shared" si="83"/>
        <v>258.84826295737503</v>
      </c>
      <c r="W102" s="456">
        <f t="shared" si="83"/>
        <v>77.654478887212505</v>
      </c>
      <c r="X102" s="167"/>
    </row>
    <row r="103" spans="1:24" ht="5.15" customHeight="1">
      <c r="A103" s="185"/>
      <c r="B103" s="186"/>
      <c r="C103" s="186"/>
      <c r="D103" s="186"/>
      <c r="E103" s="186"/>
      <c r="F103" s="186"/>
      <c r="G103" s="171"/>
      <c r="H103" s="167"/>
      <c r="I103" s="188"/>
      <c r="J103" s="188"/>
      <c r="K103" s="188"/>
      <c r="L103" s="188"/>
      <c r="M103" s="188"/>
      <c r="N103" s="188"/>
      <c r="O103" s="188"/>
      <c r="P103" s="188"/>
      <c r="Q103" s="188"/>
      <c r="R103" s="188"/>
      <c r="S103" s="188"/>
      <c r="T103" s="188"/>
      <c r="U103" s="188"/>
      <c r="V103" s="188"/>
      <c r="W103" s="188"/>
      <c r="X103" s="167"/>
    </row>
    <row r="104" spans="1:24">
      <c r="A104" s="185" t="s">
        <v>96</v>
      </c>
      <c r="B104" s="186">
        <f>EXPENSES!Z61+EXPENSES!Z54</f>
        <v>0</v>
      </c>
      <c r="C104" s="186">
        <f>EXPENSES!AA61+EXPENSES!AA54</f>
        <v>0</v>
      </c>
      <c r="D104" s="186">
        <f>EXPENSES!AB61+EXPENSES!AB54</f>
        <v>0</v>
      </c>
      <c r="E104" s="186">
        <f>EXPENSES!AC61+EXPENSES!AC54</f>
        <v>0</v>
      </c>
      <c r="F104" s="186">
        <f>EXPENSES!AD61+EXPENSES!AD54</f>
        <v>0</v>
      </c>
      <c r="G104" s="186">
        <f>EXPENSES!AE61+EXPENSES!AE54</f>
        <v>0</v>
      </c>
      <c r="H104" s="186">
        <f>EXPENSES!AF61+EXPENSES!AF54</f>
        <v>172.93687499999999</v>
      </c>
      <c r="I104" s="186">
        <f>EXPENSES!AG61+EXPENSES!AG54</f>
        <v>178.12498125000002</v>
      </c>
      <c r="J104" s="186">
        <f>EXPENSES!AH61+EXPENSES!AH54</f>
        <v>183.4687306875</v>
      </c>
      <c r="K104" s="186">
        <f>EXPENSES!AI61+EXPENSES!AI54</f>
        <v>188.97279260812499</v>
      </c>
      <c r="L104" s="186">
        <f>EXPENSES!AJ61+EXPENSES!AJ54</f>
        <v>194.64197638636875</v>
      </c>
      <c r="M104" s="186">
        <f>EXPENSES!AK61+EXPENSES!AK54</f>
        <v>200.48123567795983</v>
      </c>
      <c r="N104" s="186">
        <f>EXPENSES!AL61+EXPENSES!AL54</f>
        <v>206.49567274829863</v>
      </c>
      <c r="O104" s="186">
        <f>EXPENSES!AM61+EXPENSES!AM54</f>
        <v>212.69054293074757</v>
      </c>
      <c r="P104" s="186">
        <f>EXPENSES!AN61+EXPENSES!AN54</f>
        <v>219.07125921867001</v>
      </c>
      <c r="Q104" s="186">
        <f>EXPENSES!AO61+EXPENSES!AO54</f>
        <v>225.64339699523009</v>
      </c>
      <c r="R104" s="456">
        <f>Q104*1.03</f>
        <v>232.41269890508701</v>
      </c>
      <c r="S104" s="456">
        <f>R104*1.03</f>
        <v>239.38507987223963</v>
      </c>
      <c r="T104" s="456">
        <f t="shared" ref="T104:W104" si="84">S104*1.03</f>
        <v>246.56663226840683</v>
      </c>
      <c r="U104" s="456">
        <f>T104*0.5</f>
        <v>123.28331613420342</v>
      </c>
      <c r="V104" s="483">
        <v>0</v>
      </c>
      <c r="W104" s="483">
        <f t="shared" si="84"/>
        <v>0</v>
      </c>
      <c r="X104" s="167"/>
    </row>
    <row r="105" spans="1:24">
      <c r="A105" s="189" t="s">
        <v>30</v>
      </c>
      <c r="B105" s="190">
        <f>EXPENSES!Z8</f>
        <v>38</v>
      </c>
      <c r="C105" s="190">
        <f>EXPENSES!AA8</f>
        <v>55</v>
      </c>
      <c r="D105" s="190">
        <f>EXPENSES!AB8</f>
        <v>70</v>
      </c>
      <c r="E105" s="190">
        <f>EXPENSES!AC8</f>
        <v>75</v>
      </c>
      <c r="F105" s="190">
        <f>EXPENSES!AD8</f>
        <v>75</v>
      </c>
      <c r="G105" s="190">
        <f>EXPENSES!AE8</f>
        <v>75</v>
      </c>
      <c r="H105" s="190">
        <f>EXPENSES!AF8</f>
        <v>15</v>
      </c>
      <c r="I105" s="190">
        <f>EXPENSES!AG8</f>
        <v>5</v>
      </c>
      <c r="J105" s="190">
        <f>EXPENSES!AH8</f>
        <v>0</v>
      </c>
      <c r="K105" s="190">
        <f>EXPENSES!AI8</f>
        <v>0</v>
      </c>
      <c r="L105" s="190">
        <f>EXPENSES!AJ8</f>
        <v>0</v>
      </c>
      <c r="M105" s="190">
        <f>EXPENSES!AK8</f>
        <v>0</v>
      </c>
      <c r="N105" s="190">
        <f>EXPENSES!AL8</f>
        <v>0</v>
      </c>
      <c r="O105" s="190">
        <f>EXPENSES!AM8</f>
        <v>0</v>
      </c>
      <c r="P105" s="190">
        <f>EXPENSES!AN8</f>
        <v>0</v>
      </c>
      <c r="Q105" s="190">
        <f>EXPENSES!AO8</f>
        <v>0</v>
      </c>
      <c r="R105" s="457">
        <v>2</v>
      </c>
      <c r="S105" s="457">
        <v>2</v>
      </c>
      <c r="T105" s="457">
        <v>2</v>
      </c>
      <c r="U105" s="457">
        <v>2</v>
      </c>
      <c r="V105" s="457">
        <v>2</v>
      </c>
      <c r="W105" s="457">
        <v>2</v>
      </c>
      <c r="X105" s="167"/>
    </row>
    <row r="106" spans="1:24">
      <c r="A106" s="183" t="s">
        <v>31</v>
      </c>
      <c r="B106" s="127">
        <f t="shared" ref="B106:Q106" si="85">B100-B101-B104-B105</f>
        <v>-38</v>
      </c>
      <c r="C106" s="127">
        <f t="shared" si="85"/>
        <v>-55</v>
      </c>
      <c r="D106" s="127">
        <f t="shared" si="85"/>
        <v>-70</v>
      </c>
      <c r="E106" s="127">
        <f t="shared" si="85"/>
        <v>-75</v>
      </c>
      <c r="F106" s="127">
        <f t="shared" si="85"/>
        <v>-75</v>
      </c>
      <c r="G106" s="127">
        <f t="shared" si="85"/>
        <v>-75</v>
      </c>
      <c r="H106" s="164">
        <f t="shared" si="85"/>
        <v>-90.936874999999986</v>
      </c>
      <c r="I106" s="165">
        <f t="shared" si="85"/>
        <v>59.375018749999981</v>
      </c>
      <c r="J106" s="164">
        <f t="shared" si="85"/>
        <v>253.0312693125</v>
      </c>
      <c r="K106" s="164">
        <f t="shared" si="85"/>
        <v>441.52720739187498</v>
      </c>
      <c r="L106" s="164">
        <f t="shared" si="85"/>
        <v>605.6080236136313</v>
      </c>
      <c r="M106" s="164">
        <f t="shared" si="85"/>
        <v>721.01876432204017</v>
      </c>
      <c r="N106" s="164">
        <f t="shared" si="85"/>
        <v>812.0043272517014</v>
      </c>
      <c r="O106" s="164">
        <f t="shared" si="85"/>
        <v>878.5594570692524</v>
      </c>
      <c r="P106" s="164">
        <f t="shared" si="85"/>
        <v>926.74124078133002</v>
      </c>
      <c r="Q106" s="164">
        <f t="shared" si="85"/>
        <v>977.45972800477</v>
      </c>
      <c r="R106" s="165">
        <f t="shared" ref="R106:S106" si="86">R100-R101-R104-R105</f>
        <v>1016.8145510949129</v>
      </c>
      <c r="S106" s="165">
        <f t="shared" si="86"/>
        <v>1047.3789876277604</v>
      </c>
      <c r="T106" s="165">
        <f t="shared" ref="T106:W106" si="87">T100-T101-T104-T105</f>
        <v>1078.860357256593</v>
      </c>
      <c r="U106" s="165">
        <f t="shared" si="87"/>
        <v>737.54422705704656</v>
      </c>
      <c r="V106" s="165">
        <f t="shared" si="87"/>
        <v>256.84826295737503</v>
      </c>
      <c r="W106" s="165">
        <f t="shared" si="87"/>
        <v>75.654478887212505</v>
      </c>
      <c r="X106" s="167"/>
    </row>
    <row r="107" spans="1:24">
      <c r="A107" s="191" t="s">
        <v>37</v>
      </c>
      <c r="B107" s="192">
        <f>B106*'INCOME STATEMENT'!Z116</f>
        <v>0</v>
      </c>
      <c r="C107" s="192">
        <f>C106*'INCOME STATEMENT'!AA116</f>
        <v>0</v>
      </c>
      <c r="D107" s="192">
        <f>D106*'INCOME STATEMENT'!AB116</f>
        <v>0</v>
      </c>
      <c r="E107" s="192">
        <f>E106*'INCOME STATEMENT'!AC116</f>
        <v>0</v>
      </c>
      <c r="F107" s="192">
        <f>F106*'INCOME STATEMENT'!AD116</f>
        <v>0</v>
      </c>
      <c r="G107" s="192">
        <f>G106*'INCOME STATEMENT'!AE116</f>
        <v>0</v>
      </c>
      <c r="H107" s="192">
        <f>H106*'INCOME STATEMENT'!AF116</f>
        <v>0</v>
      </c>
      <c r="I107" s="192">
        <f>I106*'INCOME STATEMENT'!AG116</f>
        <v>0</v>
      </c>
      <c r="J107" s="192">
        <f>J106*'INCOME STATEMENT'!AH116</f>
        <v>0</v>
      </c>
      <c r="K107" s="192">
        <f>K106*'INCOME STATEMENT'!AI116</f>
        <v>0</v>
      </c>
      <c r="L107" s="510">
        <f>L106*0.05</f>
        <v>30.280401180681565</v>
      </c>
      <c r="M107" s="510">
        <f>M106*0.15</f>
        <v>108.15281464830602</v>
      </c>
      <c r="N107" s="510">
        <f>N106*$N$6</f>
        <v>203.00108181292535</v>
      </c>
      <c r="O107" s="510">
        <f t="shared" ref="O107" si="88">O106*$N$6</f>
        <v>219.6398642673131</v>
      </c>
      <c r="P107" s="510">
        <f t="shared" ref="P107" si="89">P106*$N$6</f>
        <v>231.68531019533251</v>
      </c>
      <c r="Q107" s="510">
        <f t="shared" ref="Q107" si="90">Q106*$N$6</f>
        <v>244.3649320011925</v>
      </c>
      <c r="R107" s="510">
        <f t="shared" ref="R107" si="91">R106*$N$6</f>
        <v>254.20363777372822</v>
      </c>
      <c r="S107" s="510">
        <f t="shared" ref="S107" si="92">S106*$N$6</f>
        <v>261.84474690694009</v>
      </c>
      <c r="T107" s="510">
        <f t="shared" ref="T107" si="93">T106*$N$6</f>
        <v>269.71508931414826</v>
      </c>
      <c r="U107" s="510">
        <f t="shared" ref="U107" si="94">U106*$N$6</f>
        <v>184.38605676426164</v>
      </c>
      <c r="V107" s="510">
        <f t="shared" ref="V107" si="95">V106*$N$6</f>
        <v>64.212065739343757</v>
      </c>
      <c r="W107" s="510">
        <f t="shared" ref="W107" si="96">W106*$N$6</f>
        <v>18.913619721803126</v>
      </c>
      <c r="X107" s="468"/>
    </row>
    <row r="108" spans="1:24">
      <c r="A108" s="195" t="s">
        <v>84</v>
      </c>
      <c r="B108" s="36">
        <f t="shared" ref="B108:Q108" si="97">B106-B107</f>
        <v>-38</v>
      </c>
      <c r="C108" s="36">
        <f t="shared" si="97"/>
        <v>-55</v>
      </c>
      <c r="D108" s="36">
        <f t="shared" si="97"/>
        <v>-70</v>
      </c>
      <c r="E108" s="36">
        <f t="shared" si="97"/>
        <v>-75</v>
      </c>
      <c r="F108" s="36">
        <f t="shared" si="97"/>
        <v>-75</v>
      </c>
      <c r="G108" s="36">
        <f t="shared" si="97"/>
        <v>-75</v>
      </c>
      <c r="H108" s="36">
        <f t="shared" si="97"/>
        <v>-90.936874999999986</v>
      </c>
      <c r="I108" s="196">
        <f t="shared" si="97"/>
        <v>59.375018749999981</v>
      </c>
      <c r="J108" s="147">
        <f t="shared" si="97"/>
        <v>253.0312693125</v>
      </c>
      <c r="K108" s="147">
        <f t="shared" si="97"/>
        <v>441.52720739187498</v>
      </c>
      <c r="L108" s="147">
        <f t="shared" si="97"/>
        <v>575.32762243294974</v>
      </c>
      <c r="M108" s="147">
        <f t="shared" si="97"/>
        <v>612.86594967373412</v>
      </c>
      <c r="N108" s="147">
        <f t="shared" si="97"/>
        <v>609.00324543877605</v>
      </c>
      <c r="O108" s="147">
        <f t="shared" si="97"/>
        <v>658.9195928019393</v>
      </c>
      <c r="P108" s="147">
        <f t="shared" si="97"/>
        <v>695.05593058599754</v>
      </c>
      <c r="Q108" s="147">
        <f t="shared" si="97"/>
        <v>733.09479600357747</v>
      </c>
      <c r="R108" s="459">
        <f t="shared" ref="R108:S108" si="98">R106-R107</f>
        <v>762.61091332118463</v>
      </c>
      <c r="S108" s="459">
        <f t="shared" si="98"/>
        <v>785.53424072082021</v>
      </c>
      <c r="T108" s="459">
        <f t="shared" ref="T108:W108" si="99">T106-T107</f>
        <v>809.14526794244478</v>
      </c>
      <c r="U108" s="459">
        <f t="shared" si="99"/>
        <v>553.15817029278492</v>
      </c>
      <c r="V108" s="459">
        <f t="shared" si="99"/>
        <v>192.63619721803127</v>
      </c>
      <c r="W108" s="459">
        <f t="shared" si="99"/>
        <v>56.740859165409375</v>
      </c>
      <c r="X108" s="36">
        <f>(W108*(1+$G$121))/($G$122-$G$121)</f>
        <v>121.58755535444867</v>
      </c>
    </row>
    <row r="109" spans="1:24">
      <c r="A109" s="35" t="s">
        <v>99</v>
      </c>
      <c r="B109" s="197"/>
      <c r="C109" s="197">
        <f t="shared" ref="C109:K109" si="100">C108/B108-1</f>
        <v>0.44736842105263164</v>
      </c>
      <c r="D109" s="197">
        <f t="shared" si="100"/>
        <v>0.27272727272727271</v>
      </c>
      <c r="E109" s="197">
        <f t="shared" si="100"/>
        <v>7.1428571428571397E-2</v>
      </c>
      <c r="F109" s="197">
        <f t="shared" si="100"/>
        <v>0</v>
      </c>
      <c r="G109" s="197">
        <f t="shared" si="100"/>
        <v>0</v>
      </c>
      <c r="H109" s="197">
        <f t="shared" si="100"/>
        <v>0.21249166666666652</v>
      </c>
      <c r="I109" s="198">
        <f t="shared" si="100"/>
        <v>-1.6529256558464318</v>
      </c>
      <c r="J109" s="197">
        <f t="shared" si="100"/>
        <v>3.2615779268701299</v>
      </c>
      <c r="K109" s="197">
        <f t="shared" si="100"/>
        <v>0.74495116193160205</v>
      </c>
      <c r="L109" s="197">
        <f t="shared" ref="L109" si="101">L108/K108-1</f>
        <v>0.30304002290468346</v>
      </c>
      <c r="M109" s="197">
        <f t="shared" ref="M109" si="102">M108/L108-1</f>
        <v>6.5246871134123641E-2</v>
      </c>
      <c r="N109" s="197">
        <f t="shared" ref="N109" si="103">N108/M108-1</f>
        <v>-6.302690232691921E-3</v>
      </c>
      <c r="O109" s="197">
        <f t="shared" ref="O109" si="104">O108/N108-1</f>
        <v>8.1964008791446386E-2</v>
      </c>
      <c r="P109" s="197">
        <f t="shared" ref="P109" si="105">P108/O108-1</f>
        <v>5.4841801911512222E-2</v>
      </c>
      <c r="Q109" s="197">
        <f t="shared" ref="Q109:S109" si="106">Q108/P108-1</f>
        <v>5.4727776202858402E-2</v>
      </c>
      <c r="R109" s="198">
        <f t="shared" si="106"/>
        <v>4.0262347350591643E-2</v>
      </c>
      <c r="S109" s="198">
        <f t="shared" si="106"/>
        <v>3.005900781016102E-2</v>
      </c>
      <c r="T109" s="198">
        <f t="shared" ref="T109" si="107">T108/S108-1</f>
        <v>3.0057285854221627E-2</v>
      </c>
      <c r="U109" s="198">
        <f t="shared" ref="U109" si="108">U108/T108-1</f>
        <v>-0.31636729248952178</v>
      </c>
      <c r="V109" s="198">
        <f t="shared" ref="V109" si="109">V108/U108-1</f>
        <v>-0.65175205291450444</v>
      </c>
      <c r="W109" s="198">
        <f t="shared" ref="W109" si="110">W108/V108-1</f>
        <v>-0.70545068899388408</v>
      </c>
      <c r="X109" s="199"/>
    </row>
    <row r="110" spans="1:24" hidden="1" outlineLevel="1">
      <c r="A110" s="37" t="s">
        <v>85</v>
      </c>
      <c r="B110" s="200">
        <v>1</v>
      </c>
      <c r="C110" s="200">
        <f t="shared" ref="C110:K110" si="111">B110+1</f>
        <v>2</v>
      </c>
      <c r="D110" s="200">
        <f t="shared" si="111"/>
        <v>3</v>
      </c>
      <c r="E110" s="200">
        <f t="shared" si="111"/>
        <v>4</v>
      </c>
      <c r="F110" s="200">
        <f t="shared" si="111"/>
        <v>5</v>
      </c>
      <c r="G110" s="200">
        <f t="shared" si="111"/>
        <v>6</v>
      </c>
      <c r="H110" s="200">
        <f t="shared" si="111"/>
        <v>7</v>
      </c>
      <c r="I110" s="200">
        <f t="shared" si="111"/>
        <v>8</v>
      </c>
      <c r="J110" s="200">
        <f t="shared" si="111"/>
        <v>9</v>
      </c>
      <c r="K110" s="200">
        <f t="shared" si="111"/>
        <v>10</v>
      </c>
      <c r="L110" s="200">
        <f t="shared" ref="L110" si="112">K110+1</f>
        <v>11</v>
      </c>
      <c r="M110" s="200">
        <f t="shared" ref="M110" si="113">L110+1</f>
        <v>12</v>
      </c>
      <c r="N110" s="200">
        <f t="shared" ref="N110" si="114">M110+1</f>
        <v>13</v>
      </c>
      <c r="O110" s="200">
        <f t="shared" ref="O110" si="115">N110+1</f>
        <v>14</v>
      </c>
      <c r="P110" s="200">
        <f t="shared" ref="P110" si="116">O110+1</f>
        <v>15</v>
      </c>
      <c r="Q110" s="200">
        <f t="shared" ref="Q110:S110" si="117">P110+1</f>
        <v>16</v>
      </c>
      <c r="R110" s="200">
        <f t="shared" si="117"/>
        <v>17</v>
      </c>
      <c r="S110" s="200">
        <f t="shared" si="117"/>
        <v>18</v>
      </c>
      <c r="T110" s="200">
        <f t="shared" ref="T110" si="118">S110+1</f>
        <v>19</v>
      </c>
      <c r="U110" s="200">
        <f t="shared" ref="U110" si="119">T110+1</f>
        <v>20</v>
      </c>
      <c r="V110" s="200">
        <f t="shared" ref="V110" si="120">U110+1</f>
        <v>21</v>
      </c>
      <c r="W110" s="200">
        <f t="shared" ref="W110" si="121">V110+1</f>
        <v>22</v>
      </c>
      <c r="X110" s="465">
        <v>23</v>
      </c>
    </row>
    <row r="111" spans="1:24" collapsed="1">
      <c r="A111" s="201" t="s">
        <v>86</v>
      </c>
      <c r="B111" s="202">
        <f>B108/((1+$G$91)^(B110))</f>
        <v>-34.54545454545454</v>
      </c>
      <c r="C111" s="202">
        <f t="shared" ref="C111:J111" si="122">C108/((1+$G$91)^(C110))</f>
        <v>-45.454545454545446</v>
      </c>
      <c r="D111" s="202">
        <f t="shared" si="122"/>
        <v>-52.592036063110427</v>
      </c>
      <c r="E111" s="202">
        <f t="shared" si="122"/>
        <v>-51.226009152380286</v>
      </c>
      <c r="F111" s="203">
        <f t="shared" si="122"/>
        <v>-46.569099229436624</v>
      </c>
      <c r="G111" s="203">
        <f t="shared" si="122"/>
        <v>-42.335544754033286</v>
      </c>
      <c r="H111" s="203">
        <f t="shared" si="122"/>
        <v>-46.664995652780966</v>
      </c>
      <c r="I111" s="203">
        <f t="shared" si="122"/>
        <v>27.698884446966279</v>
      </c>
      <c r="J111" s="203">
        <f t="shared" si="122"/>
        <v>107.30995868919801</v>
      </c>
      <c r="K111" s="203">
        <f>K108/((1+$G$122)^(K110))</f>
        <v>170.22785191049843</v>
      </c>
      <c r="L111" s="203">
        <f>L108/((1+$G$122)^(L110))</f>
        <v>201.64882186588264</v>
      </c>
      <c r="M111" s="203">
        <f>M108/((1+$G$122)^(M110))</f>
        <v>195.27797869137612</v>
      </c>
      <c r="N111" s="203">
        <f t="shared" ref="N111:P111" si="123">N108/((1+$G$122)^(N110))</f>
        <v>176.40654734765289</v>
      </c>
      <c r="O111" s="203">
        <f t="shared" si="123"/>
        <v>173.51412285938599</v>
      </c>
      <c r="P111" s="203">
        <f t="shared" si="123"/>
        <v>166.39086364917293</v>
      </c>
      <c r="Q111" s="203">
        <f>Q108/((1+$G$122)^(Q110))</f>
        <v>159.54278690651381</v>
      </c>
      <c r="R111" s="460">
        <f>R108/((1+$G$122)^(R110))</f>
        <v>150.87850364565935</v>
      </c>
      <c r="S111" s="460">
        <f>S108/((1+$G$122)^(S110))</f>
        <v>141.28523796829967</v>
      </c>
      <c r="T111" s="460">
        <f t="shared" ref="T111:V111" si="124">T108/((1+$G$122)^(T110))</f>
        <v>132.30171704808592</v>
      </c>
      <c r="U111" s="460">
        <f>U108/((1+$G$122)^(U110))</f>
        <v>82.223437303516533</v>
      </c>
      <c r="V111" s="460">
        <f t="shared" si="124"/>
        <v>26.031039312056894</v>
      </c>
      <c r="W111" s="460">
        <f>W108/((1+$G$122)^(W110))</f>
        <v>6.9703860855813407</v>
      </c>
      <c r="X111" s="148">
        <f>X108/((1+$G$122)^(X110))</f>
        <v>13.578674192690922</v>
      </c>
    </row>
    <row r="113" spans="1:23">
      <c r="A113" s="204" t="s">
        <v>26</v>
      </c>
      <c r="B113" s="205">
        <v>1</v>
      </c>
      <c r="C113" s="205">
        <v>1</v>
      </c>
      <c r="D113" s="205">
        <v>1</v>
      </c>
      <c r="E113" s="205">
        <v>1</v>
      </c>
      <c r="F113" s="205">
        <v>1</v>
      </c>
      <c r="G113" s="205">
        <v>1</v>
      </c>
      <c r="H113" s="205">
        <v>1</v>
      </c>
      <c r="I113" s="205">
        <v>1</v>
      </c>
      <c r="J113" s="205">
        <v>1</v>
      </c>
      <c r="K113" s="205">
        <v>1</v>
      </c>
      <c r="L113" s="205">
        <v>1</v>
      </c>
      <c r="M113" s="205">
        <v>1</v>
      </c>
      <c r="N113" s="205">
        <v>1</v>
      </c>
      <c r="O113" s="205">
        <v>1</v>
      </c>
      <c r="P113" s="205">
        <v>1</v>
      </c>
      <c r="Q113" s="445">
        <v>1</v>
      </c>
      <c r="R113" s="445">
        <v>1</v>
      </c>
      <c r="S113" s="445">
        <v>1</v>
      </c>
      <c r="T113" s="445">
        <v>1</v>
      </c>
      <c r="U113" s="445">
        <v>1</v>
      </c>
      <c r="V113" s="445">
        <v>1</v>
      </c>
      <c r="W113" s="445">
        <v>1</v>
      </c>
    </row>
    <row r="114" spans="1:23">
      <c r="A114" s="43" t="s">
        <v>27</v>
      </c>
      <c r="B114" s="206">
        <f>EXPENSES!Z76</f>
        <v>0</v>
      </c>
      <c r="C114" s="206">
        <f>EXPENSES!AA76</f>
        <v>0</v>
      </c>
      <c r="D114" s="206">
        <f>EXPENSES!AB76</f>
        <v>0</v>
      </c>
      <c r="E114" s="206">
        <f>EXPENSES!AC76</f>
        <v>0.03</v>
      </c>
      <c r="F114" s="206">
        <f>EXPENSES!AD76</f>
        <v>0.03</v>
      </c>
      <c r="G114" s="206">
        <f>EXPENSES!AE76</f>
        <v>0.03</v>
      </c>
      <c r="H114" s="206">
        <f>EXPENSES!AF76</f>
        <v>0.03</v>
      </c>
      <c r="I114" s="206">
        <f>EXPENSES!AG76</f>
        <v>0.03</v>
      </c>
      <c r="J114" s="206">
        <f>EXPENSES!AH76</f>
        <v>0.03</v>
      </c>
      <c r="K114" s="206">
        <f>EXPENSES!AI76</f>
        <v>0.03</v>
      </c>
      <c r="L114" s="206">
        <f>EXPENSES!AJ76</f>
        <v>0.03</v>
      </c>
      <c r="M114" s="206">
        <f>EXPENSES!AK76</f>
        <v>0.03</v>
      </c>
      <c r="N114" s="206">
        <f>EXPENSES!AL76</f>
        <v>0.03</v>
      </c>
      <c r="O114" s="206">
        <f>EXPENSES!AM76</f>
        <v>0.03</v>
      </c>
      <c r="P114" s="206">
        <f>EXPENSES!AN76</f>
        <v>0.03</v>
      </c>
      <c r="Q114" s="206">
        <f>EXPENSES!AO76</f>
        <v>0.03</v>
      </c>
      <c r="R114" s="207">
        <f t="shared" ref="R114" si="125">Q114</f>
        <v>0.03</v>
      </c>
      <c r="S114" s="207">
        <f t="shared" ref="S114" si="126">R114</f>
        <v>0.03</v>
      </c>
      <c r="T114" s="207">
        <f t="shared" ref="T114" si="127">S114</f>
        <v>0.03</v>
      </c>
      <c r="U114" s="207">
        <f t="shared" ref="U114" si="128">T114</f>
        <v>0.03</v>
      </c>
      <c r="V114" s="207">
        <f t="shared" ref="V114" si="129">U114</f>
        <v>0.03</v>
      </c>
      <c r="W114" s="207">
        <f t="shared" ref="W114" si="130">V114</f>
        <v>0.03</v>
      </c>
    </row>
    <row r="115" spans="1:23">
      <c r="A115" s="43" t="s">
        <v>42</v>
      </c>
      <c r="B115" s="208">
        <f t="shared" ref="B115:K115" si="131">B113-B114</f>
        <v>1</v>
      </c>
      <c r="C115" s="208">
        <f t="shared" si="131"/>
        <v>1</v>
      </c>
      <c r="D115" s="208">
        <f t="shared" si="131"/>
        <v>1</v>
      </c>
      <c r="E115" s="208">
        <f t="shared" si="131"/>
        <v>0.97</v>
      </c>
      <c r="F115" s="208">
        <f t="shared" si="131"/>
        <v>0.97</v>
      </c>
      <c r="G115" s="208">
        <f t="shared" si="131"/>
        <v>0.97</v>
      </c>
      <c r="H115" s="208">
        <f t="shared" si="131"/>
        <v>0.97</v>
      </c>
      <c r="I115" s="208">
        <f t="shared" si="131"/>
        <v>0.97</v>
      </c>
      <c r="J115" s="208">
        <f t="shared" si="131"/>
        <v>0.97</v>
      </c>
      <c r="K115" s="208">
        <f t="shared" si="131"/>
        <v>0.97</v>
      </c>
      <c r="L115" s="208">
        <f t="shared" ref="L115:Q115" si="132">L113-L114</f>
        <v>0.97</v>
      </c>
      <c r="M115" s="208">
        <f t="shared" si="132"/>
        <v>0.97</v>
      </c>
      <c r="N115" s="208">
        <f t="shared" si="132"/>
        <v>0.97</v>
      </c>
      <c r="O115" s="208">
        <f t="shared" si="132"/>
        <v>0.97</v>
      </c>
      <c r="P115" s="208">
        <f t="shared" si="132"/>
        <v>0.97</v>
      </c>
      <c r="Q115" s="208">
        <f t="shared" si="132"/>
        <v>0.97</v>
      </c>
      <c r="R115" s="208">
        <f t="shared" ref="R115:W115" si="133">R113-R114</f>
        <v>0.97</v>
      </c>
      <c r="S115" s="208">
        <f t="shared" si="133"/>
        <v>0.97</v>
      </c>
      <c r="T115" s="208">
        <f t="shared" si="133"/>
        <v>0.97</v>
      </c>
      <c r="U115" s="208">
        <f t="shared" si="133"/>
        <v>0.97</v>
      </c>
      <c r="V115" s="208">
        <f t="shared" si="133"/>
        <v>0.97</v>
      </c>
      <c r="W115" s="208">
        <f t="shared" si="133"/>
        <v>0.97</v>
      </c>
    </row>
    <row r="116" spans="1:23">
      <c r="A116" s="43" t="s">
        <v>96</v>
      </c>
      <c r="B116" s="209">
        <f t="shared" ref="B116:K116" si="134">IFERROR(B104/B100,0)</f>
        <v>0</v>
      </c>
      <c r="C116" s="209">
        <f t="shared" si="134"/>
        <v>0</v>
      </c>
      <c r="D116" s="209">
        <f t="shared" si="134"/>
        <v>0</v>
      </c>
      <c r="E116" s="209">
        <f t="shared" si="134"/>
        <v>0</v>
      </c>
      <c r="F116" s="209">
        <f t="shared" si="134"/>
        <v>0</v>
      </c>
      <c r="G116" s="209">
        <f t="shared" si="134"/>
        <v>0</v>
      </c>
      <c r="H116" s="209">
        <f t="shared" si="134"/>
        <v>1.7293687499999999</v>
      </c>
      <c r="I116" s="209">
        <f t="shared" si="134"/>
        <v>0.71249992500000003</v>
      </c>
      <c r="J116" s="209">
        <f t="shared" si="134"/>
        <v>0.40770829041666667</v>
      </c>
      <c r="K116" s="209">
        <f t="shared" si="134"/>
        <v>0.29072737324326919</v>
      </c>
      <c r="L116" s="209">
        <f t="shared" ref="L116:Q116" si="135">IFERROR(L104/L100,0)</f>
        <v>0.23592966834711365</v>
      </c>
      <c r="M116" s="209">
        <f t="shared" si="135"/>
        <v>0.21103287966101034</v>
      </c>
      <c r="N116" s="209">
        <f t="shared" si="135"/>
        <v>0.19666254547457013</v>
      </c>
      <c r="O116" s="209">
        <f t="shared" si="135"/>
        <v>0.18905826038288673</v>
      </c>
      <c r="P116" s="209">
        <f t="shared" si="135"/>
        <v>0.18545715066130794</v>
      </c>
      <c r="Q116" s="209">
        <f t="shared" si="135"/>
        <v>0.18192463350585444</v>
      </c>
      <c r="R116" s="209">
        <f t="shared" ref="R116:W116" si="136">IFERROR(R104/R100,0)</f>
        <v>0.1801753581836828</v>
      </c>
      <c r="S116" s="209">
        <f t="shared" si="136"/>
        <v>0.1801753581836828</v>
      </c>
      <c r="T116" s="209">
        <f t="shared" si="136"/>
        <v>0.1801753581836828</v>
      </c>
      <c r="U116" s="209">
        <f t="shared" si="136"/>
        <v>0.13859642937206368</v>
      </c>
      <c r="V116" s="209">
        <f t="shared" si="136"/>
        <v>0</v>
      </c>
      <c r="W116" s="209">
        <f t="shared" si="136"/>
        <v>0</v>
      </c>
    </row>
    <row r="117" spans="1:23">
      <c r="A117" s="43" t="s">
        <v>30</v>
      </c>
      <c r="B117" s="209">
        <f t="shared" ref="B117:K117" si="137">IFERROR(B105/B100,0)</f>
        <v>0</v>
      </c>
      <c r="C117" s="209">
        <f t="shared" si="137"/>
        <v>0</v>
      </c>
      <c r="D117" s="209">
        <f t="shared" si="137"/>
        <v>0</v>
      </c>
      <c r="E117" s="209">
        <f t="shared" si="137"/>
        <v>0</v>
      </c>
      <c r="F117" s="209">
        <f t="shared" si="137"/>
        <v>0</v>
      </c>
      <c r="G117" s="209">
        <f t="shared" si="137"/>
        <v>0</v>
      </c>
      <c r="H117" s="209">
        <f t="shared" si="137"/>
        <v>0.15</v>
      </c>
      <c r="I117" s="209">
        <f t="shared" si="137"/>
        <v>0.02</v>
      </c>
      <c r="J117" s="209">
        <f t="shared" si="137"/>
        <v>0</v>
      </c>
      <c r="K117" s="209">
        <f t="shared" si="137"/>
        <v>0</v>
      </c>
      <c r="L117" s="209">
        <f t="shared" ref="L117:Q117" si="138">IFERROR(L105/L100,0)</f>
        <v>0</v>
      </c>
      <c r="M117" s="209">
        <f t="shared" si="138"/>
        <v>0</v>
      </c>
      <c r="N117" s="209">
        <f t="shared" si="138"/>
        <v>0</v>
      </c>
      <c r="O117" s="209">
        <f t="shared" si="138"/>
        <v>0</v>
      </c>
      <c r="P117" s="209">
        <f t="shared" si="138"/>
        <v>0</v>
      </c>
      <c r="Q117" s="209">
        <f t="shared" si="138"/>
        <v>0</v>
      </c>
      <c r="R117" s="209">
        <f t="shared" ref="R117:W117" si="139">IFERROR(R105/R100,0)</f>
        <v>1.5504777409539314E-3</v>
      </c>
      <c r="S117" s="209">
        <f t="shared" si="139"/>
        <v>1.5053181951009042E-3</v>
      </c>
      <c r="T117" s="209">
        <f t="shared" si="139"/>
        <v>1.4614739758261207E-3</v>
      </c>
      <c r="U117" s="209">
        <f t="shared" si="139"/>
        <v>2.2484215012709549E-3</v>
      </c>
      <c r="V117" s="209">
        <f t="shared" si="139"/>
        <v>7.4947383375698487E-3</v>
      </c>
      <c r="W117" s="209">
        <f t="shared" si="139"/>
        <v>2.4982461125232829E-2</v>
      </c>
    </row>
    <row r="118" spans="1:23">
      <c r="A118" s="39" t="s">
        <v>43</v>
      </c>
      <c r="B118" s="210">
        <f t="shared" ref="B118:K118" si="140">IFERROR(B106/B100,0)</f>
        <v>0</v>
      </c>
      <c r="C118" s="210">
        <f t="shared" si="140"/>
        <v>0</v>
      </c>
      <c r="D118" s="210">
        <f t="shared" si="140"/>
        <v>0</v>
      </c>
      <c r="E118" s="210">
        <f t="shared" si="140"/>
        <v>0</v>
      </c>
      <c r="F118" s="210">
        <f t="shared" si="140"/>
        <v>0</v>
      </c>
      <c r="G118" s="210">
        <f t="shared" si="140"/>
        <v>0</v>
      </c>
      <c r="H118" s="210">
        <f t="shared" si="140"/>
        <v>-0.90936874999999984</v>
      </c>
      <c r="I118" s="210">
        <f t="shared" si="140"/>
        <v>0.23750007499999992</v>
      </c>
      <c r="J118" s="210">
        <f t="shared" si="140"/>
        <v>0.5622917095833333</v>
      </c>
      <c r="K118" s="210">
        <f t="shared" si="140"/>
        <v>0.67927262675673072</v>
      </c>
      <c r="L118" s="210">
        <f t="shared" ref="L118:Q118" si="141">IFERROR(L106/L100,0)</f>
        <v>0.73407033165288638</v>
      </c>
      <c r="M118" s="210">
        <f t="shared" si="141"/>
        <v>0.75896712033898961</v>
      </c>
      <c r="N118" s="210">
        <f t="shared" si="141"/>
        <v>0.7733374545254299</v>
      </c>
      <c r="O118" s="210">
        <f t="shared" si="141"/>
        <v>0.78094173961711322</v>
      </c>
      <c r="P118" s="210">
        <f t="shared" si="141"/>
        <v>0.78454284933869212</v>
      </c>
      <c r="Q118" s="210">
        <f t="shared" si="141"/>
        <v>0.78807536649414567</v>
      </c>
      <c r="R118" s="210">
        <f t="shared" ref="R118:W118" si="142">IFERROR(R106/R100,0)</f>
        <v>0.78827416407536322</v>
      </c>
      <c r="S118" s="210">
        <f t="shared" si="142"/>
        <v>0.78831932362121626</v>
      </c>
      <c r="T118" s="210">
        <f t="shared" si="142"/>
        <v>0.78836316784049099</v>
      </c>
      <c r="U118" s="210">
        <f t="shared" si="142"/>
        <v>0.82915514912666533</v>
      </c>
      <c r="V118" s="210">
        <f t="shared" si="142"/>
        <v>0.96250526166243022</v>
      </c>
      <c r="W118" s="210">
        <f t="shared" si="142"/>
        <v>0.94501753887476714</v>
      </c>
    </row>
    <row r="119" spans="1:23" ht="15" thickBot="1"/>
    <row r="120" spans="1:23">
      <c r="A120" s="119" t="s">
        <v>434</v>
      </c>
      <c r="B120" s="38">
        <f>SUM(B111:W111)</f>
        <v>1598.3204528781055</v>
      </c>
      <c r="D120" s="204" t="s">
        <v>40</v>
      </c>
      <c r="E120" s="211"/>
      <c r="F120" s="211"/>
      <c r="G120" s="212">
        <f>$N$5</f>
        <v>54</v>
      </c>
    </row>
    <row r="121" spans="1:23">
      <c r="A121" s="7" t="s">
        <v>81</v>
      </c>
      <c r="B121" s="10">
        <f>X111</f>
        <v>13.578674192690922</v>
      </c>
      <c r="D121" s="43" t="s">
        <v>82</v>
      </c>
      <c r="G121" s="213">
        <v>-0.25</v>
      </c>
    </row>
    <row r="122" spans="1:23">
      <c r="A122" s="7" t="s">
        <v>108</v>
      </c>
      <c r="B122" s="10">
        <f>B121+B120</f>
        <v>1611.8991270707963</v>
      </c>
      <c r="D122" s="43" t="s">
        <v>110</v>
      </c>
      <c r="G122" s="214">
        <f>$N$4</f>
        <v>0.1</v>
      </c>
    </row>
    <row r="123" spans="1:23">
      <c r="A123" s="7" t="s">
        <v>87</v>
      </c>
      <c r="B123" s="135">
        <v>0.35</v>
      </c>
      <c r="D123" s="162" t="s">
        <v>38</v>
      </c>
      <c r="E123" s="110"/>
      <c r="F123" s="110"/>
      <c r="G123" s="215">
        <f>$N$6</f>
        <v>0.25</v>
      </c>
    </row>
    <row r="124" spans="1:23" ht="15" thickBot="1">
      <c r="A124" s="7" t="s">
        <v>88</v>
      </c>
      <c r="B124" s="10">
        <f>B123*B122</f>
        <v>564.16469447477868</v>
      </c>
    </row>
    <row r="125" spans="1:23" ht="15" thickBot="1">
      <c r="A125" s="216" t="s">
        <v>89</v>
      </c>
      <c r="B125" s="217">
        <f>B124/G120</f>
        <v>10.44749434212553</v>
      </c>
    </row>
    <row r="132" spans="1:18">
      <c r="A132" s="32" t="s">
        <v>344</v>
      </c>
      <c r="B132" s="134" t="s">
        <v>2</v>
      </c>
      <c r="C132" s="134" t="s">
        <v>3</v>
      </c>
      <c r="D132" s="134" t="s">
        <v>4</v>
      </c>
      <c r="E132" s="134" t="s">
        <v>5</v>
      </c>
      <c r="F132" s="134" t="s">
        <v>6</v>
      </c>
      <c r="G132" s="134" t="s">
        <v>103</v>
      </c>
      <c r="H132" s="134" t="s">
        <v>104</v>
      </c>
      <c r="I132" s="33" t="s">
        <v>105</v>
      </c>
      <c r="J132" s="134" t="s">
        <v>106</v>
      </c>
      <c r="K132" s="134" t="s">
        <v>107</v>
      </c>
      <c r="L132" s="149" t="s">
        <v>148</v>
      </c>
      <c r="M132" s="149" t="s">
        <v>270</v>
      </c>
      <c r="N132" s="149" t="s">
        <v>283</v>
      </c>
      <c r="O132" s="149" t="s">
        <v>284</v>
      </c>
      <c r="P132" s="149" t="s">
        <v>285</v>
      </c>
      <c r="Q132" s="149" t="s">
        <v>360</v>
      </c>
      <c r="R132" s="34" t="s">
        <v>78</v>
      </c>
    </row>
    <row r="133" spans="1:18">
      <c r="A133" s="183" t="s">
        <v>26</v>
      </c>
      <c r="B133" s="127">
        <f>REVENUES!K18</f>
        <v>0</v>
      </c>
      <c r="C133" s="127">
        <f>REVENUES!L18</f>
        <v>0</v>
      </c>
      <c r="D133" s="127">
        <f>REVENUES!M18</f>
        <v>0</v>
      </c>
      <c r="E133" s="127">
        <f>REVENUES!N18</f>
        <v>0</v>
      </c>
      <c r="F133" s="127">
        <f>REVENUES!O18</f>
        <v>0</v>
      </c>
      <c r="G133" s="127">
        <f>REVENUES!P18</f>
        <v>118.42567372011837</v>
      </c>
      <c r="H133" s="127">
        <f>REVENUES!Q18</f>
        <v>373.41391309059117</v>
      </c>
      <c r="I133" s="127">
        <f>REVENUES!R18</f>
        <v>654.1278222564431</v>
      </c>
      <c r="J133" s="127">
        <f>REVENUES!S18</f>
        <v>825.02525709916119</v>
      </c>
      <c r="K133" s="127">
        <f>REVENUES!T18</f>
        <v>1011.666595886419</v>
      </c>
      <c r="L133" s="127">
        <f>REVENUES!U18</f>
        <v>1215.2139149787668</v>
      </c>
      <c r="M133" s="127">
        <f>REVENUES!V18</f>
        <v>1436.9069085057363</v>
      </c>
      <c r="N133" s="127">
        <f>REVENUES!W18</f>
        <v>1594.1643954174519</v>
      </c>
      <c r="O133" s="127">
        <f>REVENUES!X18</f>
        <v>1763.7331450563295</v>
      </c>
      <c r="P133" s="127">
        <f>REVENUES!Y18</f>
        <v>1946.4603082170279</v>
      </c>
      <c r="Q133" s="127">
        <f>REVENUES!Z18</f>
        <v>2004.8541174635388</v>
      </c>
      <c r="R133" s="184"/>
    </row>
    <row r="134" spans="1:18">
      <c r="A134" s="185" t="s">
        <v>27</v>
      </c>
      <c r="B134" s="186">
        <f>EXPENSES!Z84</f>
        <v>0</v>
      </c>
      <c r="C134" s="186">
        <f>EXPENSES!AA84</f>
        <v>0</v>
      </c>
      <c r="D134" s="186">
        <f>EXPENSES!AB84</f>
        <v>0</v>
      </c>
      <c r="E134" s="186">
        <f>EXPENSES!AC84</f>
        <v>0</v>
      </c>
      <c r="F134" s="186">
        <f>EXPENSES!AD84</f>
        <v>0</v>
      </c>
      <c r="G134" s="186">
        <f>EXPENSES!AE84</f>
        <v>7.1055404232071018</v>
      </c>
      <c r="H134" s="186">
        <f>EXPENSES!AF84</f>
        <v>22.404834785435469</v>
      </c>
      <c r="I134" s="186">
        <f>EXPENSES!AG84</f>
        <v>39.247669335386583</v>
      </c>
      <c r="J134" s="186">
        <f>EXPENSES!AH84</f>
        <v>49.50151542594967</v>
      </c>
      <c r="K134" s="186">
        <f>EXPENSES!AI84</f>
        <v>60.699995753185142</v>
      </c>
      <c r="L134" s="186">
        <f>EXPENSES!AJ84</f>
        <v>72.912834898726004</v>
      </c>
      <c r="M134" s="186">
        <f>EXPENSES!AK84</f>
        <v>86.21441451034417</v>
      </c>
      <c r="N134" s="186">
        <f>EXPENSES!AL84</f>
        <v>95.649863725047112</v>
      </c>
      <c r="O134" s="186">
        <f>EXPENSES!AM84</f>
        <v>105.82398870337977</v>
      </c>
      <c r="P134" s="186">
        <f>EXPENSES!AN84</f>
        <v>116.78761849302167</v>
      </c>
      <c r="Q134" s="186">
        <f>EXPENSES!AO84</f>
        <v>120.29124704781232</v>
      </c>
      <c r="R134" s="163"/>
    </row>
    <row r="135" spans="1:18">
      <c r="A135" s="185" t="s">
        <v>28</v>
      </c>
      <c r="B135" s="186">
        <f t="shared" ref="B135:K135" si="143">B133-B134</f>
        <v>0</v>
      </c>
      <c r="C135" s="186">
        <f t="shared" si="143"/>
        <v>0</v>
      </c>
      <c r="D135" s="186">
        <f t="shared" si="143"/>
        <v>0</v>
      </c>
      <c r="E135" s="186">
        <f t="shared" si="143"/>
        <v>0</v>
      </c>
      <c r="F135" s="186">
        <f t="shared" si="143"/>
        <v>0</v>
      </c>
      <c r="G135" s="186">
        <f t="shared" si="143"/>
        <v>111.32013329691127</v>
      </c>
      <c r="H135" s="169">
        <f t="shared" si="143"/>
        <v>351.0090783051557</v>
      </c>
      <c r="I135" s="187">
        <f t="shared" si="143"/>
        <v>614.88015292105649</v>
      </c>
      <c r="J135" s="169">
        <f t="shared" si="143"/>
        <v>775.52374167321148</v>
      </c>
      <c r="K135" s="169">
        <f t="shared" si="143"/>
        <v>950.9666001332339</v>
      </c>
      <c r="L135" s="169">
        <f t="shared" ref="L135:Q135" si="144">L133-L134</f>
        <v>1142.3010800800407</v>
      </c>
      <c r="M135" s="169">
        <f t="shared" si="144"/>
        <v>1350.6924939953922</v>
      </c>
      <c r="N135" s="169">
        <f t="shared" si="144"/>
        <v>1498.5145316924049</v>
      </c>
      <c r="O135" s="169">
        <f t="shared" si="144"/>
        <v>1657.9091563529496</v>
      </c>
      <c r="P135" s="169">
        <f t="shared" si="144"/>
        <v>1829.6726897240062</v>
      </c>
      <c r="Q135" s="169">
        <f t="shared" si="144"/>
        <v>1884.5628704157266</v>
      </c>
      <c r="R135" s="163"/>
    </row>
    <row r="136" spans="1:18">
      <c r="A136" s="185"/>
      <c r="B136" s="186"/>
      <c r="C136" s="186"/>
      <c r="D136" s="186"/>
      <c r="E136" s="186"/>
      <c r="F136" s="186"/>
      <c r="G136" s="171"/>
      <c r="H136" s="167"/>
      <c r="I136" s="188"/>
      <c r="J136" s="167"/>
      <c r="K136" s="167"/>
      <c r="L136" s="167"/>
      <c r="M136" s="167"/>
      <c r="N136" s="167"/>
      <c r="O136" s="167"/>
      <c r="P136" s="167"/>
      <c r="Q136" s="167"/>
      <c r="R136" s="163"/>
    </row>
    <row r="137" spans="1:18">
      <c r="A137" s="185" t="s">
        <v>96</v>
      </c>
      <c r="B137" s="186">
        <f>EXPENSES!Z62+EXPENSES!Z55</f>
        <v>0</v>
      </c>
      <c r="C137" s="186">
        <f>EXPENSES!AA62+EXPENSES!AA55</f>
        <v>0</v>
      </c>
      <c r="D137" s="186">
        <f>EXPENSES!AB62+EXPENSES!AB55</f>
        <v>0</v>
      </c>
      <c r="E137" s="186">
        <f>EXPENSES!AC62+EXPENSES!AC55</f>
        <v>0</v>
      </c>
      <c r="F137" s="186">
        <f>EXPENSES!AD62+EXPENSES!AD55</f>
        <v>0</v>
      </c>
      <c r="G137" s="186">
        <f>EXPENSES!AE62+EXPENSES!AE55</f>
        <v>78.325000000000003</v>
      </c>
      <c r="H137" s="186">
        <f>EXPENSES!AF62+EXPENSES!AF55</f>
        <v>81.674750000000003</v>
      </c>
      <c r="I137" s="186">
        <f>EXPENSES!AG62+EXPENSES!AG55</f>
        <v>85.174992500000002</v>
      </c>
      <c r="J137" s="186">
        <f>EXPENSES!AH62+EXPENSES!AH55</f>
        <v>88.832742275000001</v>
      </c>
      <c r="K137" s="186">
        <f>EXPENSES!AI62+EXPENSES!AI55</f>
        <v>92.655349543249997</v>
      </c>
      <c r="L137" s="186">
        <f>EXPENSES!AJ62+EXPENSES!AJ55</f>
        <v>96.650516279547503</v>
      </c>
      <c r="M137" s="186">
        <f>EXPENSES!AK62+EXPENSES!AK55</f>
        <v>100.82631333043395</v>
      </c>
      <c r="N137" s="186">
        <f>EXPENSES!AL62+EXPENSES!AL55</f>
        <v>105.19119837097197</v>
      </c>
      <c r="O137" s="186">
        <f>EXPENSES!AM62+EXPENSES!AM55</f>
        <v>109.75403474475739</v>
      </c>
      <c r="P137" s="186">
        <f>EXPENSES!AN62+EXPENSES!AN55</f>
        <v>114.52411123088916</v>
      </c>
      <c r="Q137" s="186">
        <f>EXPENSES!AO62+EXPENSES!AO55</f>
        <v>119.51116278379436</v>
      </c>
      <c r="R137" s="163"/>
    </row>
    <row r="138" spans="1:18">
      <c r="A138" s="189" t="s">
        <v>30</v>
      </c>
      <c r="B138" s="190">
        <f>EXPENSES!Z11</f>
        <v>10</v>
      </c>
      <c r="C138" s="190">
        <f>EXPENSES!AA11</f>
        <v>10</v>
      </c>
      <c r="D138" s="190">
        <f>EXPENSES!AB11</f>
        <v>30</v>
      </c>
      <c r="E138" s="190">
        <f>EXPENSES!AC11</f>
        <v>30</v>
      </c>
      <c r="F138" s="190">
        <f>EXPENSES!AD11</f>
        <v>40</v>
      </c>
      <c r="G138" s="190">
        <f>EXPENSES!AE11</f>
        <v>10</v>
      </c>
      <c r="H138" s="190">
        <f>EXPENSES!AF11</f>
        <v>5</v>
      </c>
      <c r="I138" s="190">
        <f>EXPENSES!AG11</f>
        <v>1</v>
      </c>
      <c r="J138" s="190">
        <f>EXPENSES!AH11</f>
        <v>1</v>
      </c>
      <c r="K138" s="190">
        <f>EXPENSES!AI11</f>
        <v>1</v>
      </c>
      <c r="L138" s="190">
        <f>EXPENSES!AJ11</f>
        <v>1</v>
      </c>
      <c r="M138" s="190">
        <f>EXPENSES!AK11</f>
        <v>1</v>
      </c>
      <c r="N138" s="190">
        <f>EXPENSES!AL11</f>
        <v>1</v>
      </c>
      <c r="O138" s="190">
        <f>EXPENSES!AM11</f>
        <v>1</v>
      </c>
      <c r="P138" s="190">
        <f>EXPENSES!AN11</f>
        <v>1</v>
      </c>
      <c r="Q138" s="190">
        <f>EXPENSES!AO11</f>
        <v>1</v>
      </c>
      <c r="R138" s="163"/>
    </row>
    <row r="139" spans="1:18">
      <c r="A139" s="183" t="s">
        <v>31</v>
      </c>
      <c r="B139" s="127">
        <f t="shared" ref="B139:K139" si="145">B133-B134-B137-B138</f>
        <v>-10</v>
      </c>
      <c r="C139" s="127">
        <f t="shared" si="145"/>
        <v>-10</v>
      </c>
      <c r="D139" s="127">
        <f t="shared" si="145"/>
        <v>-30</v>
      </c>
      <c r="E139" s="127">
        <f t="shared" si="145"/>
        <v>-30</v>
      </c>
      <c r="F139" s="127">
        <f t="shared" si="145"/>
        <v>-40</v>
      </c>
      <c r="G139" s="127">
        <f t="shared" si="145"/>
        <v>22.995133296911263</v>
      </c>
      <c r="H139" s="164">
        <f t="shared" si="145"/>
        <v>264.33432830515568</v>
      </c>
      <c r="I139" s="165">
        <f t="shared" si="145"/>
        <v>528.70516042105646</v>
      </c>
      <c r="J139" s="164">
        <f t="shared" si="145"/>
        <v>685.69099939821149</v>
      </c>
      <c r="K139" s="164">
        <f t="shared" si="145"/>
        <v>857.31125058998396</v>
      </c>
      <c r="L139" s="164">
        <f t="shared" ref="L139:Q139" si="146">L133-L134-L137-L138</f>
        <v>1044.6505638004933</v>
      </c>
      <c r="M139" s="164">
        <f t="shared" si="146"/>
        <v>1248.8661806649582</v>
      </c>
      <c r="N139" s="164">
        <f t="shared" si="146"/>
        <v>1392.323333321433</v>
      </c>
      <c r="O139" s="164">
        <f t="shared" si="146"/>
        <v>1547.1551216081923</v>
      </c>
      <c r="P139" s="164">
        <f t="shared" si="146"/>
        <v>1714.1485784931169</v>
      </c>
      <c r="Q139" s="164">
        <f t="shared" si="146"/>
        <v>1764.0517076319322</v>
      </c>
      <c r="R139" s="163"/>
    </row>
    <row r="140" spans="1:18">
      <c r="A140" s="191" t="s">
        <v>37</v>
      </c>
      <c r="B140" s="192">
        <f>B139*'INCOME STATEMENT'!Z149</f>
        <v>0</v>
      </c>
      <c r="C140" s="192">
        <f>C139*'INCOME STATEMENT'!AA149</f>
        <v>0</v>
      </c>
      <c r="D140" s="192">
        <f>D139*'INCOME STATEMENT'!AB149</f>
        <v>0</v>
      </c>
      <c r="E140" s="192">
        <f>E139*'INCOME STATEMENT'!AC149</f>
        <v>0</v>
      </c>
      <c r="F140" s="192">
        <f>F139*'INCOME STATEMENT'!AD149</f>
        <v>0</v>
      </c>
      <c r="G140" s="192">
        <f>G139*'INCOME STATEMENT'!AE149</f>
        <v>0</v>
      </c>
      <c r="H140" s="192">
        <f>H139*'INCOME STATEMENT'!AF149</f>
        <v>0</v>
      </c>
      <c r="I140" s="192">
        <f>I139*'INCOME STATEMENT'!AG149</f>
        <v>0</v>
      </c>
      <c r="J140" s="192">
        <f>J139*'INCOME STATEMENT'!AH149</f>
        <v>0</v>
      </c>
      <c r="K140" s="192">
        <f>K139*'INCOME STATEMENT'!AI149</f>
        <v>0</v>
      </c>
      <c r="L140" s="510">
        <f>L139*0.05</f>
        <v>52.232528190024667</v>
      </c>
      <c r="M140" s="510">
        <f>M139*0.15</f>
        <v>187.32992709974371</v>
      </c>
      <c r="N140" s="510">
        <f>N139*$N$6</f>
        <v>348.08083333035825</v>
      </c>
      <c r="O140" s="510">
        <f t="shared" ref="O140" si="147">O139*$N$6</f>
        <v>386.78878040204808</v>
      </c>
      <c r="P140" s="510">
        <f t="shared" ref="P140" si="148">P139*$N$6</f>
        <v>428.53714462327923</v>
      </c>
      <c r="Q140" s="510">
        <f t="shared" ref="Q140" si="149">Q139*$N$6</f>
        <v>441.01292690798306</v>
      </c>
      <c r="R140" s="194"/>
    </row>
    <row r="141" spans="1:18">
      <c r="A141" s="195" t="s">
        <v>84</v>
      </c>
      <c r="B141" s="36">
        <f t="shared" ref="B141:K141" si="150">B139-B140</f>
        <v>-10</v>
      </c>
      <c r="C141" s="36">
        <f t="shared" si="150"/>
        <v>-10</v>
      </c>
      <c r="D141" s="36">
        <f t="shared" si="150"/>
        <v>-30</v>
      </c>
      <c r="E141" s="36">
        <f t="shared" si="150"/>
        <v>-30</v>
      </c>
      <c r="F141" s="36">
        <f t="shared" si="150"/>
        <v>-40</v>
      </c>
      <c r="G141" s="36">
        <f t="shared" si="150"/>
        <v>22.995133296911263</v>
      </c>
      <c r="H141" s="36">
        <f t="shared" si="150"/>
        <v>264.33432830515568</v>
      </c>
      <c r="I141" s="196">
        <f t="shared" si="150"/>
        <v>528.70516042105646</v>
      </c>
      <c r="J141" s="147">
        <f t="shared" si="150"/>
        <v>685.69099939821149</v>
      </c>
      <c r="K141" s="147">
        <f t="shared" si="150"/>
        <v>857.31125058998396</v>
      </c>
      <c r="L141" s="147">
        <f t="shared" ref="L141:Q141" si="151">L139-L140</f>
        <v>992.41803561046856</v>
      </c>
      <c r="M141" s="147">
        <f t="shared" si="151"/>
        <v>1061.5362535652143</v>
      </c>
      <c r="N141" s="147">
        <f t="shared" si="151"/>
        <v>1044.2424999910747</v>
      </c>
      <c r="O141" s="147">
        <f t="shared" si="151"/>
        <v>1160.3663412061442</v>
      </c>
      <c r="P141" s="147">
        <f t="shared" si="151"/>
        <v>1285.6114338698376</v>
      </c>
      <c r="Q141" s="147">
        <f t="shared" si="151"/>
        <v>1323.0387807239492</v>
      </c>
      <c r="R141" s="36">
        <f>(Q141*(1+$G$154))/($G$155-$G$154)</f>
        <v>2835.0831015513199</v>
      </c>
    </row>
    <row r="142" spans="1:18">
      <c r="A142" s="35" t="s">
        <v>99</v>
      </c>
      <c r="B142" s="197"/>
      <c r="C142" s="197">
        <f t="shared" ref="C142" si="152">C141/B141-1</f>
        <v>0</v>
      </c>
      <c r="D142" s="197">
        <f t="shared" ref="D142" si="153">D141/C141-1</f>
        <v>2</v>
      </c>
      <c r="E142" s="197">
        <f t="shared" ref="E142" si="154">E141/D141-1</f>
        <v>0</v>
      </c>
      <c r="F142" s="197">
        <f t="shared" ref="F142" si="155">F141/E141-1</f>
        <v>0.33333333333333326</v>
      </c>
      <c r="G142" s="197">
        <f t="shared" ref="G142" si="156">G141/F141-1</f>
        <v>-1.5748783324227815</v>
      </c>
      <c r="H142" s="197">
        <f t="shared" ref="H142" si="157">H141/G141-1</f>
        <v>10.495229224901315</v>
      </c>
      <c r="I142" s="198">
        <f t="shared" ref="I142" si="158">I141/H141-1</f>
        <v>1.0001380971248763</v>
      </c>
      <c r="J142" s="197">
        <f t="shared" ref="J142" si="159">J141/I141-1</f>
        <v>0.29692511200785865</v>
      </c>
      <c r="K142" s="197">
        <f t="shared" ref="K142:Q142" si="160">K141/J141-1</f>
        <v>0.25028803257209575</v>
      </c>
      <c r="L142" s="197">
        <f t="shared" si="160"/>
        <v>0.15759362183513503</v>
      </c>
      <c r="M142" s="197">
        <f t="shared" si="160"/>
        <v>6.9646273520441282E-2</v>
      </c>
      <c r="N142" s="197">
        <f t="shared" si="160"/>
        <v>-1.6291251020450592E-2</v>
      </c>
      <c r="O142" s="197">
        <f t="shared" si="160"/>
        <v>0.11120390255717605</v>
      </c>
      <c r="P142" s="197">
        <f t="shared" si="160"/>
        <v>0.10793582010790415</v>
      </c>
      <c r="Q142" s="197">
        <f t="shared" si="160"/>
        <v>2.9112487543340393E-2</v>
      </c>
      <c r="R142" s="199"/>
    </row>
    <row r="143" spans="1:18">
      <c r="A143" s="37" t="s">
        <v>85</v>
      </c>
      <c r="B143" s="200">
        <v>1</v>
      </c>
      <c r="C143" s="200">
        <f t="shared" ref="C143" si="161">B143+1</f>
        <v>2</v>
      </c>
      <c r="D143" s="200">
        <f t="shared" ref="D143" si="162">C143+1</f>
        <v>3</v>
      </c>
      <c r="E143" s="200">
        <f t="shared" ref="E143" si="163">D143+1</f>
        <v>4</v>
      </c>
      <c r="F143" s="200">
        <f t="shared" ref="F143" si="164">E143+1</f>
        <v>5</v>
      </c>
      <c r="G143" s="200">
        <f t="shared" ref="G143" si="165">F143+1</f>
        <v>6</v>
      </c>
      <c r="H143" s="200">
        <f t="shared" ref="H143" si="166">G143+1</f>
        <v>7</v>
      </c>
      <c r="I143" s="200">
        <f t="shared" ref="I143" si="167">H143+1</f>
        <v>8</v>
      </c>
      <c r="J143" s="200">
        <f t="shared" ref="J143" si="168">I143+1</f>
        <v>9</v>
      </c>
      <c r="K143" s="200">
        <f t="shared" ref="K143:R143" si="169">J143+1</f>
        <v>10</v>
      </c>
      <c r="L143" s="200">
        <f t="shared" si="169"/>
        <v>11</v>
      </c>
      <c r="M143" s="200">
        <f t="shared" si="169"/>
        <v>12</v>
      </c>
      <c r="N143" s="200">
        <f t="shared" si="169"/>
        <v>13</v>
      </c>
      <c r="O143" s="200">
        <f t="shared" si="169"/>
        <v>14</v>
      </c>
      <c r="P143" s="200">
        <f t="shared" si="169"/>
        <v>15</v>
      </c>
      <c r="Q143" s="200">
        <f t="shared" si="169"/>
        <v>16</v>
      </c>
      <c r="R143" s="200">
        <f t="shared" si="169"/>
        <v>17</v>
      </c>
    </row>
    <row r="144" spans="1:18">
      <c r="A144" s="201" t="s">
        <v>86</v>
      </c>
      <c r="B144" s="202">
        <f t="shared" ref="B144:K144" si="170">B141/((1+$G$155)^(B143))</f>
        <v>-9.0909090909090899</v>
      </c>
      <c r="C144" s="202">
        <f t="shared" si="170"/>
        <v>-8.2644628099173545</v>
      </c>
      <c r="D144" s="202">
        <f t="shared" si="170"/>
        <v>-22.539444027047328</v>
      </c>
      <c r="E144" s="202">
        <f t="shared" si="170"/>
        <v>-20.490403660952115</v>
      </c>
      <c r="F144" s="202">
        <f t="shared" si="170"/>
        <v>-24.836852922366198</v>
      </c>
      <c r="G144" s="202">
        <f t="shared" si="170"/>
        <v>12.98015326421797</v>
      </c>
      <c r="H144" s="202">
        <f t="shared" si="170"/>
        <v>135.64530649685145</v>
      </c>
      <c r="I144" s="202">
        <f t="shared" si="170"/>
        <v>246.64485929139374</v>
      </c>
      <c r="J144" s="202">
        <f t="shared" si="170"/>
        <v>290.79991978423033</v>
      </c>
      <c r="K144" s="202">
        <f t="shared" si="170"/>
        <v>330.53059961740774</v>
      </c>
      <c r="L144" s="202">
        <f t="shared" ref="L144:P144" si="171">L141/((1+$G$155)^(L143))</f>
        <v>347.83646721677627</v>
      </c>
      <c r="M144" s="202">
        <f t="shared" si="171"/>
        <v>338.23816450267265</v>
      </c>
      <c r="N144" s="202">
        <f t="shared" si="171"/>
        <v>302.47985605460286</v>
      </c>
      <c r="O144" s="202">
        <f t="shared" si="171"/>
        <v>305.56072408437046</v>
      </c>
      <c r="P144" s="202">
        <f t="shared" si="171"/>
        <v>307.76515584652913</v>
      </c>
      <c r="Q144" s="202">
        <f>Q141/((1+$G$155)^(Q143))</f>
        <v>287.93178646580492</v>
      </c>
      <c r="R144" s="202">
        <f>R141/((1+$G$155)^(R143))</f>
        <v>560.90607753078882</v>
      </c>
    </row>
    <row r="146" spans="1:18">
      <c r="A146" s="204" t="s">
        <v>26</v>
      </c>
      <c r="B146" s="205"/>
      <c r="C146" s="205"/>
      <c r="D146" s="205"/>
      <c r="E146" s="205"/>
      <c r="F146" s="205"/>
      <c r="G146" s="205">
        <v>1</v>
      </c>
      <c r="H146" s="205">
        <v>1</v>
      </c>
      <c r="I146" s="205">
        <v>1</v>
      </c>
      <c r="J146" s="205">
        <v>1</v>
      </c>
      <c r="K146" s="205">
        <v>1</v>
      </c>
      <c r="L146" s="205">
        <v>1</v>
      </c>
      <c r="M146" s="205">
        <v>1</v>
      </c>
      <c r="N146" s="205">
        <v>1</v>
      </c>
      <c r="O146" s="205">
        <v>1</v>
      </c>
      <c r="P146" s="205">
        <v>1</v>
      </c>
      <c r="Q146" s="205">
        <v>1</v>
      </c>
      <c r="R146" s="205"/>
    </row>
    <row r="147" spans="1:18">
      <c r="A147" s="43" t="s">
        <v>27</v>
      </c>
      <c r="B147" s="206"/>
      <c r="C147" s="206"/>
      <c r="D147" s="206"/>
      <c r="E147" s="206"/>
      <c r="F147" s="206"/>
      <c r="G147" s="206">
        <f>G134/G133</f>
        <v>0.06</v>
      </c>
      <c r="H147" s="206">
        <f t="shared" ref="H147:K147" si="172">H134/H133</f>
        <v>0.06</v>
      </c>
      <c r="I147" s="206">
        <f t="shared" si="172"/>
        <v>0.06</v>
      </c>
      <c r="J147" s="206">
        <f t="shared" si="172"/>
        <v>0.06</v>
      </c>
      <c r="K147" s="206">
        <f t="shared" si="172"/>
        <v>0.06</v>
      </c>
      <c r="L147" s="207">
        <f t="shared" ref="L147:Q147" si="173">K147</f>
        <v>0.06</v>
      </c>
      <c r="M147" s="207">
        <f t="shared" si="173"/>
        <v>0.06</v>
      </c>
      <c r="N147" s="207">
        <f t="shared" si="173"/>
        <v>0.06</v>
      </c>
      <c r="O147" s="207">
        <f t="shared" si="173"/>
        <v>0.06</v>
      </c>
      <c r="P147" s="207">
        <f t="shared" si="173"/>
        <v>0.06</v>
      </c>
      <c r="Q147" s="207">
        <f t="shared" si="173"/>
        <v>0.06</v>
      </c>
      <c r="R147" s="207"/>
    </row>
    <row r="148" spans="1:18">
      <c r="A148" s="43" t="s">
        <v>42</v>
      </c>
      <c r="B148" s="208"/>
      <c r="C148" s="208"/>
      <c r="D148" s="208"/>
      <c r="E148" s="208"/>
      <c r="F148" s="208"/>
      <c r="G148" s="208">
        <f t="shared" ref="G148:K148" si="174">G146-G147</f>
        <v>0.94</v>
      </c>
      <c r="H148" s="208">
        <f t="shared" si="174"/>
        <v>0.94</v>
      </c>
      <c r="I148" s="208">
        <f t="shared" si="174"/>
        <v>0.94</v>
      </c>
      <c r="J148" s="208">
        <f t="shared" si="174"/>
        <v>0.94</v>
      </c>
      <c r="K148" s="208">
        <f t="shared" si="174"/>
        <v>0.94</v>
      </c>
      <c r="L148" s="208">
        <f t="shared" ref="L148:Q148" si="175">L146-L147</f>
        <v>0.94</v>
      </c>
      <c r="M148" s="208">
        <f t="shared" si="175"/>
        <v>0.94</v>
      </c>
      <c r="N148" s="208">
        <f t="shared" si="175"/>
        <v>0.94</v>
      </c>
      <c r="O148" s="208">
        <f t="shared" si="175"/>
        <v>0.94</v>
      </c>
      <c r="P148" s="208">
        <f t="shared" si="175"/>
        <v>0.94</v>
      </c>
      <c r="Q148" s="208">
        <f t="shared" si="175"/>
        <v>0.94</v>
      </c>
      <c r="R148" s="208"/>
    </row>
    <row r="149" spans="1:18">
      <c r="A149" s="43" t="s">
        <v>96</v>
      </c>
      <c r="B149" s="209"/>
      <c r="C149" s="209"/>
      <c r="D149" s="209"/>
      <c r="E149" s="209"/>
      <c r="F149" s="209"/>
      <c r="G149" s="209">
        <f t="shared" ref="G149:K149" si="176">IFERROR(G137/G133,0)</f>
        <v>0.66138530218632829</v>
      </c>
      <c r="H149" s="209">
        <f t="shared" si="176"/>
        <v>0.21872444260047028</v>
      </c>
      <c r="I149" s="209">
        <f t="shared" si="176"/>
        <v>0.13021154215117325</v>
      </c>
      <c r="J149" s="209">
        <f t="shared" si="176"/>
        <v>0.10767275487703408</v>
      </c>
      <c r="K149" s="209">
        <f t="shared" si="176"/>
        <v>9.1586842859099918E-2</v>
      </c>
      <c r="L149" s="209">
        <f t="shared" ref="L149:Q149" si="177">IFERROR(L137/L133,0)</f>
        <v>7.9533747176715186E-2</v>
      </c>
      <c r="M149" s="209">
        <f t="shared" si="177"/>
        <v>7.0168994757833641E-2</v>
      </c>
      <c r="N149" s="209">
        <f t="shared" si="177"/>
        <v>6.5985163558634333E-2</v>
      </c>
      <c r="O149" s="209">
        <f t="shared" si="177"/>
        <v>6.2228254343574242E-2</v>
      </c>
      <c r="P149" s="209">
        <f t="shared" si="177"/>
        <v>5.8837116147410218E-2</v>
      </c>
      <c r="Q149" s="209">
        <f t="shared" si="177"/>
        <v>5.9610902231128464E-2</v>
      </c>
      <c r="R149" s="209"/>
    </row>
    <row r="150" spans="1:18">
      <c r="A150" s="43" t="s">
        <v>30</v>
      </c>
      <c r="B150" s="209"/>
      <c r="C150" s="209"/>
      <c r="D150" s="209"/>
      <c r="E150" s="209"/>
      <c r="F150" s="209"/>
      <c r="G150" s="209">
        <f t="shared" ref="G150:K150" si="178">IFERROR(G138/G133,0)</f>
        <v>8.4441149337545901E-2</v>
      </c>
      <c r="H150" s="209">
        <f t="shared" si="178"/>
        <v>1.3389967070635066E-2</v>
      </c>
      <c r="I150" s="209">
        <f t="shared" si="178"/>
        <v>1.5287531977319897E-3</v>
      </c>
      <c r="J150" s="209">
        <f t="shared" si="178"/>
        <v>1.2120841045716111E-3</v>
      </c>
      <c r="K150" s="209">
        <f t="shared" si="178"/>
        <v>9.8846794395124143E-4</v>
      </c>
      <c r="L150" s="209">
        <f t="shared" ref="L150:Q150" si="179">IFERROR(L138/L133,0)</f>
        <v>8.2290038623979449E-4</v>
      </c>
      <c r="M150" s="209">
        <f t="shared" si="179"/>
        <v>6.959393083021063E-4</v>
      </c>
      <c r="N150" s="209">
        <f t="shared" si="179"/>
        <v>6.2728787750785102E-4</v>
      </c>
      <c r="O150" s="209">
        <f t="shared" si="179"/>
        <v>5.6697919569236325E-4</v>
      </c>
      <c r="P150" s="209">
        <f t="shared" si="179"/>
        <v>5.1375309107433453E-4</v>
      </c>
      <c r="Q150" s="209">
        <f t="shared" si="179"/>
        <v>4.9878940881003348E-4</v>
      </c>
      <c r="R150" s="209"/>
    </row>
    <row r="151" spans="1:18">
      <c r="A151" s="39" t="s">
        <v>43</v>
      </c>
      <c r="B151" s="210"/>
      <c r="C151" s="210"/>
      <c r="D151" s="210"/>
      <c r="E151" s="210"/>
      <c r="F151" s="210"/>
      <c r="G151" s="210">
        <f t="shared" ref="G151:K151" si="180">IFERROR(G139/G133,0)</f>
        <v>0.19417354847612581</v>
      </c>
      <c r="H151" s="210">
        <f t="shared" si="180"/>
        <v>0.70788559032889464</v>
      </c>
      <c r="I151" s="210">
        <f t="shared" si="180"/>
        <v>0.80825970465109465</v>
      </c>
      <c r="J151" s="210">
        <f t="shared" si="180"/>
        <v>0.83111516101839422</v>
      </c>
      <c r="K151" s="210">
        <f t="shared" si="180"/>
        <v>0.84742468919694891</v>
      </c>
      <c r="L151" s="210">
        <f t="shared" ref="L151:Q151" si="181">IFERROR(L139/L133,0)</f>
        <v>0.85964335243704504</v>
      </c>
      <c r="M151" s="210">
        <f t="shared" si="181"/>
        <v>0.86913506593386425</v>
      </c>
      <c r="N151" s="210">
        <f t="shared" si="181"/>
        <v>0.87338754856385792</v>
      </c>
      <c r="O151" s="210">
        <f t="shared" si="181"/>
        <v>0.87720476646073342</v>
      </c>
      <c r="P151" s="210">
        <f t="shared" si="181"/>
        <v>0.88064913076151541</v>
      </c>
      <c r="Q151" s="210">
        <f t="shared" si="181"/>
        <v>0.87989030836006155</v>
      </c>
      <c r="R151" s="210"/>
    </row>
    <row r="152" spans="1:18" ht="15" thickBot="1"/>
    <row r="153" spans="1:18">
      <c r="A153" s="119" t="s">
        <v>366</v>
      </c>
      <c r="B153" s="38">
        <f>SUM(B144:Q144)</f>
        <v>2821.1909201136655</v>
      </c>
      <c r="D153" s="204" t="s">
        <v>40</v>
      </c>
      <c r="E153" s="211"/>
      <c r="F153" s="211"/>
      <c r="G153" s="212">
        <f>$N$5</f>
        <v>54</v>
      </c>
    </row>
    <row r="154" spans="1:18">
      <c r="A154" s="7" t="s">
        <v>81</v>
      </c>
      <c r="B154" s="10">
        <f>R144</f>
        <v>560.90607753078882</v>
      </c>
      <c r="D154" s="43" t="s">
        <v>82</v>
      </c>
      <c r="G154" s="213">
        <v>-0.25</v>
      </c>
    </row>
    <row r="155" spans="1:18">
      <c r="A155" s="7" t="s">
        <v>108</v>
      </c>
      <c r="B155" s="10">
        <f>B154+B153</f>
        <v>3382.0969976444544</v>
      </c>
      <c r="D155" s="43" t="s">
        <v>110</v>
      </c>
      <c r="G155" s="214">
        <f>$N$4</f>
        <v>0.1</v>
      </c>
    </row>
    <row r="156" spans="1:18">
      <c r="A156" s="7" t="s">
        <v>87</v>
      </c>
      <c r="B156" s="135">
        <v>0</v>
      </c>
      <c r="D156" s="162" t="s">
        <v>38</v>
      </c>
      <c r="E156" s="110"/>
      <c r="F156" s="110"/>
      <c r="G156" s="215">
        <f>$N$6</f>
        <v>0.25</v>
      </c>
    </row>
    <row r="157" spans="1:18" ht="15" thickBot="1">
      <c r="A157" s="7" t="s">
        <v>88</v>
      </c>
      <c r="B157" s="10">
        <f>B156*B155</f>
        <v>0</v>
      </c>
    </row>
    <row r="158" spans="1:18" ht="15" thickBot="1">
      <c r="A158" s="216" t="s">
        <v>89</v>
      </c>
      <c r="B158" s="217">
        <f>B157/G153</f>
        <v>0</v>
      </c>
    </row>
    <row r="161" spans="1:16" ht="15" thickBot="1"/>
    <row r="162" spans="1:16" ht="15" thickBot="1">
      <c r="A162" s="595" t="s">
        <v>421</v>
      </c>
      <c r="B162" s="596" t="s">
        <v>2</v>
      </c>
      <c r="C162" s="596" t="s">
        <v>3</v>
      </c>
      <c r="D162" s="596" t="s">
        <v>4</v>
      </c>
      <c r="E162" s="596" t="s">
        <v>5</v>
      </c>
      <c r="F162" s="596" t="s">
        <v>6</v>
      </c>
      <c r="G162" s="596" t="s">
        <v>103</v>
      </c>
      <c r="H162" s="596" t="s">
        <v>104</v>
      </c>
      <c r="I162" s="597" t="s">
        <v>105</v>
      </c>
      <c r="J162" s="596" t="s">
        <v>106</v>
      </c>
      <c r="K162" s="598" t="s">
        <v>107</v>
      </c>
      <c r="L162" s="100"/>
      <c r="M162" s="100"/>
      <c r="N162" s="100"/>
      <c r="O162" s="100"/>
      <c r="P162" s="100"/>
    </row>
    <row r="163" spans="1:16">
      <c r="A163" s="599" t="s">
        <v>26</v>
      </c>
      <c r="B163" s="604">
        <f>'INCOME STATEMENT'!Z7</f>
        <v>0</v>
      </c>
      <c r="C163" s="604">
        <f>'INCOME STATEMENT'!AA7</f>
        <v>0</v>
      </c>
      <c r="D163" s="604">
        <f>'INCOME STATEMENT'!AB7</f>
        <v>0</v>
      </c>
      <c r="E163" s="604">
        <f>'INCOME STATEMENT'!AC7</f>
        <v>0</v>
      </c>
      <c r="F163" s="604">
        <f>'INCOME STATEMENT'!AD7</f>
        <v>55</v>
      </c>
      <c r="G163" s="604">
        <f>'INCOME STATEMENT'!AE7</f>
        <v>318.42567372011837</v>
      </c>
      <c r="H163" s="604">
        <f>'INCOME STATEMENT'!AF7</f>
        <v>823.41391309059122</v>
      </c>
      <c r="I163" s="604">
        <f>'INCOME STATEMENT'!AG7</f>
        <v>1429.1278222564431</v>
      </c>
      <c r="J163" s="604">
        <f>'INCOME STATEMENT'!AH7</f>
        <v>1900.0252570991611</v>
      </c>
      <c r="K163" s="600">
        <f>'INCOME STATEMENT'!AI7</f>
        <v>2361.6665958864191</v>
      </c>
      <c r="L163" s="22"/>
      <c r="M163" s="22"/>
      <c r="N163" s="22"/>
      <c r="O163" s="22"/>
      <c r="P163" s="22"/>
    </row>
    <row r="164" spans="1:16">
      <c r="A164" s="599" t="s">
        <v>27</v>
      </c>
      <c r="B164" s="604">
        <f>'INCOME STATEMENT'!Z9</f>
        <v>0</v>
      </c>
      <c r="C164" s="604">
        <f>'INCOME STATEMENT'!AA9</f>
        <v>0</v>
      </c>
      <c r="D164" s="604">
        <f>'INCOME STATEMENT'!AB9</f>
        <v>0</v>
      </c>
      <c r="E164" s="604">
        <f>'INCOME STATEMENT'!AC9</f>
        <v>0</v>
      </c>
      <c r="F164" s="604">
        <f>'INCOME STATEMENT'!AD9</f>
        <v>1.65</v>
      </c>
      <c r="G164" s="604">
        <f>'INCOME STATEMENT'!AE9</f>
        <v>13.105540423207103</v>
      </c>
      <c r="H164" s="604">
        <f>'INCOME STATEMENT'!AF9</f>
        <v>35.904834785435469</v>
      </c>
      <c r="I164" s="604">
        <f>'INCOME STATEMENT'!AG9</f>
        <v>62.497669335386583</v>
      </c>
      <c r="J164" s="604">
        <f>'INCOME STATEMENT'!AH9</f>
        <v>81.751515425949663</v>
      </c>
      <c r="K164" s="600">
        <f>'INCOME STATEMENT'!AI9</f>
        <v>101.19999575318514</v>
      </c>
      <c r="L164" s="22"/>
      <c r="M164" s="22"/>
      <c r="N164" s="22"/>
      <c r="O164" s="22"/>
      <c r="P164" s="22"/>
    </row>
    <row r="165" spans="1:16">
      <c r="A165" s="599" t="s">
        <v>422</v>
      </c>
      <c r="B165" s="604">
        <f>'INCOME STATEMENT'!Z12-EXPENSES!Z34</f>
        <v>21.8</v>
      </c>
      <c r="C165" s="604">
        <f>'INCOME STATEMENT'!AA12-EXPENSES!AA34</f>
        <v>22.89</v>
      </c>
      <c r="D165" s="604">
        <f>'INCOME STATEMENT'!AB12-EXPENSES!AB34</f>
        <v>24.034500000000001</v>
      </c>
      <c r="E165" s="604">
        <f>'INCOME STATEMENT'!AC12-EXPENSES!AC34</f>
        <v>29.469825000000011</v>
      </c>
      <c r="F165" s="604">
        <f>'INCOME STATEMENT'!AD12-EXPENSES!AD34</f>
        <v>185.94331625000001</v>
      </c>
      <c r="G165" s="604">
        <f>'INCOME STATEMENT'!AE12-EXPENSES!AE34</f>
        <v>270.46548206249997</v>
      </c>
      <c r="H165" s="604">
        <f>'INCOME STATEMENT'!AF12-EXPENSES!AF34</f>
        <v>453.16613116562502</v>
      </c>
      <c r="I165" s="604">
        <f>'INCOME STATEMENT'!AG12-EXPENSES!AG34</f>
        <v>468.11435959984374</v>
      </c>
      <c r="J165" s="604">
        <f>'INCOME STATEMENT'!AH12-EXPENSES!AH34</f>
        <v>483.57869711205154</v>
      </c>
      <c r="K165" s="600">
        <f>'INCOME STATEMENT'!AI12-EXPENSES!AI34</f>
        <v>499.57801008583624</v>
      </c>
      <c r="L165" s="22"/>
      <c r="M165" s="22"/>
      <c r="N165" s="22"/>
      <c r="O165" s="22"/>
      <c r="P165" s="22"/>
    </row>
    <row r="166" spans="1:16">
      <c r="A166" s="599" t="s">
        <v>423</v>
      </c>
      <c r="B166" s="604">
        <f>'INCOME STATEMENT'!Z13-EXPENSES!Z20</f>
        <v>143</v>
      </c>
      <c r="C166" s="604">
        <f>'INCOME STATEMENT'!AA13-EXPENSES!AA20</f>
        <v>172.9</v>
      </c>
      <c r="D166" s="604">
        <f>'INCOME STATEMENT'!AB13-EXPENSES!AB20</f>
        <v>222.827</v>
      </c>
      <c r="E166" s="604">
        <f>'INCOME STATEMENT'!AC13-EXPENSES!AC20</f>
        <v>212.68181000000001</v>
      </c>
      <c r="F166" s="604">
        <f>'INCOME STATEMENT'!AD13-EXPENSES!AD20</f>
        <v>192.56526430000002</v>
      </c>
      <c r="G166" s="604">
        <f>'INCOME STATEMENT'!AE13-EXPENSES!AE20</f>
        <v>148.578222229</v>
      </c>
      <c r="H166" s="604">
        <f>'INCOME STATEMENT'!AF13-EXPENSES!AF20</f>
        <v>79.621568895869999</v>
      </c>
      <c r="I166" s="604">
        <f>'INCOME STATEMENT'!AG13-EXPENSES!AG20</f>
        <v>61.696215962746109</v>
      </c>
      <c r="J166" s="604">
        <f>'INCOME STATEMENT'!AH13-EXPENSES!AH20</f>
        <v>53.803102441628489</v>
      </c>
      <c r="K166" s="600">
        <f>'INCOME STATEMENT'!AI13-EXPENSES!AI20</f>
        <v>54.943195514877345</v>
      </c>
      <c r="L166" s="22"/>
      <c r="M166" s="22"/>
      <c r="N166" s="22"/>
      <c r="O166" s="22"/>
      <c r="P166" s="22"/>
    </row>
    <row r="167" spans="1:16">
      <c r="A167" s="599"/>
      <c r="B167" s="604"/>
      <c r="C167" s="604"/>
      <c r="D167" s="604"/>
      <c r="E167" s="604"/>
      <c r="F167" s="604"/>
      <c r="G167" s="604"/>
      <c r="H167" s="604"/>
      <c r="I167" s="604"/>
      <c r="J167" s="604"/>
      <c r="K167" s="600"/>
      <c r="L167" s="22"/>
      <c r="M167" s="22"/>
      <c r="N167" s="22"/>
      <c r="O167" s="22"/>
      <c r="P167" s="22"/>
    </row>
    <row r="168" spans="1:16">
      <c r="A168" s="599" t="s">
        <v>424</v>
      </c>
      <c r="B168" s="604"/>
      <c r="C168" s="604"/>
      <c r="D168" s="604"/>
      <c r="E168" s="604"/>
      <c r="F168" s="604"/>
      <c r="G168" s="604"/>
      <c r="H168" s="604"/>
      <c r="I168" s="604"/>
      <c r="J168" s="604"/>
      <c r="K168" s="600"/>
      <c r="L168" s="22"/>
      <c r="M168" s="22"/>
      <c r="N168" s="22"/>
      <c r="O168" s="22"/>
      <c r="P168" s="22"/>
    </row>
    <row r="169" spans="1:16">
      <c r="A169" s="599" t="s">
        <v>26</v>
      </c>
      <c r="B169" s="604">
        <f>B69+B100+B133</f>
        <v>0</v>
      </c>
      <c r="C169" s="604">
        <f t="shared" ref="C169:K169" si="182">C69+C100+C133</f>
        <v>0</v>
      </c>
      <c r="D169" s="604">
        <f t="shared" si="182"/>
        <v>0</v>
      </c>
      <c r="E169" s="604">
        <f t="shared" si="182"/>
        <v>0</v>
      </c>
      <c r="F169" s="604">
        <f t="shared" si="182"/>
        <v>55</v>
      </c>
      <c r="G169" s="604">
        <f t="shared" si="182"/>
        <v>318.42567372011837</v>
      </c>
      <c r="H169" s="604">
        <f t="shared" si="182"/>
        <v>823.41391309059122</v>
      </c>
      <c r="I169" s="604">
        <f t="shared" si="182"/>
        <v>1429.1278222564431</v>
      </c>
      <c r="J169" s="604">
        <f t="shared" si="182"/>
        <v>1900.0252570991611</v>
      </c>
      <c r="K169" s="600">
        <f t="shared" si="182"/>
        <v>2361.6665958864191</v>
      </c>
      <c r="L169" s="22"/>
      <c r="M169" s="22"/>
      <c r="N169" s="22"/>
      <c r="O169" s="22"/>
      <c r="P169" s="22"/>
    </row>
    <row r="170" spans="1:16">
      <c r="A170" s="599" t="s">
        <v>27</v>
      </c>
      <c r="B170" s="604">
        <f>B70+B101+B134</f>
        <v>0</v>
      </c>
      <c r="C170" s="604">
        <f t="shared" ref="C170:K170" si="183">C70+C101+C134</f>
        <v>0</v>
      </c>
      <c r="D170" s="604">
        <f t="shared" si="183"/>
        <v>0</v>
      </c>
      <c r="E170" s="604">
        <f t="shared" si="183"/>
        <v>0</v>
      </c>
      <c r="F170" s="604">
        <f t="shared" si="183"/>
        <v>1.65</v>
      </c>
      <c r="G170" s="604">
        <f t="shared" si="183"/>
        <v>13.105540423207103</v>
      </c>
      <c r="H170" s="604">
        <f t="shared" si="183"/>
        <v>35.904834785435469</v>
      </c>
      <c r="I170" s="604">
        <f t="shared" si="183"/>
        <v>62.497669335386583</v>
      </c>
      <c r="J170" s="604">
        <f t="shared" si="183"/>
        <v>81.751515425949663</v>
      </c>
      <c r="K170" s="600">
        <f t="shared" si="183"/>
        <v>101.19999575318514</v>
      </c>
      <c r="L170" s="22"/>
      <c r="M170" s="22"/>
      <c r="N170" s="22"/>
      <c r="O170" s="22"/>
      <c r="P170" s="22"/>
    </row>
    <row r="171" spans="1:16">
      <c r="A171" s="599" t="s">
        <v>29</v>
      </c>
      <c r="B171" s="604">
        <f>B27+B73+B104+B137</f>
        <v>21.8</v>
      </c>
      <c r="C171" s="604">
        <f t="shared" ref="C171:K171" si="184">C27+C73+C104+C137</f>
        <v>22.89</v>
      </c>
      <c r="D171" s="604">
        <f t="shared" si="184"/>
        <v>24.034500000000001</v>
      </c>
      <c r="E171" s="604">
        <f t="shared" si="184"/>
        <v>29.469825000000011</v>
      </c>
      <c r="F171" s="604">
        <f>F27+F73+F104+F137</f>
        <v>185.94331625000001</v>
      </c>
      <c r="G171" s="604">
        <f>G27+G73+G104+G137</f>
        <v>270.46548206250003</v>
      </c>
      <c r="H171" s="604">
        <f t="shared" si="184"/>
        <v>453.16613116562502</v>
      </c>
      <c r="I171" s="604">
        <f t="shared" si="184"/>
        <v>468.11435959984374</v>
      </c>
      <c r="J171" s="604">
        <f t="shared" si="184"/>
        <v>483.57869711205154</v>
      </c>
      <c r="K171" s="600">
        <f t="shared" si="184"/>
        <v>499.57801008583618</v>
      </c>
      <c r="L171" s="22"/>
      <c r="M171" s="22"/>
      <c r="N171" s="22"/>
      <c r="O171" s="22"/>
      <c r="P171" s="22"/>
    </row>
    <row r="172" spans="1:16">
      <c r="A172" s="599" t="s">
        <v>30</v>
      </c>
      <c r="B172" s="604">
        <f>B74+B105+B138+B41</f>
        <v>143</v>
      </c>
      <c r="C172" s="604">
        <f t="shared" ref="C172:K172" si="185">C74+C105+C138+C41</f>
        <v>172.9</v>
      </c>
      <c r="D172" s="604">
        <f t="shared" si="185"/>
        <v>222.827</v>
      </c>
      <c r="E172" s="604">
        <f t="shared" si="185"/>
        <v>212.68180999999998</v>
      </c>
      <c r="F172" s="604">
        <f t="shared" si="185"/>
        <v>192.5652643</v>
      </c>
      <c r="G172" s="604">
        <f t="shared" si="185"/>
        <v>148.578222229</v>
      </c>
      <c r="H172" s="604">
        <f t="shared" si="185"/>
        <v>79.621568895869999</v>
      </c>
      <c r="I172" s="604">
        <f t="shared" si="185"/>
        <v>61.696215962746102</v>
      </c>
      <c r="J172" s="604">
        <f t="shared" si="185"/>
        <v>53.803102441628489</v>
      </c>
      <c r="K172" s="600">
        <f t="shared" si="185"/>
        <v>54.943195514877345</v>
      </c>
      <c r="L172" s="22"/>
      <c r="M172" s="22"/>
      <c r="N172" s="22"/>
      <c r="O172" s="22"/>
      <c r="P172" s="22"/>
    </row>
    <row r="173" spans="1:16">
      <c r="A173" s="599"/>
      <c r="B173" s="604"/>
      <c r="C173" s="604"/>
      <c r="D173" s="604"/>
      <c r="E173" s="604"/>
      <c r="F173" s="604"/>
      <c r="G173" s="604"/>
      <c r="H173" s="604"/>
      <c r="I173" s="604"/>
      <c r="J173" s="604"/>
      <c r="K173" s="600"/>
      <c r="L173" s="22"/>
      <c r="M173" s="22"/>
      <c r="N173" s="22"/>
      <c r="O173" s="22"/>
      <c r="P173" s="22"/>
    </row>
    <row r="174" spans="1:16">
      <c r="A174" s="599" t="s">
        <v>425</v>
      </c>
      <c r="B174" s="604"/>
      <c r="C174" s="604"/>
      <c r="D174" s="604"/>
      <c r="E174" s="604"/>
      <c r="F174" s="604"/>
      <c r="G174" s="604"/>
      <c r="H174" s="604"/>
      <c r="I174" s="604"/>
      <c r="J174" s="604"/>
      <c r="K174" s="600"/>
      <c r="L174" s="22"/>
      <c r="M174" s="22"/>
      <c r="N174" s="22"/>
      <c r="O174" s="22"/>
      <c r="P174" s="22"/>
    </row>
    <row r="175" spans="1:16">
      <c r="A175" s="599" t="s">
        <v>26</v>
      </c>
      <c r="B175" s="604">
        <f>B163-B169</f>
        <v>0</v>
      </c>
      <c r="C175" s="604">
        <f t="shared" ref="C175:K175" si="186">C163-C169</f>
        <v>0</v>
      </c>
      <c r="D175" s="604">
        <f t="shared" si="186"/>
        <v>0</v>
      </c>
      <c r="E175" s="604">
        <f t="shared" si="186"/>
        <v>0</v>
      </c>
      <c r="F175" s="604">
        <f t="shared" si="186"/>
        <v>0</v>
      </c>
      <c r="G175" s="604">
        <f t="shared" si="186"/>
        <v>0</v>
      </c>
      <c r="H175" s="604">
        <f t="shared" si="186"/>
        <v>0</v>
      </c>
      <c r="I175" s="604">
        <f t="shared" si="186"/>
        <v>0</v>
      </c>
      <c r="J175" s="604">
        <f t="shared" si="186"/>
        <v>0</v>
      </c>
      <c r="K175" s="600">
        <f t="shared" si="186"/>
        <v>0</v>
      </c>
      <c r="L175" s="22"/>
      <c r="M175" s="22"/>
      <c r="N175" s="22"/>
      <c r="O175" s="22"/>
      <c r="P175" s="22"/>
    </row>
    <row r="176" spans="1:16">
      <c r="A176" s="599" t="s">
        <v>27</v>
      </c>
      <c r="B176" s="604">
        <f t="shared" ref="B176:K178" si="187">B164-B170</f>
        <v>0</v>
      </c>
      <c r="C176" s="604">
        <f t="shared" si="187"/>
        <v>0</v>
      </c>
      <c r="D176" s="604">
        <f t="shared" si="187"/>
        <v>0</v>
      </c>
      <c r="E176" s="604">
        <f t="shared" si="187"/>
        <v>0</v>
      </c>
      <c r="F176" s="604">
        <f t="shared" si="187"/>
        <v>0</v>
      </c>
      <c r="G176" s="604">
        <f t="shared" si="187"/>
        <v>0</v>
      </c>
      <c r="H176" s="604">
        <f t="shared" si="187"/>
        <v>0</v>
      </c>
      <c r="I176" s="604">
        <f t="shared" si="187"/>
        <v>0</v>
      </c>
      <c r="J176" s="604">
        <f t="shared" si="187"/>
        <v>0</v>
      </c>
      <c r="K176" s="600">
        <f t="shared" si="187"/>
        <v>0</v>
      </c>
      <c r="L176" s="22"/>
      <c r="M176" s="22"/>
      <c r="N176" s="22"/>
      <c r="O176" s="22"/>
      <c r="P176" s="22"/>
    </row>
    <row r="177" spans="1:16">
      <c r="A177" s="599" t="s">
        <v>29</v>
      </c>
      <c r="B177" s="604">
        <f>B165-B171</f>
        <v>0</v>
      </c>
      <c r="C177" s="604">
        <f t="shared" si="187"/>
        <v>0</v>
      </c>
      <c r="D177" s="604">
        <f t="shared" si="187"/>
        <v>0</v>
      </c>
      <c r="E177" s="604">
        <f t="shared" si="187"/>
        <v>0</v>
      </c>
      <c r="F177" s="604">
        <f>F165-F171</f>
        <v>0</v>
      </c>
      <c r="G177" s="604">
        <f t="shared" si="187"/>
        <v>0</v>
      </c>
      <c r="H177" s="604">
        <f t="shared" si="187"/>
        <v>0</v>
      </c>
      <c r="I177" s="604">
        <f t="shared" si="187"/>
        <v>0</v>
      </c>
      <c r="J177" s="604">
        <f t="shared" si="187"/>
        <v>0</v>
      </c>
      <c r="K177" s="600">
        <f t="shared" si="187"/>
        <v>0</v>
      </c>
      <c r="L177" s="22"/>
      <c r="M177" s="22"/>
      <c r="N177" s="22"/>
      <c r="O177" s="22"/>
      <c r="P177" s="22"/>
    </row>
    <row r="178" spans="1:16" ht="15" thickBot="1">
      <c r="A178" s="601" t="s">
        <v>30</v>
      </c>
      <c r="B178" s="602">
        <f t="shared" si="187"/>
        <v>0</v>
      </c>
      <c r="C178" s="602">
        <f t="shared" si="187"/>
        <v>0</v>
      </c>
      <c r="D178" s="602">
        <f t="shared" si="187"/>
        <v>0</v>
      </c>
      <c r="E178" s="602">
        <f t="shared" si="187"/>
        <v>0</v>
      </c>
      <c r="F178" s="602">
        <f t="shared" si="187"/>
        <v>0</v>
      </c>
      <c r="G178" s="602">
        <f t="shared" si="187"/>
        <v>0</v>
      </c>
      <c r="H178" s="602">
        <f t="shared" si="187"/>
        <v>0</v>
      </c>
      <c r="I178" s="602">
        <f t="shared" si="187"/>
        <v>0</v>
      </c>
      <c r="J178" s="602">
        <f t="shared" si="187"/>
        <v>0</v>
      </c>
      <c r="K178" s="603">
        <f t="shared" si="187"/>
        <v>0</v>
      </c>
      <c r="L178" s="22"/>
      <c r="M178" s="22"/>
      <c r="N178" s="22"/>
      <c r="O178" s="22"/>
      <c r="P178" s="22"/>
    </row>
  </sheetData>
  <mergeCells count="1">
    <mergeCell ref="L7:N7"/>
  </mergeCells>
  <phoneticPr fontId="174" type="noConversion"/>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6708-3554-45BF-8B62-EFF86A455A34}">
  <dimension ref="A1:D5"/>
  <sheetViews>
    <sheetView tabSelected="1" workbookViewId="0">
      <selection activeCell="C10" sqref="C10"/>
    </sheetView>
  </sheetViews>
  <sheetFormatPr defaultColWidth="9.1796875" defaultRowHeight="15.5"/>
  <cols>
    <col min="1" max="1" width="25" style="248" customWidth="1"/>
    <col min="2" max="2" width="13.7265625" style="248" customWidth="1"/>
    <col min="3" max="3" width="112.54296875" style="249" customWidth="1"/>
    <col min="4" max="4" width="16.26953125" style="248" customWidth="1"/>
    <col min="5" max="16384" width="9.1796875" style="248"/>
  </cols>
  <sheetData>
    <row r="1" spans="1:4" ht="62">
      <c r="A1" s="302" t="s">
        <v>268</v>
      </c>
    </row>
    <row r="2" spans="1:4" ht="36">
      <c r="A2" s="250" t="s">
        <v>157</v>
      </c>
      <c r="B2" s="250" t="s">
        <v>236</v>
      </c>
      <c r="C2" s="250" t="s">
        <v>237</v>
      </c>
      <c r="D2" s="250" t="s">
        <v>238</v>
      </c>
    </row>
    <row r="3" spans="1:4" ht="18">
      <c r="A3" s="303" t="s">
        <v>359</v>
      </c>
      <c r="B3" s="304">
        <v>1</v>
      </c>
      <c r="C3" s="305" t="s">
        <v>393</v>
      </c>
      <c r="D3" s="306">
        <f>LEN(C3)</f>
        <v>62</v>
      </c>
    </row>
    <row r="4" spans="1:4" ht="18">
      <c r="A4" s="303" t="s">
        <v>359</v>
      </c>
      <c r="B4" s="304">
        <f>B3+1</f>
        <v>2</v>
      </c>
      <c r="C4" s="249" t="s">
        <v>394</v>
      </c>
      <c r="D4" s="306">
        <f>LEN(C4)</f>
        <v>101</v>
      </c>
    </row>
    <row r="5" spans="1:4" ht="18">
      <c r="A5" s="303" t="s">
        <v>359</v>
      </c>
      <c r="B5" s="304">
        <f>B4+1</f>
        <v>3</v>
      </c>
      <c r="C5" s="305" t="s">
        <v>395</v>
      </c>
      <c r="D5" s="306">
        <f>LEN(C5)</f>
        <v>69</v>
      </c>
    </row>
  </sheetData>
  <conditionalFormatting sqref="D3:D5">
    <cfRule type="cellIs" dxfId="0" priority="1" operator="greaterThan">
      <formula>500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FdsFormulaCache xmlns="urn:fdsformulacache" version="2" timestamp="1773944219"><![CDATA[{"MPLT^FF_ENTRPR_VAL(ANN_R,0)":null,"MPLT^FE_ESTIMATE(EPS,MEAN,ANN,2023,NOW,NOW,,'')":null,"MPLT^FG_PRICE(0)":17.02,"MPLT^P_DATE(0)":"03/18/2026","MPLT^FE_ESTIMATE(SALES,MEAN,ANN,2023,NOW,,,'')":null,"MPLT^FE_ESTIMATE(EPS,MEAN,ANN,2018,NOW,NOW,,'')":null,"MPLT^FREF_MARKET_VALUE_COMPANY(0,,,,,0)":772.249018878036,"AMLX-US^FE_ESTIMATE(EPS,MEAN,ANN,2028,NOW,,,'')":-0.57097614,"AMLX-US^FE_ESTIMATE(EPS,MEAN,ANN,2025,NOW,,,'')":-1.53,"AMLX-US^FE_ESTIMATE(EPS,MEAN,ANN,2027,NOW,,,'')":-1.2431465,"AMLX-US^FE_ESTIMATE(EPS,MEAN,ANN,2024,NOW,,,'')":-4.43,"AMLX-US^FE_ESTIMATE(EPS,MEAN,ANN,2026,NOW,,,'')":-1.3459998,"AMLX-US^FE_ESTIMATE(SALES,MEAN,ANN,2028,NOW,,,'')":153.24487,"MPLT^FG_PRICE(NOW)":17.27,"MPLT-US^FE_ESTIMATE(EPS,MEAN,ANN,2026,NOW,,,'')":-3.666,"AMLX-US^FE_ESTIMATE(SALES,MEAN,ANN,2024,NOW,,,'')":87.371,"MPLT-US^FE_ESTIMATE(EPS,MEAN,ANN,2028,NOW,,,'')":-4.515,"MPLT-US^FE_ESTIMATE(EPS,MEAN,ANN,2027,NOW,,,'')":-4.0433335,"AMLX-US^FE_ESTIMATE(SALES,MEAN,ANN,2025,NOW,,,'')":0.0,"MPLT-US^FE_ESTIMATE(EPS,MEAN,ANN,2025,NOW,,,'')":-7.078,"MPLT^FE_ESTIMATE(EPS,MEAN,QTR,2025/4F,NOW,,,'')":-1.0633334,"ALDX-US^P_DATE(NOW)":"03/19/2026","AMLX-US^FE_ESTIMATE(SALES,MEAN,ANN,2027,NOW,,,'')":44.68518,"AMLX-US^FE_ESTIMATE(SALES,MEAN,ANN,2026,NOW,,,'')":0.0}]]></FdsFormulaCache>
</file>

<file path=customXml/item2.xml><?xml version="1.0" encoding="utf-8"?>
<ct:contentTypeSchema xmlns:ct="http://schemas.microsoft.com/office/2006/metadata/contentType" xmlns:ma="http://schemas.microsoft.com/office/2006/metadata/properties/metaAttributes" ct:_="" ma:_="" ma:contentTypeName="Document" ma:contentTypeID="0x010100C5125C545D03AB44BD1A74E0497B8F76" ma:contentTypeVersion="15" ma:contentTypeDescription="Create a new document." ma:contentTypeScope="" ma:versionID="c5858ca561e7aee6ae101e8f0b40370f">
  <xsd:schema xmlns:xsd="http://www.w3.org/2001/XMLSchema" xmlns:xs="http://www.w3.org/2001/XMLSchema" xmlns:p="http://schemas.microsoft.com/office/2006/metadata/properties" xmlns:ns2="b40484f1-8ecf-451b-a3e2-a81f6d9826ba" xmlns:ns3="87363e36-27a6-4fdc-b48e-7545aa6b31eb" targetNamespace="http://schemas.microsoft.com/office/2006/metadata/properties" ma:root="true" ma:fieldsID="47332c2123f397779704c7547431355e" ns2:_="" ns3:_="">
    <xsd:import namespace="b40484f1-8ecf-451b-a3e2-a81f6d9826ba"/>
    <xsd:import namespace="87363e36-27a6-4fdc-b48e-7545aa6b31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484f1-8ecf-451b-a3e2-a81f6d9826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853221-597e-41dc-91a1-3bf77b89adc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363e36-27a6-4fdc-b48e-7545aa6b31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807ce-db71-4af1-9601-6a0da81c796d}" ma:internalName="TaxCatchAll" ma:showField="CatchAllData" ma:web="87363e36-27a6-4fdc-b48e-7545aa6b31e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87363e36-27a6-4fdc-b48e-7545aa6b31eb" xsi:nil="true"/>
    <lcf76f155ced4ddcb4097134ff3c332f xmlns="b40484f1-8ecf-451b-a3e2-a81f6d9826b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F39B54-86B2-45F7-A9DF-72AF96C55652}">
  <ds:schemaRefs>
    <ds:schemaRef ds:uri="urn:fdsformulacache"/>
  </ds:schemaRefs>
</ds:datastoreItem>
</file>

<file path=customXml/itemProps2.xml><?xml version="1.0" encoding="utf-8"?>
<ds:datastoreItem xmlns:ds="http://schemas.openxmlformats.org/officeDocument/2006/customXml" ds:itemID="{571E11F2-93B3-4C4A-8D84-C1565FD9B026}"/>
</file>

<file path=customXml/itemProps3.xml><?xml version="1.0" encoding="utf-8"?>
<ds:datastoreItem xmlns:ds="http://schemas.openxmlformats.org/officeDocument/2006/customXml" ds:itemID="{B9A38292-5411-4E14-8313-B89B558AD38B}"/>
</file>

<file path=customXml/itemProps4.xml><?xml version="1.0" encoding="utf-8"?>
<ds:datastoreItem xmlns:ds="http://schemas.openxmlformats.org/officeDocument/2006/customXml" ds:itemID="{EBA0B0CD-80CA-48A6-BBF4-B9D76CE485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Disclosures</vt:lpstr>
      <vt:lpstr>CATALYSTS</vt:lpstr>
      <vt:lpstr>Catalyst Tracker</vt:lpstr>
      <vt:lpstr>INCOME STATEMENT</vt:lpstr>
      <vt:lpstr>REVENUES</vt:lpstr>
      <vt:lpstr>EXPENSES</vt:lpstr>
      <vt:lpstr>ML-007</vt:lpstr>
      <vt:lpstr>ML-004</vt:lpstr>
      <vt:lpstr>BALANCE SHEET</vt:lpstr>
      <vt:lpstr>CASH FLOW</vt:lpstr>
      <vt:lpstr>SOTP</vt:lpstr>
      <vt:lpstr>Questions for Mgmt</vt:lpstr>
      <vt:lpstr>'BALANCE SHEET'!Print_Area</vt:lpstr>
      <vt:lpstr>'CASH FLOW'!Print_Area</vt:lpstr>
      <vt:lpstr>EXPENSES!Print_Area</vt:lpstr>
      <vt:lpstr>'INCOME STATEMENT'!Print_Area</vt:lpstr>
      <vt:lpstr>REVENUES!Print_Area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Goodman, Marc</dc:creator>
  <cp:lastModifiedBy>Larios, Alyssa</cp:lastModifiedBy>
  <cp:lastPrinted>2019-01-18T03:00:56Z</cp:lastPrinted>
  <dcterms:created xsi:type="dcterms:W3CDTF">2018-05-31T14:13:03Z</dcterms:created>
  <dcterms:modified xsi:type="dcterms:W3CDTF">2026-03-27T21:51:41Z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Id">
    <vt:lpwstr>673cb25f-e5e1-41c8-bcdf-c63f178e7150</vt:lpwstr>
  </property>
  <property fmtid="{D5CDD505-2E9C-101B-9397-08002B2CF9AE}" pid="4" name="ContentTypeId">
    <vt:lpwstr>0x010100C5125C545D03AB44BD1A74E0497B8F76</vt:lpwstr>
  </property>
</Properties>
</file>