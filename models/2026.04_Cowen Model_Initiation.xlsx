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https://myteam.td.com/sites/tdc-biotechwp/BiotechWP/Thome/Vetting Calls/Maplight/Final docs/"/>
    </mc:Choice>
  </mc:AlternateContent>
  <xr:revisionPtr revIDLastSave="76" documentId="8_{800DA2C2-9E66-442F-A829-8823E594CCBB}" xr6:coauthVersionLast="47" xr6:coauthVersionMax="47" xr10:uidLastSave="{0F888F40-557E-45F1-97BB-44C32ED84256}"/>
  <bookViews>
    <workbookView xWindow="43260" yWindow="6488" windowWidth="28485" windowHeight="15532" tabRatio="601" activeTab="1" xr2:uid="{00000000-000D-0000-FFFF-FFFF00000000}"/>
  </bookViews>
  <sheets>
    <sheet name="Disclosures" sheetId="28" r:id="rId1"/>
    <sheet name="Quarterly" sheetId="2" r:id="rId2"/>
    <sheet name="Annual" sheetId="3" r:id="rId3"/>
    <sheet name="Schizophrenia" sheetId="22" r:id="rId4"/>
    <sheet name="007 NPV" sheetId="23" r:id="rId5"/>
    <sheet name="SOTP" sheetId="24" state="hidden" r:id="rId6"/>
    <sheet name="BlueMatrix" sheetId="9" r:id="rId7"/>
  </sheets>
  <externalReferences>
    <externalReference r:id="rId8"/>
    <externalReference r:id="rId9"/>
    <externalReference r:id="rId10"/>
    <externalReference r:id="rId11"/>
    <externalReference r:id="rId12"/>
    <externalReference r:id="rId13"/>
  </externalReferences>
  <definedNames>
    <definedName name="\B">#REF!</definedName>
    <definedName name="\C">#REF!</definedName>
    <definedName name="\D">#REF!</definedName>
    <definedName name="\E">#REF!</definedName>
    <definedName name="\F">#REF!</definedName>
    <definedName name="\G">#REF!</definedName>
    <definedName name="\H">#REF!</definedName>
    <definedName name="\I">#REF!</definedName>
    <definedName name="\L">#REF!</definedName>
    <definedName name="\r">#REF!</definedName>
    <definedName name="\T">#REF!</definedName>
    <definedName name="_____EPO2" hidden="1">{"ww",#N/A,FALSE,"Hospital Products";"us",#N/A,FALSE,"Hospital Products";"in",#N/A,FALSE,"Hospital Products"}</definedName>
    <definedName name="____EPO2" localSheetId="0" hidden="1">{"ww",#N/A,FALSE,"Hospital Products";"us",#N/A,FALSE,"Hospital Products";"in",#N/A,FALSE,"Hospital Products"}</definedName>
    <definedName name="___EPO2" hidden="1">{"ww",#N/A,FALSE,"Hospital Products";"us",#N/A,FALSE,"Hospital Products";"in",#N/A,FALSE,"Hospital Products"}</definedName>
    <definedName name="___PRT1">#REF!</definedName>
    <definedName name="___PRT2">#REF!</definedName>
    <definedName name="___PRT3">#REF!</definedName>
    <definedName name="___PRT4">#REF!</definedName>
    <definedName name="___PRT5">#REF!</definedName>
    <definedName name="___PRT6">#REF!</definedName>
    <definedName name="___PRT7">#REF!</definedName>
    <definedName name="___PRT8">#REF!</definedName>
    <definedName name="___PT5">#REF!</definedName>
    <definedName name="__123Graph_A" hidden="1">#REF!</definedName>
    <definedName name="__123Graph_ACurrent" hidden="1">#REF!</definedName>
    <definedName name="__123Graph_B" hidden="1">#REF!</definedName>
    <definedName name="__123Graph_BCurrent"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EPO1" hidden="1">{"ww",#N/A,FALSE,"Hospital Products";"us",#N/A,FALSE,"Hospital Products";"in",#N/A,FALSE,"Hospital Products"}</definedName>
    <definedName name="__EPO2" localSheetId="0" hidden="1">{"ww",#N/A,FALSE,"Hospital Products";"us",#N/A,FALSE,"Hospital Products";"in",#N/A,FALSE,"Hospital Products"}</definedName>
    <definedName name="__EPO2" hidden="1">{"ww",#N/A,FALSE,"Hospital Products";"us",#N/A,FALSE,"Hospital Products";"in",#N/A,FALSE,"Hospital Products"}</definedName>
    <definedName name="__EPO3" hidden="1">{"ww",#N/A,FALSE,"Hospital Products";"us",#N/A,FALSE,"Hospital Products";"in",#N/A,FALSE,"Hospital Products"}</definedName>
    <definedName name="__EPO4" hidden="1">{"ww",#N/A,FALSE,"Hospital Products";"us",#N/A,FALSE,"Hospital Products";"in",#N/A,FALSE,"Hospital Products"}</definedName>
    <definedName name="__FDS_HYPERLINK_TOGGLE_STATE__" hidden="1">"ON"</definedName>
    <definedName name="__FDS_UNIQUE_RANGE_ID_GENERATOR_COUNTER">1</definedName>
    <definedName name="__PRT1">#REF!</definedName>
    <definedName name="__PRT2">#REF!</definedName>
    <definedName name="__PRT3">#REF!</definedName>
    <definedName name="__PRT4">#REF!</definedName>
    <definedName name="__PRT5">#REF!</definedName>
    <definedName name="__PRT6">#REF!</definedName>
    <definedName name="__PRT7">#REF!</definedName>
    <definedName name="__PRT8">#REF!</definedName>
    <definedName name="__PT5">#REF!</definedName>
    <definedName name="_1__FDSAUDITLINK__" hidden="1">{"fdsup://Directions/FactSet Auditing Viewer?action=AUDIT_VALUE&amp;DB=129&amp;ID1=87162T20&amp;VALUEID=02001&amp;SDATE=201002&amp;PERIODTYPE=QTR_STD&amp;window=popup_no_bar&amp;width=385&amp;height=120&amp;START_MAXIMIZED=FALSE&amp;creator=factset&amp;display_string=Audit"}</definedName>
    <definedName name="_10__FDSAUDITLINK__" hidden="1">{"fdsup://Directions/FactSet Auditing Viewer?action=AUDIT_VALUE&amp;DB=129&amp;ID1=92560210&amp;VALUEID=02001&amp;SDATE=201002&amp;PERIODTYPE=QTR_STD&amp;window=popup_no_bar&amp;width=385&amp;height=120&amp;START_MAXIMIZED=FALSE&amp;creator=factset&amp;display_string=Audit"}</definedName>
    <definedName name="_100__FDSAUDITLINK__" hidden="1">{"fdsup://Directions/FactSet Auditing Viewer?action=AUDIT_VALUE&amp;DB=129&amp;ID1=62855J10&amp;VALUEID=02001&amp;SDATE=201002&amp;PERIODTYPE=QTR_STD&amp;window=popup_no_bar&amp;width=385&amp;height=120&amp;START_MAXIMIZED=FALSE&amp;creator=factset&amp;display_string=Audit"}</definedName>
    <definedName name="_101__FDSAUDITLINK__" hidden="1">{"fdsup://Directions/FactSet Auditing Viewer?action=AUDIT_VALUE&amp;DB=129&amp;ID1=62855J10&amp;VALUEID=01001&amp;SDATE=2009&amp;PERIODTYPE=ANN_STD&amp;window=popup_no_bar&amp;width=385&amp;height=120&amp;START_MAXIMIZED=FALSE&amp;creator=factset&amp;display_string=Audit"}</definedName>
    <definedName name="_102__FDSAUDITLINK__" hidden="1">{"fdsup://Directions/FactSet Auditing Viewer?action=AUDIT_VALUE&amp;DB=129&amp;ID1=62855J10&amp;VALUEID=02001&amp;SDATE=201002&amp;PERIODTYPE=QTR_STD&amp;window=popup_no_bar&amp;width=385&amp;height=120&amp;START_MAXIMIZED=FALSE&amp;creator=factset&amp;display_string=Audit"}</definedName>
    <definedName name="_103__FDSAUDITLINK__" hidden="1">{"fdsup://Directions/FactSet Auditing Viewer?action=AUDIT_VALUE&amp;DB=129&amp;ID1=45252610&amp;VALUEID=01001&amp;SDATE=2008&amp;PERIODTYPE=ANN_STD&amp;window=popup_no_bar&amp;width=385&amp;height=120&amp;START_MAXIMIZED=FALSE&amp;creator=factset&amp;display_string=Audit"}</definedName>
    <definedName name="_104__FDSAUDITLINK__" hidden="1">{"fdsup://Directions/FactSet Auditing Viewer?action=AUDIT_VALUE&amp;DB=129&amp;ID1=07581110&amp;VALUEID=01001&amp;SDATE=2009&amp;PERIODTYPE=ANN_STD&amp;window=popup_no_bar&amp;width=385&amp;height=120&amp;START_MAXIMIZED=FALSE&amp;creator=factset&amp;display_string=Audit"}</definedName>
    <definedName name="_105__FDSAUDITLINK__" hidden="1">{"fdsup://Directions/FactSet Auditing Viewer?action=AUDIT_VALUE&amp;DB=129&amp;ID1=45252610&amp;VALUEID=02001&amp;SDATE=200902&amp;PERIODTYPE=QTR_STD&amp;window=popup_no_bar&amp;width=385&amp;height=120&amp;START_MAXIMIZED=FALSE&amp;creator=factset&amp;display_string=Audit"}</definedName>
    <definedName name="_106__FDSAUDITLINK__" hidden="1">{"fdsup://Directions/FactSet Auditing Viewer?action=AUDIT_VALUE&amp;DB=129&amp;ID1=07581110&amp;VALUEID=02001&amp;SDATE=200903&amp;PERIODTYPE=QTR_STD&amp;window=popup_no_bar&amp;width=385&amp;height=120&amp;START_MAXIMIZED=FALSE&amp;creator=factset&amp;display_string=Audit"}</definedName>
    <definedName name="_107__FDSAUDITLINK__" hidden="1">{"fdsup://Directions/FactSet Auditing Viewer?action=AUDIT_VALUE&amp;DB=129&amp;ID1=92407M20&amp;VALUEID=01001&amp;SDATE=2007&amp;PERIODTYPE=ANN_STD&amp;window=popup_no_bar&amp;width=385&amp;height=120&amp;START_MAXIMIZED=FALSE&amp;creator=factset&amp;display_string=Audit"}</definedName>
    <definedName name="_108__FDSAUDITLINK__" hidden="1">{"fdsup://Directions/FactSet Auditing Viewer?action=AUDIT_VALUE&amp;DB=129&amp;ID1=84842R10&amp;VALUEID=01001&amp;SDATE=2008&amp;PERIODTYPE=ANN_STD&amp;window=popup_no_bar&amp;width=385&amp;height=120&amp;START_MAXIMIZED=FALSE&amp;creator=factset&amp;display_string=Audit"}</definedName>
    <definedName name="_109__FDSAUDITLINK__" hidden="1">{"fdsup://Directions/FactSet Auditing Viewer?action=AUDIT_VALUE&amp;DB=129&amp;ID1=81733740&amp;VALUEID=01001&amp;SDATE=2008&amp;PERIODTYPE=ANN_STD&amp;window=popup_no_bar&amp;width=385&amp;height=120&amp;START_MAXIMIZED=FALSE&amp;creator=factset&amp;display_string=Audit"}</definedName>
    <definedName name="_11__FDSAUDITLINK__" hidden="1">{"fdsup://Directions/FactSet Auditing Viewer?action=AUDIT_VALUE&amp;DB=129&amp;ID1=09064310&amp;VALUEID=02001&amp;SDATE=201002&amp;PERIODTYPE=QTR_STD&amp;window=popup_no_bar&amp;width=385&amp;height=120&amp;START_MAXIMIZED=FALSE&amp;creator=factset&amp;display_string=Audit"}</definedName>
    <definedName name="_110__FDSAUDITLINK__" hidden="1">{"fdsup://Directions/FactSet Auditing Viewer?action=AUDIT_VALUE&amp;DB=129&amp;ID1=76123U10&amp;VALUEID=01001&amp;SDATE=2008&amp;PERIODTYPE=ANN_STD&amp;window=popup_no_bar&amp;width=385&amp;height=120&amp;START_MAXIMIZED=FALSE&amp;creator=factset&amp;display_string=Audit"}</definedName>
    <definedName name="_111__FDSAUDITLINK__" hidden="1">{"fdsup://Directions/FactSet Auditing Viewer?action=AUDIT_VALUE&amp;DB=129&amp;ID1=75049110&amp;VALUEID=01001&amp;SDATE=2008&amp;PERIODTYPE=ANN_STD&amp;window=popup_no_bar&amp;width=385&amp;height=120&amp;START_MAXIMIZED=FALSE&amp;creator=factset&amp;display_string=Audit"}</definedName>
    <definedName name="_112__FDSAUDITLINK__" hidden="1">{"fdsup://Directions/FactSet Auditing Viewer?action=AUDIT_VALUE&amp;DB=129&amp;ID1=74834L10&amp;VALUEID=01001&amp;SDATE=2009&amp;PERIODTYPE=ANN_STD&amp;window=popup_no_bar&amp;width=385&amp;height=120&amp;START_MAXIMIZED=FALSE&amp;creator=factset&amp;display_string=Audit"}</definedName>
    <definedName name="_113__FDSAUDITLINK__" hidden="1">{"fdsup://Directions/FactSet Auditing Viewer?action=AUDIT_VALUE&amp;DB=129&amp;ID1=74437520&amp;VALUEID=01001&amp;SDATE=2008&amp;PERIODTYPE=ANN_STD&amp;window=popup_no_bar&amp;width=385&amp;height=120&amp;START_MAXIMIZED=FALSE&amp;creator=factset&amp;display_string=Audit"}</definedName>
    <definedName name="_114__FDSAUDITLINK__" hidden="1">{"fdsup://Directions/FactSet Auditing Viewer?action=AUDIT_VALUE&amp;DB=129&amp;ID1=71712410&amp;VALUEID=01001&amp;SDATE=2009&amp;PERIODTYPE=ANN_STD&amp;window=popup_no_bar&amp;width=385&amp;height=120&amp;START_MAXIMIZED=FALSE&amp;creator=factset&amp;display_string=Audit"}</definedName>
    <definedName name="_115__FDSAUDITLINK__" hidden="1">{"fdsup://Directions/FactSet Auditing Viewer?action=AUDIT_VALUE&amp;DB=129&amp;ID1=71404610&amp;VALUEID=01001&amp;SDATE=2009&amp;PERIODTYPE=ANN_STD&amp;window=popup_no_bar&amp;width=385&amp;height=120&amp;START_MAXIMIZED=FALSE&amp;creator=factset&amp;display_string=Audit"}</definedName>
    <definedName name="_116__FDSAUDITLINK__" hidden="1">{"fdsup://Directions/FactSet Auditing Viewer?action=AUDIT_VALUE&amp;DB=129&amp;ID1=64049M20&amp;VALUEID=01001&amp;SDATE=2008&amp;PERIODTYPE=ANN_STD&amp;window=popup_no_bar&amp;width=385&amp;height=120&amp;START_MAXIMIZED=FALSE&amp;creator=factset&amp;display_string=Audit"}</definedName>
    <definedName name="_117__FDSAUDITLINK__" hidden="1">{"fdsup://Directions/FactSet Auditing Viewer?action=AUDIT_VALUE&amp;DB=129&amp;ID1=63563H10&amp;VALUEID=01001&amp;SDATE=2008&amp;PERIODTYPE=ANN_STD&amp;window=popup_no_bar&amp;width=385&amp;height=120&amp;START_MAXIMIZED=FALSE&amp;creator=factset&amp;display_string=Audit"}</definedName>
    <definedName name="_118__FDSAUDITLINK__" hidden="1">{"fdsup://Directions/FactSet Auditing Viewer?action=AUDIT_VALUE&amp;DB=129&amp;ID1=58497720&amp;VALUEID=01001&amp;SDATE=2009&amp;PERIODTYPE=ANN_STD&amp;window=popup_no_bar&amp;width=385&amp;height=120&amp;START_MAXIMIZED=FALSE&amp;creator=factset&amp;display_string=Audit"}</definedName>
    <definedName name="_119__FDSAUDITLINK__" hidden="1">{"fdsup://Directions/FactSet Auditing Viewer?action=AUDIT_VALUE&amp;DB=129&amp;ID1=50540R40&amp;VALUEID=01001&amp;SDATE=2009&amp;PERIODTYPE=ANN_STD&amp;window=popup_no_bar&amp;width=385&amp;height=120&amp;START_MAXIMIZED=FALSE&amp;creator=factset&amp;display_string=Audit"}</definedName>
    <definedName name="_12__FDSAUDITLINK__" hidden="1">{"fdsup://Directions/FactSet Auditing Viewer?action=AUDIT_VALUE&amp;DB=129&amp;ID1=45665G30&amp;VALUEID=02001&amp;SDATE=201002&amp;PERIODTYPE=QTR_STD&amp;window=popup_no_bar&amp;width=385&amp;height=120&amp;START_MAXIMIZED=FALSE&amp;creator=factset&amp;display_string=Audit"}</definedName>
    <definedName name="_120__FDSAUDITLINK__" hidden="1">{"fdsup://Directions/FactSet Auditing Viewer?action=AUDIT_VALUE&amp;DB=129&amp;ID1=46126P10&amp;VALUEID=01001&amp;SDATE=2009&amp;PERIODTYPE=ANN_STD&amp;window=popup_no_bar&amp;width=385&amp;height=120&amp;START_MAXIMIZED=FALSE&amp;creator=factset&amp;display_string=Audit"}</definedName>
    <definedName name="_121__FDSAUDITLINK__" hidden="1">{"fdsup://Directions/FactSet Auditing Viewer?action=AUDIT_VALUE&amp;DB=129&amp;ID1=45873810&amp;VALUEID=01001&amp;SDATE=2008&amp;PERIODTYPE=ANN_STD&amp;window=popup_no_bar&amp;width=385&amp;height=120&amp;START_MAXIMIZED=FALSE&amp;creator=factset&amp;display_string=Audit"}</definedName>
    <definedName name="_122__FDSAUDITLINK__" hidden="1">{"fdsup://Directions/FactSet Auditing Viewer?action=AUDIT_VALUE&amp;DB=129&amp;ID1=36866T10&amp;VALUEID=01001&amp;SDATE=2008&amp;PERIODTYPE=ANN_STD&amp;window=popup_no_bar&amp;width=385&amp;height=120&amp;START_MAXIMIZED=FALSE&amp;creator=factset&amp;display_string=Audit"}</definedName>
    <definedName name="_123__FDSAUDITLINK__" hidden="1">{"fdsup://Directions/FactSet Auditing Viewer?action=AUDIT_VALUE&amp;DB=129&amp;ID1=37243V10&amp;VALUEID=01001&amp;SDATE=2008&amp;PERIODTYPE=ANN_STD&amp;window=popup_no_bar&amp;width=385&amp;height=120&amp;START_MAXIMIZED=FALSE&amp;creator=factset&amp;display_string=Audit"}</definedName>
    <definedName name="_124__FDSAUDITLINK__" hidden="1">{"fdsup://Directions/FactSet Auditing Viewer?action=AUDIT_VALUE&amp;DB=129&amp;ID1=37244C10&amp;VALUEID=01001&amp;SDATE=2009&amp;PERIODTYPE=ANN_STD&amp;window=popup_no_bar&amp;width=385&amp;height=120&amp;START_MAXIMIZED=FALSE&amp;creator=factset&amp;display_string=Audit"}</definedName>
    <definedName name="_125__FDSAUDITLINK__" hidden="1">{"fdsup://Directions/FactSet Auditing Viewer?action=AUDIT_VALUE&amp;DB=129&amp;ID1=36870F10&amp;VALUEID=01001&amp;SDATE=2008&amp;PERIODTYPE=ANN_STD&amp;window=popup_no_bar&amp;width=385&amp;height=120&amp;START_MAXIMIZED=FALSE&amp;creator=factset&amp;display_string=Audit"}</definedName>
    <definedName name="_126__FDSAUDITLINK__" hidden="1">{"fdsup://Directions/FactSet Auditing Viewer?action=AUDIT_VALUE&amp;DB=129&amp;ID1=B1XGBT&amp;VALUEID=01001&amp;SDATE=2008&amp;PERIODTYPE=ANN_STD&amp;window=popup_no_bar&amp;width=385&amp;height=120&amp;START_MAXIMIZED=FALSE&amp;creator=factset&amp;display_string=Audit"}</definedName>
    <definedName name="_127__FDSAUDITLINK__" hidden="1">{"fdsup://Directions/FactSet Auditing Viewer?action=AUDIT_VALUE&amp;DB=129&amp;ID1=30063P10&amp;VALUEID=01001&amp;SDATE=2008&amp;PERIODTYPE=ANN_STD&amp;window=popup_no_bar&amp;width=385&amp;height=120&amp;START_MAXIMIZED=FALSE&amp;creator=factset&amp;display_string=Audit"}</definedName>
    <definedName name="_128__FDSAUDITLINK__" hidden="1">{"fdsup://Directions/FactSet Auditing Viewer?action=AUDIT_VALUE&amp;DB=129&amp;ID1=29481V10&amp;VALUEID=01001&amp;SDATE=2008&amp;PERIODTYPE=ANN_STD&amp;window=popup_no_bar&amp;width=385&amp;height=120&amp;START_MAXIMIZED=FALSE&amp;creator=factset&amp;display_string=Audit"}</definedName>
    <definedName name="_129__FDSAUDITLINK__" hidden="1">{"fdsup://Directions/FactSet Auditing Viewer?action=AUDIT_VALUE&amp;DB=129&amp;ID1=29410010&amp;VALUEID=01001&amp;SDATE=2009&amp;PERIODTYPE=ANN_STD&amp;window=popup_no_bar&amp;width=385&amp;height=120&amp;START_MAXIMIZED=FALSE&amp;creator=factset&amp;display_string=Audit"}</definedName>
    <definedName name="_13__FDSAUDITLINK__" hidden="1">{"fdsup://Directions/FactSet Auditing Viewer?action=AUDIT_VALUE&amp;DB=129&amp;ID1=36866T10&amp;VALUEID=01001&amp;SDATE=2008&amp;PERIODTYPE=ANN_STD&amp;window=popup_no_bar&amp;width=385&amp;height=120&amp;START_MAXIMIZED=FALSE&amp;creator=factset&amp;display_string=Audit"}</definedName>
    <definedName name="_130__FDSAUDITLINK__" hidden="1">{"fdsup://Directions/FactSet Auditing Viewer?action=AUDIT_VALUE&amp;DB=129&amp;ID1=22281610&amp;VALUEID=01001&amp;SDATE=2009&amp;PERIODTYPE=ANN_STD&amp;window=popup_no_bar&amp;width=385&amp;height=120&amp;START_MAXIMIZED=FALSE&amp;creator=factset&amp;display_string=Audit"}</definedName>
    <definedName name="_131__FDSAUDITLINK__" hidden="1">{"fdsup://Directions/FactSet Auditing Viewer?action=AUDIT_VALUE&amp;DB=129&amp;ID1=18048910&amp;VALUEID=01001&amp;SDATE=2008&amp;PERIODTYPE=ANN_STD&amp;window=popup_no_bar&amp;width=385&amp;height=120&amp;START_MAXIMIZED=FALSE&amp;creator=factset&amp;display_string=Audit"}</definedName>
    <definedName name="_132__FDSAUDITLINK__" hidden="1">{"fdsup://Directions/FactSet Auditing Viewer?action=AUDIT_VALUE&amp;DB=129&amp;ID1=98411710&amp;VALUEID=01001&amp;SDATE=2009&amp;PERIODTYPE=ANN_STD&amp;window=popup_no_bar&amp;width=385&amp;height=120&amp;START_MAXIMIZED=FALSE&amp;creator=factset&amp;display_string=Audit"}</definedName>
    <definedName name="_133__FDSAUDITLINK__" hidden="1">{"fdsup://Directions/FactSet Auditing Viewer?action=AUDIT_VALUE&amp;DB=129&amp;ID1=62855J10&amp;VALUEID=01001&amp;SDATE=2009&amp;PERIODTYPE=ANN_STD&amp;window=popup_no_bar&amp;width=385&amp;height=120&amp;START_MAXIMIZED=FALSE&amp;creator=factset&amp;display_string=Audit"}</definedName>
    <definedName name="_134__FDSAUDITLINK__" hidden="1">{"fdsup://Directions/FactSet Auditing Viewer?action=AUDIT_VALUE&amp;DB=129&amp;ID1=37243V10&amp;VALUEID=01001&amp;SDATE=2008&amp;PERIODTYPE=ANN_STD&amp;window=popup_no_bar&amp;width=385&amp;height=120&amp;START_MAXIMIZED=FALSE&amp;creator=factset&amp;display_string=Audit"}</definedName>
    <definedName name="_135__FDSAUDITLINK__" hidden="1">{"fdsup://Directions/FactSet Auditing Viewer?action=AUDIT_VALUE&amp;DB=129&amp;ID1=227124&amp;VALUEID=01001&amp;SDATE=2009&amp;PERIODTYPE=ANN_STD&amp;window=popup_no_bar&amp;width=385&amp;height=120&amp;START_MAXIMIZED=FALSE&amp;creator=factset&amp;display_string=Audit"}</definedName>
    <definedName name="_136__FDSAUDITLINK__" hidden="1">{"fdsup://Directions/FactSet Auditing Viewer?action=AUDIT_VALUE&amp;DB=129&amp;ID1=94109210&amp;VALUEID=01001&amp;SDATE=2008&amp;PERIODTYPE=ANN_STD&amp;window=popup_no_bar&amp;width=385&amp;height=120&amp;START_MAXIMIZED=FALSE&amp;creator=factset&amp;display_string=Audit"}</definedName>
    <definedName name="_137__FDSAUDITLINK__" hidden="1">{"fdsup://Directions/FactSet Auditing Viewer?action=AUDIT_VALUE&amp;DB=129&amp;ID1=15670R10&amp;VALUEID=01001&amp;SDATE=2009&amp;PERIODTYPE=ANN_STD&amp;window=popup_no_bar&amp;width=385&amp;height=120&amp;START_MAXIMIZED=FALSE&amp;creator=factset&amp;display_string=Audit"}</definedName>
    <definedName name="_138__FDSAUDITLINK__" hidden="1">{"fdsup://Directions/FactSet Auditing Viewer?action=AUDIT_VALUE&amp;DB=129&amp;ID1=15100E10&amp;VALUEID=01001&amp;SDATE=2008&amp;PERIODTYPE=ANN_STD&amp;window=popup_no_bar&amp;width=385&amp;height=120&amp;START_MAXIMIZED=FALSE&amp;creator=factset&amp;display_string=Audit"}</definedName>
    <definedName name="_139__FDSAUDITLINK__" hidden="1">{"fdsup://Directions/FactSet Auditing Viewer?action=AUDIT_VALUE&amp;DB=129&amp;ID1=09057G60&amp;VALUEID=01001&amp;SDATE=2009&amp;PERIODTYPE=ANN_STD&amp;window=popup_no_bar&amp;width=385&amp;height=120&amp;START_MAXIMIZED=FALSE&amp;creator=factset&amp;display_string=Audit"}</definedName>
    <definedName name="_14__FDSAUDITLINK__" hidden="1">{"fdsup://Directions/FactSet Auditing Viewer?action=AUDIT_VALUE&amp;DB=129&amp;ID1=37243V10&amp;VALUEID=01001&amp;SDATE=2008&amp;PERIODTYPE=ANN_STD&amp;window=popup_no_bar&amp;width=385&amp;height=120&amp;START_MAXIMIZED=FALSE&amp;creator=factset&amp;display_string=Audit"}</definedName>
    <definedName name="_140__FDSAUDITLINK__" hidden="1">{"fdsup://Directions/FactSet Auditing Viewer?action=AUDIT_VALUE&amp;DB=129&amp;ID1=45252610&amp;VALUEID=01001&amp;SDATE=2008&amp;PERIODTYPE=ANN_STD&amp;window=popup_no_bar&amp;width=385&amp;height=120&amp;START_MAXIMIZED=FALSE&amp;creator=factset&amp;display_string=Audit"}</definedName>
    <definedName name="_141__FDSAUDITLINK__" hidden="1">{"fdsup://Directions/FactSet Auditing Viewer?action=AUDIT_VALUE&amp;DB=129&amp;ID1=07581110&amp;VALUEID=01001&amp;SDATE=2009&amp;PERIODTYPE=ANN_STD&amp;window=popup_no_bar&amp;width=385&amp;height=120&amp;START_MAXIMIZED=FALSE&amp;creator=factset&amp;display_string=Audit"}</definedName>
    <definedName name="_142__FDSAUDITLINK__" hidden="1">{"fdsup://Directions/FactSet Auditing Viewer?action=AUDIT_VALUE&amp;DB=129&amp;ID1=09071B10&amp;VALUEID=01001&amp;SDATE=2009&amp;PERIODTYPE=ANN_STD&amp;window=popup_no_bar&amp;width=385&amp;height=120&amp;START_MAXIMIZED=FALSE&amp;creator=factset&amp;display_string=Audit"}</definedName>
    <definedName name="_143__FDSAUDITLINK__" hidden="1">{"fdsup://Directions/FactSet Auditing Viewer?action=AUDIT_VALUE&amp;DB=129&amp;ID1=92407M20&amp;VALUEID=02001&amp;SDATE=200803&amp;PERIODTYPE=QTR_STD&amp;window=popup_no_bar&amp;width=385&amp;height=120&amp;START_MAXIMIZED=FALSE&amp;creator=factset&amp;display_string=Audit"}</definedName>
    <definedName name="_144__FDSAUDITLINK__" hidden="1">{"fdsup://Directions/FactSet Auditing Viewer?action=AUDIT_VALUE&amp;DB=129&amp;ID1=84842R10&amp;VALUEID=02001&amp;SDATE=200903&amp;PERIODTYPE=QTR_STD&amp;window=popup_no_bar&amp;width=385&amp;height=120&amp;START_MAXIMIZED=FALSE&amp;creator=factset&amp;display_string=Audit"}</definedName>
    <definedName name="_145__FDSAUDITLINK__" hidden="1">{"fdsup://Directions/FactSet Auditing Viewer?action=AUDIT_VALUE&amp;DB=129&amp;ID1=81733740&amp;VALUEID=02001&amp;SDATE=200903&amp;PERIODTYPE=QTR_STD&amp;window=popup_no_bar&amp;width=385&amp;height=120&amp;START_MAXIMIZED=FALSE&amp;creator=factset&amp;display_string=Audit"}</definedName>
    <definedName name="_146__FDSAUDITLINK__" hidden="1">{"fdsup://Directions/FactSet Auditing Viewer?action=AUDIT_VALUE&amp;DB=129&amp;ID1=76123U10&amp;VALUEID=02001&amp;SDATE=200903&amp;PERIODTYPE=QTR_STD&amp;window=popup_no_bar&amp;width=385&amp;height=120&amp;START_MAXIMIZED=FALSE&amp;creator=factset&amp;display_string=Audit"}</definedName>
    <definedName name="_147__FDSAUDITLINK__" hidden="1">{"fdsup://Directions/FactSet Auditing Viewer?action=AUDIT_VALUE&amp;DB=129&amp;ID1=75049110&amp;VALUEID=02001&amp;SDATE=200903&amp;PERIODTYPE=QTR_STD&amp;window=popup_no_bar&amp;width=385&amp;height=120&amp;START_MAXIMIZED=FALSE&amp;creator=factset&amp;display_string=Audit"}</definedName>
    <definedName name="_148__FDSAUDITLINK__" hidden="1">{"fdsup://Directions/FactSet Auditing Viewer?action=AUDIT_VALUE&amp;DB=129&amp;ID1=74834L10&amp;VALUEID=02001&amp;SDATE=200903&amp;PERIODTYPE=QTR_STD&amp;window=popup_no_bar&amp;width=385&amp;height=120&amp;START_MAXIMIZED=FALSE&amp;creator=factset&amp;display_string=Audit"}</definedName>
    <definedName name="_149__FDSAUDITLINK__" hidden="1">{"fdsup://Directions/FactSet Auditing Viewer?action=AUDIT_VALUE&amp;DB=129&amp;ID1=74437520&amp;VALUEID=02001&amp;SDATE=200903&amp;PERIODTYPE=QTR_STD&amp;window=popup_no_bar&amp;width=385&amp;height=120&amp;START_MAXIMIZED=FALSE&amp;creator=factset&amp;display_string=Audit"}</definedName>
    <definedName name="_15__FDSAUDITLINK__" hidden="1">{"fdsup://Directions/FactSet Auditing Viewer?action=AUDIT_VALUE&amp;DB=129&amp;ID1=37244C10&amp;VALUEID=01001&amp;SDATE=2009&amp;PERIODTYPE=ANN_STD&amp;window=popup_no_bar&amp;width=385&amp;height=120&amp;START_MAXIMIZED=FALSE&amp;creator=factset&amp;display_string=Audit"}</definedName>
    <definedName name="_150__FDSAUDITLINK__" hidden="1">{"fdsup://Directions/FactSet Auditing Viewer?action=AUDIT_VALUE&amp;DB=129&amp;ID1=71712410&amp;VALUEID=02001&amp;SDATE=200903&amp;PERIODTYPE=QTR_STD&amp;window=popup_no_bar&amp;width=385&amp;height=120&amp;START_MAXIMIZED=FALSE&amp;creator=factset&amp;display_string=Audit"}</definedName>
    <definedName name="_151__FDSAUDITLINK__" hidden="1">{"fdsup://Directions/FactSet Auditing Viewer?action=AUDIT_VALUE&amp;DB=129&amp;ID1=71404610&amp;VALUEID=02001&amp;SDATE=200903&amp;PERIODTYPE=QTR_STD&amp;window=popup_no_bar&amp;width=385&amp;height=120&amp;START_MAXIMIZED=FALSE&amp;creator=factset&amp;display_string=Audit"}</definedName>
    <definedName name="_152__FDSAUDITLINK__" hidden="1">{"fdsup://Directions/FactSet Auditing Viewer?action=AUDIT_VALUE&amp;DB=129&amp;ID1=64127R30&amp;VALUEID=02001&amp;SDATE=200903&amp;PERIODTYPE=QTR_STD&amp;window=popup_no_bar&amp;width=385&amp;height=120&amp;START_MAXIMIZED=FALSE&amp;creator=factset&amp;display_string=Audit"}</definedName>
    <definedName name="_153__FDSAUDITLINK__" hidden="1">{"fdsup://Directions/FactSet Auditing Viewer?action=AUDIT_VALUE&amp;DB=129&amp;ID1=64049M20&amp;VALUEID=02001&amp;SDATE=200903&amp;PERIODTYPE=QTR_STD&amp;window=popup_no_bar&amp;width=385&amp;height=120&amp;START_MAXIMIZED=FALSE&amp;creator=factset&amp;display_string=Audit"}</definedName>
    <definedName name="_154__FDSAUDITLINK__" hidden="1">{"fdsup://Directions/FactSet Auditing Viewer?action=AUDIT_VALUE&amp;DB=129&amp;ID1=63563H10&amp;VALUEID=02001&amp;SDATE=200903&amp;PERIODTYPE=QTR_STD&amp;window=popup_no_bar&amp;width=385&amp;height=120&amp;START_MAXIMIZED=FALSE&amp;creator=factset&amp;display_string=Audit"}</definedName>
    <definedName name="_155__FDSAUDITLINK__" hidden="1">{"fdsup://Directions/FactSet Auditing Viewer?action=AUDIT_VALUE&amp;DB=129&amp;ID1=58497720&amp;VALUEID=02001&amp;SDATE=200903&amp;PERIODTYPE=QTR_STD&amp;window=popup_no_bar&amp;width=385&amp;height=120&amp;START_MAXIMIZED=FALSE&amp;creator=factset&amp;display_string=Audit"}</definedName>
    <definedName name="_156__FDSAUDITLINK__" hidden="1">{"fdsup://Directions/FactSet Auditing Viewer?action=AUDIT_VALUE&amp;DB=129&amp;ID1=58404X10&amp;VALUEID=02001&amp;SDATE=200903&amp;PERIODTYPE=QTR_STD&amp;window=popup_no_bar&amp;width=385&amp;height=120&amp;START_MAXIMIZED=FALSE&amp;creator=factset&amp;display_string=Audit"}</definedName>
    <definedName name="_157__FDSAUDITLINK__" hidden="1">{"fdsup://Directions/FactSet Auditing Viewer?action=AUDIT_VALUE&amp;DB=129&amp;ID1=50540R40&amp;VALUEID=02001&amp;SDATE=200903&amp;PERIODTYPE=QTR_STD&amp;window=popup_no_bar&amp;width=385&amp;height=120&amp;START_MAXIMIZED=FALSE&amp;creator=factset&amp;display_string=Audit"}</definedName>
    <definedName name="_158__FDSAUDITLINK__" hidden="1">{"fdsup://Directions/FactSet Auditing Viewer?action=AUDIT_VALUE&amp;DB=129&amp;ID1=46126P10&amp;VALUEID=02001&amp;SDATE=200903&amp;PERIODTYPE=QTR_STD&amp;window=popup_no_bar&amp;width=385&amp;height=120&amp;START_MAXIMIZED=FALSE&amp;creator=factset&amp;display_string=Audit"}</definedName>
    <definedName name="_159__FDSAUDITLINK__" hidden="1">{"fdsup://Directions/FactSet Auditing Viewer?action=AUDIT_VALUE&amp;DB=129&amp;ID1=45873810&amp;VALUEID=02001&amp;SDATE=200903&amp;PERIODTYPE=QTR_STD&amp;window=popup_no_bar&amp;width=385&amp;height=120&amp;START_MAXIMIZED=FALSE&amp;creator=factset&amp;display_string=Audit"}</definedName>
    <definedName name="_16__FDSAUDITLINK__" hidden="1">{"fdsup://Directions/FactSet Auditing Viewer?action=AUDIT_VALUE&amp;DB=129&amp;ID1=36870F10&amp;VALUEID=01001&amp;SDATE=2008&amp;PERIODTYPE=ANN_STD&amp;window=popup_no_bar&amp;width=385&amp;height=120&amp;START_MAXIMIZED=FALSE&amp;creator=factset&amp;display_string=Audit"}</definedName>
    <definedName name="_160__FDSAUDITLINK__" hidden="1">{"fdsup://Directions/FactSet Auditing Viewer?action=AUDIT_VALUE&amp;DB=129&amp;ID1=36866T10&amp;VALUEID=02001&amp;SDATE=200903&amp;PERIODTYPE=QTR_STD&amp;window=popup_no_bar&amp;width=385&amp;height=120&amp;START_MAXIMIZED=FALSE&amp;creator=factset&amp;display_string=Audit"}</definedName>
    <definedName name="_161__FDSAUDITLINK__" hidden="1">{"fdsup://Directions/FactSet Auditing Viewer?action=AUDIT_VALUE&amp;DB=129&amp;ID1=37243V10&amp;VALUEID=02001&amp;SDATE=200903&amp;PERIODTYPE=QTR_STD&amp;window=popup_no_bar&amp;width=385&amp;height=120&amp;START_MAXIMIZED=FALSE&amp;creator=factset&amp;display_string=Audit"}</definedName>
    <definedName name="_162__FDSAUDITLINK__" hidden="1">{"fdsup://Directions/FactSet Auditing Viewer?action=AUDIT_VALUE&amp;DB=129&amp;ID1=37244C10&amp;VALUEID=02001&amp;SDATE=200903&amp;PERIODTYPE=QTR_STD&amp;window=popup_no_bar&amp;width=385&amp;height=120&amp;START_MAXIMIZED=FALSE&amp;creator=factset&amp;display_string=Audit"}</definedName>
    <definedName name="_163__FDSAUDITLINK__" hidden="1">{"fdsup://Directions/FactSet Auditing Viewer?action=AUDIT_VALUE&amp;DB=129&amp;ID1=36870F10&amp;VALUEID=02001&amp;SDATE=200903&amp;PERIODTYPE=QTR_STD&amp;window=popup_no_bar&amp;width=385&amp;height=120&amp;START_MAXIMIZED=FALSE&amp;creator=factset&amp;display_string=Audit"}</definedName>
    <definedName name="_164__FDSAUDITLINK__" hidden="1">{"fdsup://Directions/FactSet Auditing Viewer?action=AUDIT_VALUE&amp;DB=129&amp;ID1=B1XGBT&amp;VALUEID=02001&amp;SDATE=200903&amp;PERIODTYPE=QTR_STD&amp;window=popup_no_bar&amp;width=385&amp;height=120&amp;START_MAXIMIZED=FALSE&amp;creator=factset&amp;display_string=Audit"}</definedName>
    <definedName name="_165__FDSAUDITLINK__" hidden="1">{"fdsup://Directions/FactSet Auditing Viewer?action=AUDIT_VALUE&amp;DB=129&amp;ID1=30063P10&amp;VALUEID=02001&amp;SDATE=200903&amp;PERIODTYPE=QTR_STD&amp;window=popup_no_bar&amp;width=385&amp;height=120&amp;START_MAXIMIZED=FALSE&amp;creator=factset&amp;display_string=Audit"}</definedName>
    <definedName name="_166__FDSAUDITLINK__" hidden="1">{"fdsup://Directions/FactSet Auditing Viewer?action=AUDIT_VALUE&amp;DB=129&amp;ID1=29481V10&amp;VALUEID=02001&amp;SDATE=200903&amp;PERIODTYPE=QTR_STD&amp;window=popup_no_bar&amp;width=385&amp;height=120&amp;START_MAXIMIZED=FALSE&amp;creator=factset&amp;display_string=Audit"}</definedName>
    <definedName name="_167__FDSAUDITLINK__" hidden="1">{"fdsup://Directions/FactSet Auditing Viewer?action=AUDIT_VALUE&amp;DB=129&amp;ID1=29410010&amp;VALUEID=02001&amp;SDATE=201001&amp;PERIODTYPE=QTR_STD&amp;window=popup_no_bar&amp;width=385&amp;height=120&amp;START_MAXIMIZED=FALSE&amp;creator=factset&amp;display_string=Audit"}</definedName>
    <definedName name="_168__FDSAUDITLINK__" hidden="1">{"fdsup://Directions/FactSet Auditing Viewer?action=AUDIT_VALUE&amp;DB=129&amp;ID1=22281610&amp;VALUEID=02001&amp;SDATE=200903&amp;PERIODTYPE=QTR_STD&amp;window=popup_no_bar&amp;width=385&amp;height=120&amp;START_MAXIMIZED=FALSE&amp;creator=factset&amp;display_string=Audit"}</definedName>
    <definedName name="_169__FDSAUDITLINK__" hidden="1">{"fdsup://Directions/FactSet Auditing Viewer?action=AUDIT_VALUE&amp;DB=129&amp;ID1=18048910&amp;VALUEID=02001&amp;SDATE=200903&amp;PERIODTYPE=QTR_STD&amp;window=popup_no_bar&amp;width=385&amp;height=120&amp;START_MAXIMIZED=FALSE&amp;creator=factset&amp;display_string=Audit"}</definedName>
    <definedName name="_17__FDSAUDITLINK__" hidden="1">{"fdsup://Directions/FactSet Auditing Viewer?action=AUDIT_VALUE&amp;DB=129&amp;ID1=30063P10&amp;VALUEID=01001&amp;SDATE=2008&amp;PERIODTYPE=ANN_STD&amp;window=popup_no_bar&amp;width=385&amp;height=120&amp;START_MAXIMIZED=FALSE&amp;creator=factset&amp;display_string=Audit"}</definedName>
    <definedName name="_170__FDSAUDITLINK__" hidden="1">{"fdsup://Directions/FactSet Auditing Viewer?action=AUDIT_VALUE&amp;DB=129&amp;ID1=98411710&amp;VALUEID=02001&amp;SDATE=201001&amp;PERIODTYPE=QTR_STD&amp;window=popup_no_bar&amp;width=385&amp;height=120&amp;START_MAXIMIZED=FALSE&amp;creator=factset&amp;display_string=Audit"}</definedName>
    <definedName name="_171__FDSAUDITLINK__" hidden="1">{"fdsup://Directions/FactSet Auditing Viewer?action=AUDIT_VALUE&amp;DB=129&amp;ID1=62855J10&amp;VALUEID=02001&amp;SDATE=201002&amp;PERIODTYPE=QTR_STD&amp;window=popup_no_bar&amp;width=385&amp;height=120&amp;START_MAXIMIZED=FALSE&amp;creator=factset&amp;display_string=Audit"}</definedName>
    <definedName name="_172__FDSAUDITLINK__" hidden="1">{"fdsup://Directions/FactSet Auditing Viewer?action=AUDIT_VALUE&amp;DB=129&amp;ID1=37243V10&amp;VALUEID=02001&amp;SDATE=200903&amp;PERIODTYPE=QTR_STD&amp;window=popup_no_bar&amp;width=385&amp;height=120&amp;START_MAXIMIZED=FALSE&amp;creator=factset&amp;display_string=Audit"}</definedName>
    <definedName name="_173__FDSAUDITLINK__" hidden="1">{"fdsup://Directions/FactSet Auditing Viewer?action=AUDIT_VALUE&amp;DB=129&amp;ID1=15670R10&amp;VALUEID=02001&amp;SDATE=200903&amp;PERIODTYPE=QTR_STD&amp;window=popup_no_bar&amp;width=385&amp;height=120&amp;START_MAXIMIZED=FALSE&amp;creator=factset&amp;display_string=Audit"}</definedName>
    <definedName name="_174__FDSAUDITLINK__" hidden="1">{"fdsup://Directions/FactSet Auditing Viewer?action=AUDIT_VALUE&amp;DB=129&amp;ID1=15100E10&amp;VALUEID=02001&amp;SDATE=200903&amp;PERIODTYPE=QTR_STD&amp;window=popup_no_bar&amp;width=385&amp;height=120&amp;START_MAXIMIZED=FALSE&amp;creator=factset&amp;display_string=Audit"}</definedName>
    <definedName name="_175__FDSAUDITLINK__" hidden="1">{"fdsup://Directions/FactSet Auditing Viewer?action=AUDIT_VALUE&amp;DB=129&amp;ID1=45252610&amp;VALUEID=02001&amp;SDATE=200902&amp;PERIODTYPE=QTR_STD&amp;window=popup_no_bar&amp;width=385&amp;height=120&amp;START_MAXIMIZED=FALSE&amp;creator=factset&amp;display_string=Audit"}</definedName>
    <definedName name="_176__FDSAUDITLINK__" hidden="1">{"fdsup://Directions/FactSet Auditing Viewer?action=AUDIT_VALUE&amp;DB=129&amp;ID1=07581110&amp;VALUEID=02001&amp;SDATE=200903&amp;PERIODTYPE=QTR_STD&amp;window=popup_no_bar&amp;width=385&amp;height=120&amp;START_MAXIMIZED=FALSE&amp;creator=factset&amp;display_string=Audit"}</definedName>
    <definedName name="_177__FDSAUDITLINK__" hidden="1">{"fdsup://Directions/FactSet Auditing Viewer?action=AUDIT_VALUE&amp;DB=129&amp;ID1=09057220&amp;VALUEID=02001&amp;SDATE=200903&amp;PERIODTYPE=QTR_STD&amp;window=popup_no_bar&amp;width=385&amp;height=120&amp;START_MAXIMIZED=FALSE&amp;creator=factset&amp;display_string=Audit"}</definedName>
    <definedName name="_178__FDSAUDITLINK__" hidden="1">{"fdsup://Directions/FactSet Auditing Viewer?action=AUDIT_VALUE&amp;DB=129&amp;ID1=09071B10&amp;VALUEID=02001&amp;SDATE=200903&amp;PERIODTYPE=QTR_STD&amp;window=popup_no_bar&amp;width=385&amp;height=120&amp;START_MAXIMIZED=FALSE&amp;creator=factset&amp;display_string=Audit"}</definedName>
    <definedName name="_179__FDSAUDITLINK__" hidden="1">{"fdsup://Directions/FactSet Auditing Viewer?action=AUDIT_VALUE&amp;DB=129&amp;ID1=86270010&amp;VALUEID=01001&amp;SDATE=2008&amp;PERIODTYPE=ANN_STD&amp;window=popup_no_bar&amp;width=385&amp;height=120&amp;START_MAXIMIZED=FALSE&amp;creator=factset&amp;display_string=Audit"}</definedName>
    <definedName name="_18__FDSAUDITLINK__" hidden="1">{"fdsup://Directions/FactSet Auditing Viewer?action=AUDIT_VALUE&amp;DB=129&amp;ID1=29481V10&amp;VALUEID=01001&amp;SDATE=2008&amp;PERIODTYPE=ANN_STD&amp;window=popup_no_bar&amp;width=385&amp;height=120&amp;START_MAXIMIZED=FALSE&amp;creator=factset&amp;display_string=Audit"}</definedName>
    <definedName name="_180__FDSAUDITLINK__" hidden="1">{"fdsup://Directions/FactSet Auditing Viewer?action=AUDIT_VALUE&amp;DB=129&amp;ID1=86270010&amp;VALUEID=02001&amp;SDATE=200903&amp;PERIODTYPE=QTR_STD&amp;window=popup_no_bar&amp;width=385&amp;height=120&amp;START_MAXIMIZED=FALSE&amp;creator=factset&amp;display_string=Audit"}</definedName>
    <definedName name="_181__FDSAUDITLINK__" hidden="1">{"fdsup://Directions/FactSet Auditing Viewer?action=AUDIT_VALUE&amp;DB=129&amp;ID1=92407M20&amp;VALUEID=01001&amp;SDATE=2007&amp;PERIODTYPE=ANN_STD&amp;window=popup_no_bar&amp;width=385&amp;height=120&amp;START_MAXIMIZED=FALSE&amp;creator=factset&amp;display_string=Audit"}</definedName>
    <definedName name="_182__FDSAUDITLINK__" hidden="1">{"fdsup://Directions/FactSet Auditing Viewer?action=AUDIT_VALUE&amp;DB=129&amp;ID1=84842R10&amp;VALUEID=01001&amp;SDATE=2008&amp;PERIODTYPE=ANN_STD&amp;window=popup_no_bar&amp;width=385&amp;height=120&amp;START_MAXIMIZED=FALSE&amp;creator=factset&amp;display_string=Audit"}</definedName>
    <definedName name="_183__FDSAUDITLINK__" hidden="1">{"fdsup://Directions/FactSet Auditing Viewer?action=AUDIT_VALUE&amp;DB=129&amp;ID1=81733740&amp;VALUEID=01001&amp;SDATE=2008&amp;PERIODTYPE=ANN_STD&amp;window=popup_no_bar&amp;width=385&amp;height=120&amp;START_MAXIMIZED=FALSE&amp;creator=factset&amp;display_string=Audit"}</definedName>
    <definedName name="_184__FDSAUDITLINK__" hidden="1">{"fdsup://Directions/FactSet Auditing Viewer?action=AUDIT_VALUE&amp;DB=129&amp;ID1=76123U10&amp;VALUEID=01001&amp;SDATE=2008&amp;PERIODTYPE=ANN_STD&amp;window=popup_no_bar&amp;width=385&amp;height=120&amp;START_MAXIMIZED=FALSE&amp;creator=factset&amp;display_string=Audit"}</definedName>
    <definedName name="_185__FDSAUDITLINK__" hidden="1">{"fdsup://Directions/FactSet Auditing Viewer?action=AUDIT_VALUE&amp;DB=129&amp;ID1=75049110&amp;VALUEID=01001&amp;SDATE=2008&amp;PERIODTYPE=ANN_STD&amp;window=popup_no_bar&amp;width=385&amp;height=120&amp;START_MAXIMIZED=FALSE&amp;creator=factset&amp;display_string=Audit"}</definedName>
    <definedName name="_186__FDSAUDITLINK__" hidden="1">{"fdsup://Directions/FactSet Auditing Viewer?action=AUDIT_VALUE&amp;DB=129&amp;ID1=74834L10&amp;VALUEID=01001&amp;SDATE=2009&amp;PERIODTYPE=ANN_STD&amp;window=popup_no_bar&amp;width=385&amp;height=120&amp;START_MAXIMIZED=FALSE&amp;creator=factset&amp;display_string=Audit"}</definedName>
    <definedName name="_187__FDSAUDITLINK__" hidden="1">{"fdsup://Directions/FactSet Auditing Viewer?action=AUDIT_VALUE&amp;DB=129&amp;ID1=74437520&amp;VALUEID=01001&amp;SDATE=2008&amp;PERIODTYPE=ANN_STD&amp;window=popup_no_bar&amp;width=385&amp;height=120&amp;START_MAXIMIZED=FALSE&amp;creator=factset&amp;display_string=Audit"}</definedName>
    <definedName name="_188__FDSAUDITLINK__" hidden="1">{"fdsup://Directions/FactSet Auditing Viewer?action=AUDIT_VALUE&amp;DB=129&amp;ID1=71712410&amp;VALUEID=01001&amp;SDATE=2009&amp;PERIODTYPE=ANN_STD&amp;window=popup_no_bar&amp;width=385&amp;height=120&amp;START_MAXIMIZED=FALSE&amp;creator=factset&amp;display_string=Audit"}</definedName>
    <definedName name="_189__FDSAUDITLINK__" hidden="1">{"fdsup://Directions/FactSet Auditing Viewer?action=AUDIT_VALUE&amp;DB=129&amp;ID1=71404610&amp;VALUEID=01001&amp;SDATE=2009&amp;PERIODTYPE=ANN_STD&amp;window=popup_no_bar&amp;width=385&amp;height=120&amp;START_MAXIMIZED=FALSE&amp;creator=factset&amp;display_string=Audit"}</definedName>
    <definedName name="_19__FDSAUDITLINK__" hidden="1">{"fdsup://Directions/FactSet Auditing Viewer?action=AUDIT_VALUE&amp;DB=129&amp;ID1=29410010&amp;VALUEID=01001&amp;SDATE=2009&amp;PERIODTYPE=ANN_STD&amp;window=popup_no_bar&amp;width=385&amp;height=120&amp;START_MAXIMIZED=FALSE&amp;creator=factset&amp;display_string=Audit"}</definedName>
    <definedName name="_190__FDSAUDITLINK__" hidden="1">{"fdsup://Directions/FactSet Auditing Viewer?action=AUDIT_VALUE&amp;DB=129&amp;ID1=64049M20&amp;VALUEID=01001&amp;SDATE=2008&amp;PERIODTYPE=ANN_STD&amp;window=popup_no_bar&amp;width=385&amp;height=120&amp;START_MAXIMIZED=FALSE&amp;creator=factset&amp;display_string=Audit"}</definedName>
    <definedName name="_191__FDSAUDITLINK__" hidden="1">{"fdsup://Directions/FactSet Auditing Viewer?action=AUDIT_VALUE&amp;DB=129&amp;ID1=63563H10&amp;VALUEID=01001&amp;SDATE=2008&amp;PERIODTYPE=ANN_STD&amp;window=popup_no_bar&amp;width=385&amp;height=120&amp;START_MAXIMIZED=FALSE&amp;creator=factset&amp;display_string=Audit"}</definedName>
    <definedName name="_192__FDSAUDITLINK__" hidden="1">{"fdsup://Directions/FactSet Auditing Viewer?action=AUDIT_VALUE&amp;DB=129&amp;ID1=58497720&amp;VALUEID=01001&amp;SDATE=2009&amp;PERIODTYPE=ANN_STD&amp;window=popup_no_bar&amp;width=385&amp;height=120&amp;START_MAXIMIZED=FALSE&amp;creator=factset&amp;display_string=Audit"}</definedName>
    <definedName name="_193__FDSAUDITLINK__" hidden="1">{"fdsup://Directions/FactSet Auditing Viewer?action=AUDIT_VALUE&amp;DB=129&amp;ID1=50540R40&amp;VALUEID=01001&amp;SDATE=2009&amp;PERIODTYPE=ANN_STD&amp;window=popup_no_bar&amp;width=385&amp;height=120&amp;START_MAXIMIZED=FALSE&amp;creator=factset&amp;display_string=Audit"}</definedName>
    <definedName name="_194__FDSAUDITLINK__" hidden="1">{"fdsup://Directions/FactSet Auditing Viewer?action=AUDIT_VALUE&amp;DB=129&amp;ID1=46126P10&amp;VALUEID=01001&amp;SDATE=2009&amp;PERIODTYPE=ANN_STD&amp;window=popup_no_bar&amp;width=385&amp;height=120&amp;START_MAXIMIZED=FALSE&amp;creator=factset&amp;display_string=Audit"}</definedName>
    <definedName name="_195__FDSAUDITLINK__" hidden="1">{"fdsup://Directions/FactSet Auditing Viewer?action=AUDIT_VALUE&amp;DB=129&amp;ID1=45873810&amp;VALUEID=01001&amp;SDATE=2008&amp;PERIODTYPE=ANN_STD&amp;window=popup_no_bar&amp;width=385&amp;height=120&amp;START_MAXIMIZED=FALSE&amp;creator=factset&amp;display_string=Audit"}</definedName>
    <definedName name="_196__FDSAUDITLINK__" hidden="1">{"fdsup://Directions/FactSet Auditing Viewer?action=AUDIT_VALUE&amp;DB=129&amp;ID1=36866T10&amp;VALUEID=01001&amp;SDATE=2008&amp;PERIODTYPE=ANN_STD&amp;window=popup_no_bar&amp;width=385&amp;height=120&amp;START_MAXIMIZED=FALSE&amp;creator=factset&amp;display_string=Audit"}</definedName>
    <definedName name="_197__FDSAUDITLINK__" hidden="1">{"fdsup://Directions/FactSet Auditing Viewer?action=AUDIT_VALUE&amp;DB=129&amp;ID1=36870F10&amp;VALUEID=01001&amp;SDATE=2008&amp;PERIODTYPE=ANN_STD&amp;window=popup_no_bar&amp;width=385&amp;height=120&amp;START_MAXIMIZED=FALSE&amp;creator=factset&amp;display_string=Audit"}</definedName>
    <definedName name="_198__FDSAUDITLINK__" hidden="1">{"fdsup://Directions/FactSet Auditing Viewer?action=AUDIT_VALUE&amp;DB=129&amp;ID1=B1XGBT&amp;VALUEID=01001&amp;SDATE=2008&amp;PERIODTYPE=ANN_STD&amp;window=popup_no_bar&amp;width=385&amp;height=120&amp;START_MAXIMIZED=FALSE&amp;creator=factset&amp;display_string=Audit"}</definedName>
    <definedName name="_199__FDSAUDITLINK__" hidden="1">{"fdsup://Directions/FactSet Auditing Viewer?action=AUDIT_VALUE&amp;DB=129&amp;ID1=30063P10&amp;VALUEID=01001&amp;SDATE=2008&amp;PERIODTYPE=ANN_STD&amp;window=popup_no_bar&amp;width=385&amp;height=120&amp;START_MAXIMIZED=FALSE&amp;creator=factset&amp;display_string=Audit"}</definedName>
    <definedName name="_1994">#REF!</definedName>
    <definedName name="_1995">#REF!</definedName>
    <definedName name="_1996">#REF!</definedName>
    <definedName name="_1997">#REF!</definedName>
    <definedName name="_1998">#REF!</definedName>
    <definedName name="_1999">#REF!</definedName>
    <definedName name="_1P">#REF!</definedName>
    <definedName name="_1Q94">#REF!</definedName>
    <definedName name="_1Q95">#REF!</definedName>
    <definedName name="_2__FDSAUDITLINK__" hidden="1">{"fdsup://Directions/FactSet Auditing Viewer?action=AUDIT_VALUE&amp;DB=129&amp;ID1=45665G30&amp;VALUEID=02001&amp;SDATE=201002&amp;PERIODTYPE=QTR_STD&amp;window=popup_no_bar&amp;width=385&amp;height=120&amp;START_MAXIMIZED=FALSE&amp;creator=factset&amp;display_string=Audit"}</definedName>
    <definedName name="_20__FDSAUDITLINK__" hidden="1">{"fdsup://Directions/FactSet Auditing Viewer?action=AUDIT_VALUE&amp;DB=129&amp;ID1=22281610&amp;VALUEID=01001&amp;SDATE=2009&amp;PERIODTYPE=ANN_STD&amp;window=popup_no_bar&amp;width=385&amp;height=120&amp;START_MAXIMIZED=FALSE&amp;creator=factset&amp;display_string=Audit"}</definedName>
    <definedName name="_20_Jul_94">#REF!</definedName>
    <definedName name="_200__FDSAUDITLINK__" hidden="1">{"fdsup://Directions/FactSet Auditing Viewer?action=AUDIT_VALUE&amp;DB=129&amp;ID1=29481V10&amp;VALUEID=01001&amp;SDATE=2008&amp;PERIODTYPE=ANN_STD&amp;window=popup_no_bar&amp;width=385&amp;height=120&amp;START_MAXIMIZED=FALSE&amp;creator=factset&amp;display_string=Audit"}</definedName>
    <definedName name="_201__FDSAUDITLINK__" hidden="1">{"fdsup://Directions/FactSet Auditing Viewer?action=AUDIT_VALUE&amp;DB=129&amp;ID1=29410010&amp;VALUEID=01001&amp;SDATE=2009&amp;PERIODTYPE=ANN_STD&amp;window=popup_no_bar&amp;width=385&amp;height=120&amp;START_MAXIMIZED=FALSE&amp;creator=factset&amp;display_string=Audit"}</definedName>
    <definedName name="_202__FDSAUDITLINK__" hidden="1">{"fdsup://Directions/FactSet Auditing Viewer?action=AUDIT_VALUE&amp;DB=129&amp;ID1=22281610&amp;VALUEID=01001&amp;SDATE=2009&amp;PERIODTYPE=ANN_STD&amp;window=popup_no_bar&amp;width=385&amp;height=120&amp;START_MAXIMIZED=FALSE&amp;creator=factset&amp;display_string=Audit"}</definedName>
    <definedName name="_203__FDSAUDITLINK__" hidden="1">{"fdsup://Directions/FactSet Auditing Viewer?action=AUDIT_VALUE&amp;DB=129&amp;ID1=18048910&amp;VALUEID=01001&amp;SDATE=2008&amp;PERIODTYPE=ANN_STD&amp;window=popup_no_bar&amp;width=385&amp;height=120&amp;START_MAXIMIZED=FALSE&amp;creator=factset&amp;display_string=Audit"}</definedName>
    <definedName name="_204__FDSAUDITLINK__" hidden="1">{"fdsup://Directions/FactSet Auditing Viewer?action=AUDIT_VALUE&amp;DB=129&amp;ID1=98411710&amp;VALUEID=01001&amp;SDATE=2009&amp;PERIODTYPE=ANN_STD&amp;window=popup_no_bar&amp;width=385&amp;height=120&amp;START_MAXIMIZED=FALSE&amp;creator=factset&amp;display_string=Audit"}</definedName>
    <definedName name="_205__FDSAUDITLINK__" hidden="1">{"fdsup://Directions/FactSet Auditing Viewer?action=AUDIT_VALUE&amp;DB=129&amp;ID1=62855J10&amp;VALUEID=01001&amp;SDATE=2009&amp;PERIODTYPE=ANN_STD&amp;window=popup_no_bar&amp;width=385&amp;height=120&amp;START_MAXIMIZED=FALSE&amp;creator=factset&amp;display_string=Audit"}</definedName>
    <definedName name="_206__FDSAUDITLINK__" hidden="1">{"fdsup://Directions/FactSet Auditing Viewer?action=AUDIT_VALUE&amp;DB=129&amp;ID1=37243V10&amp;VALUEID=01001&amp;SDATE=2008&amp;PERIODTYPE=ANN_STD&amp;window=popup_no_bar&amp;width=385&amp;height=120&amp;START_MAXIMIZED=FALSE&amp;creator=factset&amp;display_string=Audit"}</definedName>
    <definedName name="_207__FDSAUDITLINK__" hidden="1">{"fdsup://Directions/FactSet Auditing Viewer?action=AUDIT_VALUE&amp;DB=129&amp;ID1=227124&amp;VALUEID=01001&amp;SDATE=2009&amp;PERIODTYPE=ANN_STD&amp;window=popup_no_bar&amp;width=385&amp;height=120&amp;START_MAXIMIZED=FALSE&amp;creator=factset&amp;display_string=Audit"}</definedName>
    <definedName name="_208__FDSAUDITLINK__" hidden="1">{"fdsup://Directions/FactSet Auditing Viewer?action=AUDIT_VALUE&amp;DB=129&amp;ID1=94109210&amp;VALUEID=01001&amp;SDATE=2008&amp;PERIODTYPE=ANN_STD&amp;window=popup_no_bar&amp;width=385&amp;height=120&amp;START_MAXIMIZED=FALSE&amp;creator=factset&amp;display_string=Audit"}</definedName>
    <definedName name="_209__FDSAUDITLINK__" hidden="1">{"fdsup://Directions/FactSet Auditing Viewer?action=AUDIT_VALUE&amp;DB=129&amp;ID1=15670R10&amp;VALUEID=01001&amp;SDATE=2009&amp;PERIODTYPE=ANN_STD&amp;window=popup_no_bar&amp;width=385&amp;height=120&amp;START_MAXIMIZED=FALSE&amp;creator=factset&amp;display_string=Audit"}</definedName>
    <definedName name="_21__FDSAUDITLINK__" hidden="1">{"fdsup://Directions/FactSet Auditing Viewer?action=AUDIT_VALUE&amp;DB=129&amp;ID1=18048910&amp;VALUEID=01001&amp;SDATE=2008&amp;PERIODTYPE=ANN_STD&amp;window=popup_no_bar&amp;width=385&amp;height=120&amp;START_MAXIMIZED=FALSE&amp;creator=factset&amp;display_string=Audit"}</definedName>
    <definedName name="_210__FDSAUDITLINK__" hidden="1">{"fdsup://Directions/FactSet Auditing Viewer?action=AUDIT_VALUE&amp;DB=129&amp;ID1=15100E10&amp;VALUEID=01001&amp;SDATE=2008&amp;PERIODTYPE=ANN_STD&amp;window=popup_no_bar&amp;width=385&amp;height=120&amp;START_MAXIMIZED=FALSE&amp;creator=factset&amp;display_string=Audit"}</definedName>
    <definedName name="_211__FDSAUDITLINK__" hidden="1">{"fdsup://Directions/FactSet Auditing Viewer?action=AUDIT_VALUE&amp;DB=129&amp;ID1=09057G60&amp;VALUEID=01001&amp;SDATE=2009&amp;PERIODTYPE=ANN_STD&amp;window=popup_no_bar&amp;width=385&amp;height=120&amp;START_MAXIMIZED=FALSE&amp;creator=factset&amp;display_string=Audit"}</definedName>
    <definedName name="_212__FDSAUDITLINK__" hidden="1">{"fdsup://Directions/FactSet Auditing Viewer?action=AUDIT_VALUE&amp;DB=129&amp;ID1=45252610&amp;VALUEID=01001&amp;SDATE=2008&amp;PERIODTYPE=ANN_STD&amp;window=popup_no_bar&amp;width=385&amp;height=120&amp;START_MAXIMIZED=FALSE&amp;creator=factset&amp;display_string=Audit"}</definedName>
    <definedName name="_213__FDSAUDITLINK__" hidden="1">{"fdsup://Directions/FactSet Auditing Viewer?action=AUDIT_VALUE&amp;DB=129&amp;ID1=07581110&amp;VALUEID=01001&amp;SDATE=2009&amp;PERIODTYPE=ANN_STD&amp;window=popup_no_bar&amp;width=385&amp;height=120&amp;START_MAXIMIZED=FALSE&amp;creator=factset&amp;display_string=Audit"}</definedName>
    <definedName name="_214__FDSAUDITLINK__" hidden="1">{"fdsup://Directions/FactSet Auditing Viewer?action=AUDIT_VALUE&amp;DB=129&amp;ID1=09071B10&amp;VALUEID=01001&amp;SDATE=2009&amp;PERIODTYPE=ANN_STD&amp;window=popup_no_bar&amp;width=385&amp;height=120&amp;START_MAXIMIZED=FALSE&amp;creator=factset&amp;display_string=Audit"}</definedName>
    <definedName name="_215__FDSAUDITLINK__" hidden="1">{"fdsup://Directions/FactSet Auditing Viewer?action=AUDIT_VALUE&amp;DB=129&amp;ID1=01860620&amp;VALUEID=01001&amp;SDATE=2008&amp;PERIODTYPE=ANN_STD&amp;window=popup_no_bar&amp;width=385&amp;height=120&amp;START_MAXIMIZED=FALSE&amp;creator=factset&amp;display_string=Audit"}</definedName>
    <definedName name="_216__FDSAUDITLINK__" hidden="1">{"fdsup://Directions/FactSet Auditing Viewer?action=AUDIT_VALUE&amp;DB=129&amp;ID1=92407M20&amp;VALUEID=02001&amp;SDATE=200803&amp;PERIODTYPE=QTR_STD&amp;window=popup_no_bar&amp;width=385&amp;height=120&amp;START_MAXIMIZED=FALSE&amp;creator=factset&amp;display_string=Audit"}</definedName>
    <definedName name="_217__FDSAUDITLINK__" hidden="1">{"fdsup://Directions/FactSet Auditing Viewer?action=AUDIT_VALUE&amp;DB=129&amp;ID1=84842R10&amp;VALUEID=02001&amp;SDATE=200903&amp;PERIODTYPE=QTR_STD&amp;window=popup_no_bar&amp;width=385&amp;height=120&amp;START_MAXIMIZED=FALSE&amp;creator=factset&amp;display_string=Audit"}</definedName>
    <definedName name="_218__FDSAUDITLINK__" hidden="1">{"fdsup://Directions/FactSet Auditing Viewer?action=AUDIT_VALUE&amp;DB=129&amp;ID1=81733740&amp;VALUEID=02001&amp;SDATE=200903&amp;PERIODTYPE=QTR_STD&amp;window=popup_no_bar&amp;width=385&amp;height=120&amp;START_MAXIMIZED=FALSE&amp;creator=factset&amp;display_string=Audit"}</definedName>
    <definedName name="_219__FDSAUDITLINK__" hidden="1">{"fdsup://Directions/FactSet Auditing Viewer?action=AUDIT_VALUE&amp;DB=129&amp;ID1=76123U10&amp;VALUEID=02001&amp;SDATE=200903&amp;PERIODTYPE=QTR_STD&amp;window=popup_no_bar&amp;width=385&amp;height=120&amp;START_MAXIMIZED=FALSE&amp;creator=factset&amp;display_string=Audit"}</definedName>
    <definedName name="_22__FDSAUDITLINK__" hidden="1">{"fdsup://Directions/FactSet Auditing Viewer?action=AUDIT_VALUE&amp;DB=129&amp;ID1=15670R10&amp;VALUEID=01001&amp;SDATE=2009&amp;PERIODTYPE=ANN_STD&amp;window=popup_no_bar&amp;width=385&amp;height=120&amp;START_MAXIMIZED=FALSE&amp;creator=factset&amp;display_string=Audit"}</definedName>
    <definedName name="_220__FDSAUDITLINK__" hidden="1">{"fdsup://Directions/FactSet Auditing Viewer?action=AUDIT_VALUE&amp;DB=129&amp;ID1=75049110&amp;VALUEID=02001&amp;SDATE=200903&amp;PERIODTYPE=QTR_STD&amp;window=popup_no_bar&amp;width=385&amp;height=120&amp;START_MAXIMIZED=FALSE&amp;creator=factset&amp;display_string=Audit"}</definedName>
    <definedName name="_221__FDSAUDITLINK__" hidden="1">{"fdsup://Directions/FactSet Auditing Viewer?action=AUDIT_VALUE&amp;DB=129&amp;ID1=74834L10&amp;VALUEID=02001&amp;SDATE=200903&amp;PERIODTYPE=QTR_STD&amp;window=popup_no_bar&amp;width=385&amp;height=120&amp;START_MAXIMIZED=FALSE&amp;creator=factset&amp;display_string=Audit"}</definedName>
    <definedName name="_222__FDSAUDITLINK__" hidden="1">{"fdsup://Directions/FactSet Auditing Viewer?action=AUDIT_VALUE&amp;DB=129&amp;ID1=74437520&amp;VALUEID=02001&amp;SDATE=200903&amp;PERIODTYPE=QTR_STD&amp;window=popup_no_bar&amp;width=385&amp;height=120&amp;START_MAXIMIZED=FALSE&amp;creator=factset&amp;display_string=Audit"}</definedName>
    <definedName name="_223__FDSAUDITLINK__" hidden="1">{"fdsup://Directions/FactSet Auditing Viewer?action=AUDIT_VALUE&amp;DB=129&amp;ID1=71712410&amp;VALUEID=02001&amp;SDATE=200903&amp;PERIODTYPE=QTR_STD&amp;window=popup_no_bar&amp;width=385&amp;height=120&amp;START_MAXIMIZED=FALSE&amp;creator=factset&amp;display_string=Audit"}</definedName>
    <definedName name="_224__FDSAUDITLINK__" hidden="1">{"fdsup://Directions/FactSet Auditing Viewer?action=AUDIT_VALUE&amp;DB=129&amp;ID1=71404610&amp;VALUEID=02001&amp;SDATE=200903&amp;PERIODTYPE=QTR_STD&amp;window=popup_no_bar&amp;width=385&amp;height=120&amp;START_MAXIMIZED=FALSE&amp;creator=factset&amp;display_string=Audit"}</definedName>
    <definedName name="_225__FDSAUDITLINK__" hidden="1">{"fdsup://Directions/FactSet Auditing Viewer?action=AUDIT_VALUE&amp;DB=129&amp;ID1=64127R30&amp;VALUEID=02001&amp;SDATE=200903&amp;PERIODTYPE=QTR_STD&amp;window=popup_no_bar&amp;width=385&amp;height=120&amp;START_MAXIMIZED=FALSE&amp;creator=factset&amp;display_string=Audit"}</definedName>
    <definedName name="_226__FDSAUDITLINK__" hidden="1">{"fdsup://Directions/FactSet Auditing Viewer?action=AUDIT_VALUE&amp;DB=129&amp;ID1=64049M20&amp;VALUEID=02001&amp;SDATE=200903&amp;PERIODTYPE=QTR_STD&amp;window=popup_no_bar&amp;width=385&amp;height=120&amp;START_MAXIMIZED=FALSE&amp;creator=factset&amp;display_string=Audit"}</definedName>
    <definedName name="_227__FDSAUDITLINK__" hidden="1">{"fdsup://Directions/FactSet Auditing Viewer?action=AUDIT_VALUE&amp;DB=129&amp;ID1=63563H10&amp;VALUEID=02001&amp;SDATE=200903&amp;PERIODTYPE=QTR_STD&amp;window=popup_no_bar&amp;width=385&amp;height=120&amp;START_MAXIMIZED=FALSE&amp;creator=factset&amp;display_string=Audit"}</definedName>
    <definedName name="_228__FDSAUDITLINK__" hidden="1">{"fdsup://Directions/FactSet Auditing Viewer?action=AUDIT_VALUE&amp;DB=129&amp;ID1=58497720&amp;VALUEID=02001&amp;SDATE=200903&amp;PERIODTYPE=QTR_STD&amp;window=popup_no_bar&amp;width=385&amp;height=120&amp;START_MAXIMIZED=FALSE&amp;creator=factset&amp;display_string=Audit"}</definedName>
    <definedName name="_229__FDSAUDITLINK__" hidden="1">{"fdsup://Directions/FactSet Auditing Viewer?action=AUDIT_VALUE&amp;DB=129&amp;ID1=58404X10&amp;VALUEID=02001&amp;SDATE=200903&amp;PERIODTYPE=QTR_STD&amp;window=popup_no_bar&amp;width=385&amp;height=120&amp;START_MAXIMIZED=FALSE&amp;creator=factset&amp;display_string=Audit"}</definedName>
    <definedName name="_23__FDSAUDITLINK__" hidden="1">{"fdsup://Directions/FactSet Auditing Viewer?action=AUDIT_VALUE&amp;DB=129&amp;ID1=15100E10&amp;VALUEID=01001&amp;SDATE=2008&amp;PERIODTYPE=ANN_STD&amp;window=popup_no_bar&amp;width=385&amp;height=120&amp;START_MAXIMIZED=FALSE&amp;creator=factset&amp;display_string=Audit"}</definedName>
    <definedName name="_230__FDSAUDITLINK__" hidden="1">{"fdsup://Directions/FactSet Auditing Viewer?action=AUDIT_VALUE&amp;DB=129&amp;ID1=50540R40&amp;VALUEID=02001&amp;SDATE=200903&amp;PERIODTYPE=QTR_STD&amp;window=popup_no_bar&amp;width=385&amp;height=120&amp;START_MAXIMIZED=FALSE&amp;creator=factset&amp;display_string=Audit"}</definedName>
    <definedName name="_231__FDSAUDITLINK__" hidden="1">{"fdsup://Directions/FactSet Auditing Viewer?action=AUDIT_VALUE&amp;DB=129&amp;ID1=46126P10&amp;VALUEID=02001&amp;SDATE=200903&amp;PERIODTYPE=QTR_STD&amp;window=popup_no_bar&amp;width=385&amp;height=120&amp;START_MAXIMIZED=FALSE&amp;creator=factset&amp;display_string=Audit"}</definedName>
    <definedName name="_232__FDSAUDITLINK__" hidden="1">{"fdsup://Directions/FactSet Auditing Viewer?action=AUDIT_VALUE&amp;DB=129&amp;ID1=45873810&amp;VALUEID=02001&amp;SDATE=200903&amp;PERIODTYPE=QTR_STD&amp;window=popup_no_bar&amp;width=385&amp;height=120&amp;START_MAXIMIZED=FALSE&amp;creator=factset&amp;display_string=Audit"}</definedName>
    <definedName name="_233__FDSAUDITLINK__" hidden="1">{"fdsup://Directions/FactSet Auditing Viewer?action=AUDIT_VALUE&amp;DB=129&amp;ID1=36866T10&amp;VALUEID=02001&amp;SDATE=200903&amp;PERIODTYPE=QTR_STD&amp;window=popup_no_bar&amp;width=385&amp;height=120&amp;START_MAXIMIZED=FALSE&amp;creator=factset&amp;display_string=Audit"}</definedName>
    <definedName name="_234__FDSAUDITLINK__" hidden="1">{"fdsup://Directions/FactSet Auditing Viewer?action=AUDIT_VALUE&amp;DB=129&amp;ID1=36870F10&amp;VALUEID=02001&amp;SDATE=200903&amp;PERIODTYPE=QTR_STD&amp;window=popup_no_bar&amp;width=385&amp;height=120&amp;START_MAXIMIZED=FALSE&amp;creator=factset&amp;display_string=Audit"}</definedName>
    <definedName name="_235__FDSAUDITLINK__" hidden="1">{"fdsup://Directions/FactSet Auditing Viewer?action=AUDIT_VALUE&amp;DB=129&amp;ID1=B1XGBT&amp;VALUEID=02001&amp;SDATE=200903&amp;PERIODTYPE=QTR_STD&amp;window=popup_no_bar&amp;width=385&amp;height=120&amp;START_MAXIMIZED=FALSE&amp;creator=factset&amp;display_string=Audit"}</definedName>
    <definedName name="_236__FDSAUDITLINK__" hidden="1">{"fdsup://Directions/FactSet Auditing Viewer?action=AUDIT_VALUE&amp;DB=129&amp;ID1=30063P10&amp;VALUEID=02001&amp;SDATE=200903&amp;PERIODTYPE=QTR_STD&amp;window=popup_no_bar&amp;width=385&amp;height=120&amp;START_MAXIMIZED=FALSE&amp;creator=factset&amp;display_string=Audit"}</definedName>
    <definedName name="_237__FDSAUDITLINK__" hidden="1">{"fdsup://Directions/FactSet Auditing Viewer?action=AUDIT_VALUE&amp;DB=129&amp;ID1=29481V10&amp;VALUEID=02001&amp;SDATE=200903&amp;PERIODTYPE=QTR_STD&amp;window=popup_no_bar&amp;width=385&amp;height=120&amp;START_MAXIMIZED=FALSE&amp;creator=factset&amp;display_string=Audit"}</definedName>
    <definedName name="_238__FDSAUDITLINK__" hidden="1">{"fdsup://Directions/FactSet Auditing Viewer?action=AUDIT_VALUE&amp;DB=129&amp;ID1=29410010&amp;VALUEID=02001&amp;SDATE=201001&amp;PERIODTYPE=QTR_STD&amp;window=popup_no_bar&amp;width=385&amp;height=120&amp;START_MAXIMIZED=FALSE&amp;creator=factset&amp;display_string=Audit"}</definedName>
    <definedName name="_239__FDSAUDITLINK__" hidden="1">{"fdsup://Directions/FactSet Auditing Viewer?action=AUDIT_VALUE&amp;DB=129&amp;ID1=22281610&amp;VALUEID=02001&amp;SDATE=200903&amp;PERIODTYPE=QTR_STD&amp;window=popup_no_bar&amp;width=385&amp;height=120&amp;START_MAXIMIZED=FALSE&amp;creator=factset&amp;display_string=Audit"}</definedName>
    <definedName name="_24__FDSAUDITLINK__" hidden="1">{"fdsup://Directions/FactSet Auditing Viewer?action=AUDIT_VALUE&amp;DB=129&amp;ID1=71404610&amp;VALUEID=01001&amp;SDATE=2009&amp;PERIODTYPE=ANN_STD&amp;window=popup_no_bar&amp;width=385&amp;height=120&amp;START_MAXIMIZED=FALSE&amp;creator=factset&amp;display_string=Audit"}</definedName>
    <definedName name="_240__FDSAUDITLINK__" hidden="1">{"fdsup://Directions/FactSet Auditing Viewer?action=AUDIT_VALUE&amp;DB=129&amp;ID1=18048910&amp;VALUEID=02001&amp;SDATE=200903&amp;PERIODTYPE=QTR_STD&amp;window=popup_no_bar&amp;width=385&amp;height=120&amp;START_MAXIMIZED=FALSE&amp;creator=factset&amp;display_string=Audit"}</definedName>
    <definedName name="_241__FDSAUDITLINK__" hidden="1">{"fdsup://Directions/FactSet Auditing Viewer?action=AUDIT_VALUE&amp;DB=129&amp;ID1=98411710&amp;VALUEID=02001&amp;SDATE=201001&amp;PERIODTYPE=QTR_STD&amp;window=popup_no_bar&amp;width=385&amp;height=120&amp;START_MAXIMIZED=FALSE&amp;creator=factset&amp;display_string=Audit"}</definedName>
    <definedName name="_242__FDSAUDITLINK__" hidden="1">{"fdsup://Directions/FactSet Auditing Viewer?action=AUDIT_VALUE&amp;DB=129&amp;ID1=62855J10&amp;VALUEID=02001&amp;SDATE=201002&amp;PERIODTYPE=QTR_STD&amp;window=popup_no_bar&amp;width=385&amp;height=120&amp;START_MAXIMIZED=FALSE&amp;creator=factset&amp;display_string=Audit"}</definedName>
    <definedName name="_243__FDSAUDITLINK__" hidden="1">{"fdsup://Directions/FactSet Auditing Viewer?action=AUDIT_VALUE&amp;DB=129&amp;ID1=37243V10&amp;VALUEID=02001&amp;SDATE=200903&amp;PERIODTYPE=QTR_STD&amp;window=popup_no_bar&amp;width=385&amp;height=120&amp;START_MAXIMIZED=FALSE&amp;creator=factset&amp;display_string=Audit"}</definedName>
    <definedName name="_244__FDSAUDITLINK__" hidden="1">{"fdsup://Directions/FactSet Auditing Viewer?action=AUDIT_VALUE&amp;DB=129&amp;ID1=15670R10&amp;VALUEID=02001&amp;SDATE=200903&amp;PERIODTYPE=QTR_STD&amp;window=popup_no_bar&amp;width=385&amp;height=120&amp;START_MAXIMIZED=FALSE&amp;creator=factset&amp;display_string=Audit"}</definedName>
    <definedName name="_245__FDSAUDITLINK__" hidden="1">{"fdsup://Directions/FactSet Auditing Viewer?action=AUDIT_VALUE&amp;DB=129&amp;ID1=15100E10&amp;VALUEID=02001&amp;SDATE=200903&amp;PERIODTYPE=QTR_STD&amp;window=popup_no_bar&amp;width=385&amp;height=120&amp;START_MAXIMIZED=FALSE&amp;creator=factset&amp;display_string=Audit"}</definedName>
    <definedName name="_246__FDSAUDITLINK__" hidden="1">{"fdsup://Directions/FactSet Auditing Viewer?action=AUDIT_VALUE&amp;DB=129&amp;ID1=45252610&amp;VALUEID=02001&amp;SDATE=200902&amp;PERIODTYPE=QTR_STD&amp;window=popup_no_bar&amp;width=385&amp;height=120&amp;START_MAXIMIZED=FALSE&amp;creator=factset&amp;display_string=Audit"}</definedName>
    <definedName name="_247__FDSAUDITLINK__" hidden="1">{"fdsup://Directions/FactSet Auditing Viewer?action=AUDIT_VALUE&amp;DB=129&amp;ID1=07581110&amp;VALUEID=02001&amp;SDATE=200903&amp;PERIODTYPE=QTR_STD&amp;window=popup_no_bar&amp;width=385&amp;height=120&amp;START_MAXIMIZED=FALSE&amp;creator=factset&amp;display_string=Audit"}</definedName>
    <definedName name="_248__FDSAUDITLINK__" hidden="1">{"fdsup://Directions/FactSet Auditing Viewer?action=AUDIT_VALUE&amp;DB=129&amp;ID1=09057220&amp;VALUEID=02001&amp;SDATE=200903&amp;PERIODTYPE=QTR_STD&amp;window=popup_no_bar&amp;width=385&amp;height=120&amp;START_MAXIMIZED=FALSE&amp;creator=factset&amp;display_string=Audit"}</definedName>
    <definedName name="_249__FDSAUDITLINK__" hidden="1">{"fdsup://Directions/FactSet Auditing Viewer?action=AUDIT_VALUE&amp;DB=129&amp;ID1=09071B10&amp;VALUEID=02001&amp;SDATE=200903&amp;PERIODTYPE=QTR_STD&amp;window=popup_no_bar&amp;width=385&amp;height=120&amp;START_MAXIMIZED=FALSE&amp;creator=factset&amp;display_string=Audit"}</definedName>
    <definedName name="_25__FDSAUDITLINK__" hidden="1">{"fdsup://Directions/FactSet Auditing Viewer?action=AUDIT_VALUE&amp;DB=129&amp;ID1=81733740&amp;VALUEID=01001&amp;SDATE=2008&amp;PERIODTYPE=ANN_STD&amp;window=popup_no_bar&amp;width=385&amp;height=120&amp;START_MAXIMIZED=FALSE&amp;creator=factset&amp;display_string=Audit"}</definedName>
    <definedName name="_250__FDSAUDITLINK__" hidden="1">{"fdsup://Directions/FactSet Auditing Viewer?action=AUDIT_VALUE&amp;DB=129&amp;ID1=01860620&amp;VALUEID=02001&amp;SDATE=200903&amp;PERIODTYPE=QTR_STD&amp;window=popup_no_bar&amp;width=385&amp;height=120&amp;START_MAXIMIZED=FALSE&amp;creator=factset&amp;display_string=Audit"}</definedName>
    <definedName name="_251__FDSAUDITLINK__" hidden="1">{"fdsup://Directions/FactSet Auditing Viewer?action=AUDIT_VALUE&amp;DB=129&amp;ID1=86270010&amp;VALUEID=01001&amp;SDATE=2008&amp;PERIODTYPE=ANN_STD&amp;window=popup_no_bar&amp;width=385&amp;height=120&amp;START_MAXIMIZED=FALSE&amp;creator=factset&amp;display_string=Audit"}</definedName>
    <definedName name="_252__FDSAUDITLINK__" hidden="1">{"fdsup://Directions/FactSet Auditing Viewer?action=AUDIT_VALUE&amp;DB=129&amp;ID1=86270010&amp;VALUEID=02001&amp;SDATE=200903&amp;PERIODTYPE=QTR_STD&amp;window=popup_no_bar&amp;width=385&amp;height=120&amp;START_MAXIMIZED=FALSE&amp;creator=factset&amp;display_string=Audit"}</definedName>
    <definedName name="_253__FDSAUDITLINK__" hidden="1">{"fdsup://Directions/FactSet Auditing Viewer?action=AUDIT_VALUE&amp;DB=129&amp;ID1=92407M20&amp;VALUEID=01001&amp;SDATE=2007&amp;PERIODTYPE=ANN_STD&amp;window=popup_no_bar&amp;width=385&amp;height=120&amp;START_MAXIMIZED=FALSE&amp;creator=factset&amp;display_string=Audit"}</definedName>
    <definedName name="_254__FDSAUDITLINK__" hidden="1">{"fdsup://Directions/FactSet Auditing Viewer?action=AUDIT_VALUE&amp;DB=129&amp;ID1=81733740&amp;VALUEID=01001&amp;SDATE=2008&amp;PERIODTYPE=ANN_STD&amp;window=popup_no_bar&amp;width=385&amp;height=120&amp;START_MAXIMIZED=FALSE&amp;creator=factset&amp;display_string=Audit"}</definedName>
    <definedName name="_255__FDSAUDITLINK__" hidden="1">{"fdsup://Directions/FactSet Auditing Viewer?action=AUDIT_VALUE&amp;DB=129&amp;ID1=76123U10&amp;VALUEID=01001&amp;SDATE=2008&amp;PERIODTYPE=ANN_STD&amp;window=popup_no_bar&amp;width=385&amp;height=120&amp;START_MAXIMIZED=FALSE&amp;creator=factset&amp;display_string=Audit"}</definedName>
    <definedName name="_256__FDSAUDITLINK__" hidden="1">{"fdsup://Directions/FactSet Auditing Viewer?action=AUDIT_VALUE&amp;DB=129&amp;ID1=75049110&amp;VALUEID=01001&amp;SDATE=2008&amp;PERIODTYPE=ANN_STD&amp;window=popup_no_bar&amp;width=385&amp;height=120&amp;START_MAXIMIZED=FALSE&amp;creator=factset&amp;display_string=Audit"}</definedName>
    <definedName name="_257__FDSAUDITLINK__" hidden="1">{"fdsup://Directions/FactSet Auditing Viewer?action=AUDIT_VALUE&amp;DB=129&amp;ID1=74834L10&amp;VALUEID=01001&amp;SDATE=2009&amp;PERIODTYPE=ANN_STD&amp;window=popup_no_bar&amp;width=385&amp;height=120&amp;START_MAXIMIZED=FALSE&amp;creator=factset&amp;display_string=Audit"}</definedName>
    <definedName name="_258__FDSAUDITLINK__" hidden="1">{"fdsup://Directions/FactSet Auditing Viewer?action=AUDIT_VALUE&amp;DB=129&amp;ID1=74437520&amp;VALUEID=01001&amp;SDATE=2008&amp;PERIODTYPE=ANN_STD&amp;window=popup_no_bar&amp;width=385&amp;height=120&amp;START_MAXIMIZED=FALSE&amp;creator=factset&amp;display_string=Audit"}</definedName>
    <definedName name="_259__FDSAUDITLINK__" hidden="1">{"fdsup://Directions/FactSet Auditing Viewer?action=AUDIT_VALUE&amp;DB=129&amp;ID1=71712410&amp;VALUEID=01001&amp;SDATE=2009&amp;PERIODTYPE=ANN_STD&amp;window=popup_no_bar&amp;width=385&amp;height=120&amp;START_MAXIMIZED=FALSE&amp;creator=factset&amp;display_string=Audit"}</definedName>
    <definedName name="_26__FDSAUDITLINK__" hidden="1">{"fdsup://Directions/FactSet Auditing Viewer?action=AUDIT_VALUE&amp;DB=129&amp;ID1=92407M20&amp;VALUEID=01001&amp;SDATE=2007&amp;PERIODTYPE=ANN_STD&amp;window=popup_no_bar&amp;width=385&amp;height=120&amp;START_MAXIMIZED=FALSE&amp;creator=factset&amp;display_string=Audit"}</definedName>
    <definedName name="_260__FDSAUDITLINK__" hidden="1">{"fdsup://Directions/FactSet Auditing Viewer?action=AUDIT_VALUE&amp;DB=129&amp;ID1=71404610&amp;VALUEID=01001&amp;SDATE=2009&amp;PERIODTYPE=ANN_STD&amp;window=popup_no_bar&amp;width=385&amp;height=120&amp;START_MAXIMIZED=FALSE&amp;creator=factset&amp;display_string=Audit"}</definedName>
    <definedName name="_261__FDSAUDITLINK__" hidden="1">{"fdsup://Directions/FactSet Auditing Viewer?action=AUDIT_VALUE&amp;DB=129&amp;ID1=64049M20&amp;VALUEID=01001&amp;SDATE=2008&amp;PERIODTYPE=ANN_STD&amp;window=popup_no_bar&amp;width=385&amp;height=120&amp;START_MAXIMIZED=FALSE&amp;creator=factset&amp;display_string=Audit"}</definedName>
    <definedName name="_262__FDSAUDITLINK__" hidden="1">{"fdsup://Directions/FactSet Auditing Viewer?action=AUDIT_VALUE&amp;DB=129&amp;ID1=63563H10&amp;VALUEID=01001&amp;SDATE=2008&amp;PERIODTYPE=ANN_STD&amp;window=popup_no_bar&amp;width=385&amp;height=120&amp;START_MAXIMIZED=FALSE&amp;creator=factset&amp;display_string=Audit"}</definedName>
    <definedName name="_263__FDSAUDITLINK__" hidden="1">{"fdsup://Directions/FactSet Auditing Viewer?action=AUDIT_VALUE&amp;DB=129&amp;ID1=58497720&amp;VALUEID=01001&amp;SDATE=2009&amp;PERIODTYPE=ANN_STD&amp;window=popup_no_bar&amp;width=385&amp;height=120&amp;START_MAXIMIZED=FALSE&amp;creator=factset&amp;display_string=Audit"}</definedName>
    <definedName name="_264__FDSAUDITLINK__" hidden="1">{"fdsup://Directions/FactSet Auditing Viewer?action=AUDIT_VALUE&amp;DB=129&amp;ID1=50540R40&amp;VALUEID=01001&amp;SDATE=2009&amp;PERIODTYPE=ANN_STD&amp;window=popup_no_bar&amp;width=385&amp;height=120&amp;START_MAXIMIZED=FALSE&amp;creator=factset&amp;display_string=Audit"}</definedName>
    <definedName name="_265__FDSAUDITLINK__" hidden="1">{"fdsup://Directions/FactSet Auditing Viewer?action=AUDIT_VALUE&amp;DB=129&amp;ID1=46126P10&amp;VALUEID=01001&amp;SDATE=2009&amp;PERIODTYPE=ANN_STD&amp;window=popup_no_bar&amp;width=385&amp;height=120&amp;START_MAXIMIZED=FALSE&amp;creator=factset&amp;display_string=Audit"}</definedName>
    <definedName name="_266__FDSAUDITLINK__" hidden="1">{"fdsup://Directions/FactSet Auditing Viewer?action=AUDIT_VALUE&amp;DB=129&amp;ID1=45873810&amp;VALUEID=01001&amp;SDATE=2008&amp;PERIODTYPE=ANN_STD&amp;window=popup_no_bar&amp;width=385&amp;height=120&amp;START_MAXIMIZED=FALSE&amp;creator=factset&amp;display_string=Audit"}</definedName>
    <definedName name="_267__FDSAUDITLINK__" hidden="1">{"fdsup://Directions/FactSet Auditing Viewer?action=AUDIT_VALUE&amp;DB=129&amp;ID1=36866T10&amp;VALUEID=01001&amp;SDATE=2008&amp;PERIODTYPE=ANN_STD&amp;window=popup_no_bar&amp;width=385&amp;height=120&amp;START_MAXIMIZED=FALSE&amp;creator=factset&amp;display_string=Audit"}</definedName>
    <definedName name="_268__FDSAUDITLINK__" hidden="1">{"fdsup://Directions/FactSet Auditing Viewer?action=AUDIT_VALUE&amp;DB=129&amp;ID1=36870F10&amp;VALUEID=01001&amp;SDATE=2008&amp;PERIODTYPE=ANN_STD&amp;window=popup_no_bar&amp;width=385&amp;height=120&amp;START_MAXIMIZED=FALSE&amp;creator=factset&amp;display_string=Audit"}</definedName>
    <definedName name="_269__FDSAUDITLINK__" hidden="1">{"fdsup://Directions/FactSet Auditing Viewer?action=AUDIT_VALUE&amp;DB=129&amp;ID1=B1XGBT&amp;VALUEID=01001&amp;SDATE=2008&amp;PERIODTYPE=ANN_STD&amp;window=popup_no_bar&amp;width=385&amp;height=120&amp;START_MAXIMIZED=FALSE&amp;creator=factset&amp;display_string=Audit"}</definedName>
    <definedName name="_27__FDSAUDITLINK__" hidden="1">{"fdsup://Directions/FactSet Auditing Viewer?action=AUDIT_VALUE&amp;DB=129&amp;ID1=92407M20&amp;VALUEID=02001&amp;SDATE=200803&amp;PERIODTYPE=QTR_STD&amp;window=popup_no_bar&amp;width=385&amp;height=120&amp;START_MAXIMIZED=FALSE&amp;creator=factset&amp;display_string=Audit"}</definedName>
    <definedName name="_270__FDSAUDITLINK__" hidden="1">{"fdsup://Directions/FactSet Auditing Viewer?action=AUDIT_VALUE&amp;DB=129&amp;ID1=30063P10&amp;VALUEID=01001&amp;SDATE=2008&amp;PERIODTYPE=ANN_STD&amp;window=popup_no_bar&amp;width=385&amp;height=120&amp;START_MAXIMIZED=FALSE&amp;creator=factset&amp;display_string=Audit"}</definedName>
    <definedName name="_271__FDSAUDITLINK__" hidden="1">{"fdsup://Directions/FactSet Auditing Viewer?action=AUDIT_VALUE&amp;DB=129&amp;ID1=29481V10&amp;VALUEID=01001&amp;SDATE=2008&amp;PERIODTYPE=ANN_STD&amp;window=popup_no_bar&amp;width=385&amp;height=120&amp;START_MAXIMIZED=FALSE&amp;creator=factset&amp;display_string=Audit"}</definedName>
    <definedName name="_272__FDSAUDITLINK__" hidden="1">{"fdsup://Directions/FactSet Auditing Viewer?action=AUDIT_VALUE&amp;DB=129&amp;ID1=29410010&amp;VALUEID=01001&amp;SDATE=2009&amp;PERIODTYPE=ANN_STD&amp;window=popup_no_bar&amp;width=385&amp;height=120&amp;START_MAXIMIZED=FALSE&amp;creator=factset&amp;display_string=Audit"}</definedName>
    <definedName name="_273__FDSAUDITLINK__" hidden="1">{"fdsup://Directions/FactSet Auditing Viewer?action=AUDIT_VALUE&amp;DB=129&amp;ID1=22281610&amp;VALUEID=01001&amp;SDATE=2009&amp;PERIODTYPE=ANN_STD&amp;window=popup_no_bar&amp;width=385&amp;height=120&amp;START_MAXIMIZED=FALSE&amp;creator=factset&amp;display_string=Audit"}</definedName>
    <definedName name="_274__FDSAUDITLINK__" hidden="1">{"fdsup://Directions/FactSet Auditing Viewer?action=AUDIT_VALUE&amp;DB=129&amp;ID1=18048910&amp;VALUEID=01001&amp;SDATE=2008&amp;PERIODTYPE=ANN_STD&amp;window=popup_no_bar&amp;width=385&amp;height=120&amp;START_MAXIMIZED=FALSE&amp;creator=factset&amp;display_string=Audit"}</definedName>
    <definedName name="_275__FDSAUDITLINK__" hidden="1">{"fdsup://Directions/FactSet Auditing Viewer?action=AUDIT_VALUE&amp;DB=129&amp;ID1=98411710&amp;VALUEID=01001&amp;SDATE=2009&amp;PERIODTYPE=ANN_STD&amp;window=popup_no_bar&amp;width=385&amp;height=120&amp;START_MAXIMIZED=FALSE&amp;creator=factset&amp;display_string=Audit"}</definedName>
    <definedName name="_276__FDSAUDITLINK__" hidden="1">{"fdsup://Directions/FactSet Auditing Viewer?action=AUDIT_VALUE&amp;DB=129&amp;ID1=62855J10&amp;VALUEID=01001&amp;SDATE=2009&amp;PERIODTYPE=ANN_STD&amp;window=popup_no_bar&amp;width=385&amp;height=120&amp;START_MAXIMIZED=FALSE&amp;creator=factset&amp;display_string=Audit"}</definedName>
    <definedName name="_277__FDSAUDITLINK__" hidden="1">{"fdsup://Directions/FactSet Auditing Viewer?action=AUDIT_VALUE&amp;DB=129&amp;ID1=37243V10&amp;VALUEID=01001&amp;SDATE=2008&amp;PERIODTYPE=ANN_STD&amp;window=popup_no_bar&amp;width=385&amp;height=120&amp;START_MAXIMIZED=FALSE&amp;creator=factset&amp;display_string=Audit"}</definedName>
    <definedName name="_278__FDSAUDITLINK__" hidden="1">{"fdsup://Directions/FactSet Auditing Viewer?action=AUDIT_VALUE&amp;DB=129&amp;ID1=227124&amp;VALUEID=01001&amp;SDATE=2009&amp;PERIODTYPE=ANN_STD&amp;window=popup_no_bar&amp;width=385&amp;height=120&amp;START_MAXIMIZED=FALSE&amp;creator=factset&amp;display_string=Audit"}</definedName>
    <definedName name="_279__FDSAUDITLINK__" hidden="1">{"fdsup://Directions/FactSet Auditing Viewer?action=AUDIT_VALUE&amp;DB=129&amp;ID1=94109210&amp;VALUEID=01001&amp;SDATE=2008&amp;PERIODTYPE=ANN_STD&amp;window=popup_no_bar&amp;width=385&amp;height=120&amp;START_MAXIMIZED=FALSE&amp;creator=factset&amp;display_string=Audit"}</definedName>
    <definedName name="_28__FDSAUDITLINK__" hidden="1">{"fdsup://Directions/FactSet Auditing Viewer?action=AUDIT_VALUE&amp;DB=129&amp;ID1=84842R10&amp;VALUEID=02001&amp;SDATE=200903&amp;PERIODTYPE=QTR_STD&amp;window=popup_no_bar&amp;width=385&amp;height=120&amp;START_MAXIMIZED=FALSE&amp;creator=factset&amp;display_string=Audit"}</definedName>
    <definedName name="_280__FDSAUDITLINK__" hidden="1">{"fdsup://Directions/FactSet Auditing Viewer?action=AUDIT_VALUE&amp;DB=129&amp;ID1=15670R10&amp;VALUEID=01001&amp;SDATE=2009&amp;PERIODTYPE=ANN_STD&amp;window=popup_no_bar&amp;width=385&amp;height=120&amp;START_MAXIMIZED=FALSE&amp;creator=factset&amp;display_string=Audit"}</definedName>
    <definedName name="_281__FDSAUDITLINK__" hidden="1">{"fdsup://Directions/FactSet Auditing Viewer?action=AUDIT_VALUE&amp;DB=129&amp;ID1=15100E10&amp;VALUEID=01001&amp;SDATE=2008&amp;PERIODTYPE=ANN_STD&amp;window=popup_no_bar&amp;width=385&amp;height=120&amp;START_MAXIMIZED=FALSE&amp;creator=factset&amp;display_string=Audit"}</definedName>
    <definedName name="_282__FDSAUDITLINK__" hidden="1">{"fdsup://Directions/FactSet Auditing Viewer?action=AUDIT_VALUE&amp;DB=129&amp;ID1=09057G60&amp;VALUEID=01001&amp;SDATE=2009&amp;PERIODTYPE=ANN_STD&amp;window=popup_no_bar&amp;width=385&amp;height=120&amp;START_MAXIMIZED=FALSE&amp;creator=factset&amp;display_string=Audit"}</definedName>
    <definedName name="_283__FDSAUDITLINK__" hidden="1">{"fdsup://Directions/FactSet Auditing Viewer?action=AUDIT_VALUE&amp;DB=129&amp;ID1=45252610&amp;VALUEID=01001&amp;SDATE=2008&amp;PERIODTYPE=ANN_STD&amp;window=popup_no_bar&amp;width=385&amp;height=120&amp;START_MAXIMIZED=FALSE&amp;creator=factset&amp;display_string=Audit"}</definedName>
    <definedName name="_284__FDSAUDITLINK__" hidden="1">{"fdsup://Directions/FactSet Auditing Viewer?action=AUDIT_VALUE&amp;DB=129&amp;ID1=07581110&amp;VALUEID=01001&amp;SDATE=2009&amp;PERIODTYPE=ANN_STD&amp;window=popup_no_bar&amp;width=385&amp;height=120&amp;START_MAXIMIZED=FALSE&amp;creator=factset&amp;display_string=Audit"}</definedName>
    <definedName name="_285__FDSAUDITLINK__" hidden="1">{"fdsup://Directions/FactSet Auditing Viewer?action=AUDIT_VALUE&amp;DB=129&amp;ID1=09071B10&amp;VALUEID=01001&amp;SDATE=2009&amp;PERIODTYPE=ANN_STD&amp;window=popup_no_bar&amp;width=385&amp;height=120&amp;START_MAXIMIZED=FALSE&amp;creator=factset&amp;display_string=Audit"}</definedName>
    <definedName name="_286__FDSAUDITLINK__" hidden="1">{"fdsup://Directions/FactSet Auditing Viewer?action=AUDIT_VALUE&amp;DB=129&amp;ID1=01860620&amp;VALUEID=01001&amp;SDATE=2008&amp;PERIODTYPE=ANN_STD&amp;window=popup_no_bar&amp;width=385&amp;height=120&amp;START_MAXIMIZED=FALSE&amp;creator=factset&amp;display_string=Audit"}</definedName>
    <definedName name="_287__FDSAUDITLINK__" hidden="1">{"fdsup://Directions/FactSet Auditing Viewer?action=AUDIT_VALUE&amp;DB=129&amp;ID1=92407M20&amp;VALUEID=02001&amp;SDATE=200803&amp;PERIODTYPE=QTR_STD&amp;window=popup_no_bar&amp;width=385&amp;height=120&amp;START_MAXIMIZED=FALSE&amp;creator=factset&amp;display_string=Audit"}</definedName>
    <definedName name="_288__FDSAUDITLINK__" hidden="1">{"fdsup://Directions/FactSet Auditing Viewer?action=AUDIT_VALUE&amp;DB=129&amp;ID1=81733740&amp;VALUEID=02001&amp;SDATE=200903&amp;PERIODTYPE=QTR_STD&amp;window=popup_no_bar&amp;width=385&amp;height=120&amp;START_MAXIMIZED=FALSE&amp;creator=factset&amp;display_string=Audit"}</definedName>
    <definedName name="_289__FDSAUDITLINK__" hidden="1">{"fdsup://Directions/FactSet Auditing Viewer?action=AUDIT_VALUE&amp;DB=129&amp;ID1=76123U10&amp;VALUEID=02001&amp;SDATE=200903&amp;PERIODTYPE=QTR_STD&amp;window=popup_no_bar&amp;width=385&amp;height=120&amp;START_MAXIMIZED=FALSE&amp;creator=factset&amp;display_string=Audit"}</definedName>
    <definedName name="_29__FDSAUDITLINK__" hidden="1">{"fdsup://Directions/FactSet Auditing Viewer?action=AUDIT_VALUE&amp;DB=129&amp;ID1=81733740&amp;VALUEID=02001&amp;SDATE=200903&amp;PERIODTYPE=QTR_STD&amp;window=popup_no_bar&amp;width=385&amp;height=120&amp;START_MAXIMIZED=FALSE&amp;creator=factset&amp;display_string=Audit"}</definedName>
    <definedName name="_290__FDSAUDITLINK__" hidden="1">{"fdsup://Directions/FactSet Auditing Viewer?action=AUDIT_VALUE&amp;DB=129&amp;ID1=75049110&amp;VALUEID=02001&amp;SDATE=200903&amp;PERIODTYPE=QTR_STD&amp;window=popup_no_bar&amp;width=385&amp;height=120&amp;START_MAXIMIZED=FALSE&amp;creator=factset&amp;display_string=Audit"}</definedName>
    <definedName name="_291__FDSAUDITLINK__" hidden="1">{"fdsup://Directions/FactSet Auditing Viewer?action=AUDIT_VALUE&amp;DB=129&amp;ID1=74834L10&amp;VALUEID=02001&amp;SDATE=200903&amp;PERIODTYPE=QTR_STD&amp;window=popup_no_bar&amp;width=385&amp;height=120&amp;START_MAXIMIZED=FALSE&amp;creator=factset&amp;display_string=Audit"}</definedName>
    <definedName name="_292__FDSAUDITLINK__" hidden="1">{"fdsup://Directions/FactSet Auditing Viewer?action=AUDIT_VALUE&amp;DB=129&amp;ID1=74437520&amp;VALUEID=02001&amp;SDATE=200903&amp;PERIODTYPE=QTR_STD&amp;window=popup_no_bar&amp;width=385&amp;height=120&amp;START_MAXIMIZED=FALSE&amp;creator=factset&amp;display_string=Audit"}</definedName>
    <definedName name="_293__FDSAUDITLINK__" hidden="1">{"fdsup://Directions/FactSet Auditing Viewer?action=AUDIT_VALUE&amp;DB=129&amp;ID1=71712410&amp;VALUEID=02001&amp;SDATE=200903&amp;PERIODTYPE=QTR_STD&amp;window=popup_no_bar&amp;width=385&amp;height=120&amp;START_MAXIMIZED=FALSE&amp;creator=factset&amp;display_string=Audit"}</definedName>
    <definedName name="_294__FDSAUDITLINK__" hidden="1">{"fdsup://Directions/FactSet Auditing Viewer?action=AUDIT_VALUE&amp;DB=129&amp;ID1=71404610&amp;VALUEID=02001&amp;SDATE=200903&amp;PERIODTYPE=QTR_STD&amp;window=popup_no_bar&amp;width=385&amp;height=120&amp;START_MAXIMIZED=FALSE&amp;creator=factset&amp;display_string=Audit"}</definedName>
    <definedName name="_295__FDSAUDITLINK__" hidden="1">{"fdsup://Directions/FactSet Auditing Viewer?action=AUDIT_VALUE&amp;DB=129&amp;ID1=64127R30&amp;VALUEID=02001&amp;SDATE=200903&amp;PERIODTYPE=QTR_STD&amp;window=popup_no_bar&amp;width=385&amp;height=120&amp;START_MAXIMIZED=FALSE&amp;creator=factset&amp;display_string=Audit"}</definedName>
    <definedName name="_296__FDSAUDITLINK__" hidden="1">{"fdsup://Directions/FactSet Auditing Viewer?action=AUDIT_VALUE&amp;DB=129&amp;ID1=64049M20&amp;VALUEID=02001&amp;SDATE=200903&amp;PERIODTYPE=QTR_STD&amp;window=popup_no_bar&amp;width=385&amp;height=120&amp;START_MAXIMIZED=FALSE&amp;creator=factset&amp;display_string=Audit"}</definedName>
    <definedName name="_297__FDSAUDITLINK__" hidden="1">{"fdsup://Directions/FactSet Auditing Viewer?action=AUDIT_VALUE&amp;DB=129&amp;ID1=63563H10&amp;VALUEID=02001&amp;SDATE=200903&amp;PERIODTYPE=QTR_STD&amp;window=popup_no_bar&amp;width=385&amp;height=120&amp;START_MAXIMIZED=FALSE&amp;creator=factset&amp;display_string=Audit"}</definedName>
    <definedName name="_298__FDSAUDITLINK__" hidden="1">{"fdsup://Directions/FactSet Auditing Viewer?action=AUDIT_VALUE&amp;DB=129&amp;ID1=58497720&amp;VALUEID=02001&amp;SDATE=200903&amp;PERIODTYPE=QTR_STD&amp;window=popup_no_bar&amp;width=385&amp;height=120&amp;START_MAXIMIZED=FALSE&amp;creator=factset&amp;display_string=Audit"}</definedName>
    <definedName name="_299__FDSAUDITLINK__" hidden="1">{"fdsup://Directions/FactSet Auditing Viewer?action=AUDIT_VALUE&amp;DB=129&amp;ID1=58404X10&amp;VALUEID=02001&amp;SDATE=200903&amp;PERIODTYPE=QTR_STD&amp;window=popup_no_bar&amp;width=385&amp;height=120&amp;START_MAXIMIZED=FALSE&amp;creator=factset&amp;display_string=Audit"}</definedName>
    <definedName name="_2Q94">#REF!</definedName>
    <definedName name="_2Q95">#REF!</definedName>
    <definedName name="_3__FDSAUDITLINK__" hidden="1">{"fdsup://Directions/FactSet Auditing Viewer?action=AUDIT_VALUE&amp;DB=129&amp;ID1=09064310&amp;VALUEID=02001&amp;SDATE=201002&amp;PERIODTYPE=QTR_STD&amp;window=popup_no_bar&amp;width=385&amp;height=120&amp;START_MAXIMIZED=FALSE&amp;creator=factset&amp;display_string=Audit"}</definedName>
    <definedName name="_30__FDSAUDITLINK__" hidden="1">{"fdsup://Directions/FactSet Auditing Viewer?action=AUDIT_VALUE&amp;DB=129&amp;ID1=76123U10&amp;VALUEID=02001&amp;SDATE=200903&amp;PERIODTYPE=QTR_STD&amp;window=popup_no_bar&amp;width=385&amp;height=120&amp;START_MAXIMIZED=FALSE&amp;creator=factset&amp;display_string=Audit"}</definedName>
    <definedName name="_300__FDSAUDITLINK__" hidden="1">{"fdsup://Directions/FactSet Auditing Viewer?action=AUDIT_VALUE&amp;DB=129&amp;ID1=50540R40&amp;VALUEID=02001&amp;SDATE=200903&amp;PERIODTYPE=QTR_STD&amp;window=popup_no_bar&amp;width=385&amp;height=120&amp;START_MAXIMIZED=FALSE&amp;creator=factset&amp;display_string=Audit"}</definedName>
    <definedName name="_301__FDSAUDITLINK__" hidden="1">{"fdsup://Directions/FactSet Auditing Viewer?action=AUDIT_VALUE&amp;DB=129&amp;ID1=46126P10&amp;VALUEID=02001&amp;SDATE=200903&amp;PERIODTYPE=QTR_STD&amp;window=popup_no_bar&amp;width=385&amp;height=120&amp;START_MAXIMIZED=FALSE&amp;creator=factset&amp;display_string=Audit"}</definedName>
    <definedName name="_302__FDSAUDITLINK__" hidden="1">{"fdsup://Directions/FactSet Auditing Viewer?action=AUDIT_VALUE&amp;DB=129&amp;ID1=45873810&amp;VALUEID=02001&amp;SDATE=200903&amp;PERIODTYPE=QTR_STD&amp;window=popup_no_bar&amp;width=385&amp;height=120&amp;START_MAXIMIZED=FALSE&amp;creator=factset&amp;display_string=Audit"}</definedName>
    <definedName name="_303__FDSAUDITLINK__" hidden="1">{"fdsup://Directions/FactSet Auditing Viewer?action=AUDIT_VALUE&amp;DB=129&amp;ID1=36866T10&amp;VALUEID=02001&amp;SDATE=200903&amp;PERIODTYPE=QTR_STD&amp;window=popup_no_bar&amp;width=385&amp;height=120&amp;START_MAXIMIZED=FALSE&amp;creator=factset&amp;display_string=Audit"}</definedName>
    <definedName name="_304__FDSAUDITLINK__" hidden="1">{"fdsup://Directions/FactSet Auditing Viewer?action=AUDIT_VALUE&amp;DB=129&amp;ID1=36870F10&amp;VALUEID=02001&amp;SDATE=200903&amp;PERIODTYPE=QTR_STD&amp;window=popup_no_bar&amp;width=385&amp;height=120&amp;START_MAXIMIZED=FALSE&amp;creator=factset&amp;display_string=Audit"}</definedName>
    <definedName name="_305__FDSAUDITLINK__" hidden="1">{"fdsup://Directions/FactSet Auditing Viewer?action=AUDIT_VALUE&amp;DB=129&amp;ID1=B1XGBT&amp;VALUEID=02001&amp;SDATE=200903&amp;PERIODTYPE=QTR_STD&amp;window=popup_no_bar&amp;width=385&amp;height=120&amp;START_MAXIMIZED=FALSE&amp;creator=factset&amp;display_string=Audit"}</definedName>
    <definedName name="_306__FDSAUDITLINK__" hidden="1">{"fdsup://Directions/FactSet Auditing Viewer?action=AUDIT_VALUE&amp;DB=129&amp;ID1=30063P10&amp;VALUEID=02001&amp;SDATE=200903&amp;PERIODTYPE=QTR_STD&amp;window=popup_no_bar&amp;width=385&amp;height=120&amp;START_MAXIMIZED=FALSE&amp;creator=factset&amp;display_string=Audit"}</definedName>
    <definedName name="_307__FDSAUDITLINK__" hidden="1">{"fdsup://Directions/FactSet Auditing Viewer?action=AUDIT_VALUE&amp;DB=129&amp;ID1=29481V10&amp;VALUEID=02001&amp;SDATE=200903&amp;PERIODTYPE=QTR_STD&amp;window=popup_no_bar&amp;width=385&amp;height=120&amp;START_MAXIMIZED=FALSE&amp;creator=factset&amp;display_string=Audit"}</definedName>
    <definedName name="_308__FDSAUDITLINK__" hidden="1">{"fdsup://Directions/FactSet Auditing Viewer?action=AUDIT_VALUE&amp;DB=129&amp;ID1=29410010&amp;VALUEID=02001&amp;SDATE=201001&amp;PERIODTYPE=QTR_STD&amp;window=popup_no_bar&amp;width=385&amp;height=120&amp;START_MAXIMIZED=FALSE&amp;creator=factset&amp;display_string=Audit"}</definedName>
    <definedName name="_309__FDSAUDITLINK__" hidden="1">{"fdsup://Directions/FactSet Auditing Viewer?action=AUDIT_VALUE&amp;DB=129&amp;ID1=22281610&amp;VALUEID=02001&amp;SDATE=200903&amp;PERIODTYPE=QTR_STD&amp;window=popup_no_bar&amp;width=385&amp;height=120&amp;START_MAXIMIZED=FALSE&amp;creator=factset&amp;display_string=Audit"}</definedName>
    <definedName name="_31__FDSAUDITLINK__" hidden="1">{"fdsup://Directions/FactSet Auditing Viewer?action=AUDIT_VALUE&amp;DB=129&amp;ID1=75049110&amp;VALUEID=02001&amp;SDATE=200903&amp;PERIODTYPE=QTR_STD&amp;window=popup_no_bar&amp;width=385&amp;height=120&amp;START_MAXIMIZED=FALSE&amp;creator=factset&amp;display_string=Audit"}</definedName>
    <definedName name="_310__FDSAUDITLINK__" hidden="1">{"fdsup://Directions/FactSet Auditing Viewer?action=AUDIT_VALUE&amp;DB=129&amp;ID1=18048910&amp;VALUEID=02001&amp;SDATE=200903&amp;PERIODTYPE=QTR_STD&amp;window=popup_no_bar&amp;width=385&amp;height=120&amp;START_MAXIMIZED=FALSE&amp;creator=factset&amp;display_string=Audit"}</definedName>
    <definedName name="_311__FDSAUDITLINK__" hidden="1">{"fdsup://Directions/FactSet Auditing Viewer?action=AUDIT_VALUE&amp;DB=129&amp;ID1=98411710&amp;VALUEID=02001&amp;SDATE=201001&amp;PERIODTYPE=QTR_STD&amp;window=popup_no_bar&amp;width=385&amp;height=120&amp;START_MAXIMIZED=FALSE&amp;creator=factset&amp;display_string=Audit"}</definedName>
    <definedName name="_312__FDSAUDITLINK__" hidden="1">{"fdsup://Directions/FactSet Auditing Viewer?action=AUDIT_VALUE&amp;DB=129&amp;ID1=62855J10&amp;VALUEID=02001&amp;SDATE=201002&amp;PERIODTYPE=QTR_STD&amp;window=popup_no_bar&amp;width=385&amp;height=120&amp;START_MAXIMIZED=FALSE&amp;creator=factset&amp;display_string=Audit"}</definedName>
    <definedName name="_313__FDSAUDITLINK__" hidden="1">{"fdsup://Directions/FactSet Auditing Viewer?action=AUDIT_VALUE&amp;DB=129&amp;ID1=37243V10&amp;VALUEID=02001&amp;SDATE=200903&amp;PERIODTYPE=QTR_STD&amp;window=popup_no_bar&amp;width=385&amp;height=120&amp;START_MAXIMIZED=FALSE&amp;creator=factset&amp;display_string=Audit"}</definedName>
    <definedName name="_314__FDSAUDITLINK__" hidden="1">{"fdsup://Directions/FactSet Auditing Viewer?action=AUDIT_VALUE&amp;DB=129&amp;ID1=15670R10&amp;VALUEID=02001&amp;SDATE=200903&amp;PERIODTYPE=QTR_STD&amp;window=popup_no_bar&amp;width=385&amp;height=120&amp;START_MAXIMIZED=FALSE&amp;creator=factset&amp;display_string=Audit"}</definedName>
    <definedName name="_315__FDSAUDITLINK__" hidden="1">{"fdsup://Directions/FactSet Auditing Viewer?action=AUDIT_VALUE&amp;DB=129&amp;ID1=15100E10&amp;VALUEID=02001&amp;SDATE=200903&amp;PERIODTYPE=QTR_STD&amp;window=popup_no_bar&amp;width=385&amp;height=120&amp;START_MAXIMIZED=FALSE&amp;creator=factset&amp;display_string=Audit"}</definedName>
    <definedName name="_316__FDSAUDITLINK__" hidden="1">{"fdsup://Directions/FactSet Auditing Viewer?action=AUDIT_VALUE&amp;DB=129&amp;ID1=45252610&amp;VALUEID=02001&amp;SDATE=200902&amp;PERIODTYPE=QTR_STD&amp;window=popup_no_bar&amp;width=385&amp;height=120&amp;START_MAXIMIZED=FALSE&amp;creator=factset&amp;display_string=Audit"}</definedName>
    <definedName name="_317__FDSAUDITLINK__" hidden="1">{"fdsup://Directions/FactSet Auditing Viewer?action=AUDIT_VALUE&amp;DB=129&amp;ID1=07581110&amp;VALUEID=02001&amp;SDATE=200903&amp;PERIODTYPE=QTR_STD&amp;window=popup_no_bar&amp;width=385&amp;height=120&amp;START_MAXIMIZED=FALSE&amp;creator=factset&amp;display_string=Audit"}</definedName>
    <definedName name="_318__FDSAUDITLINK__" hidden="1">{"fdsup://Directions/FactSet Auditing Viewer?action=AUDIT_VALUE&amp;DB=129&amp;ID1=09057220&amp;VALUEID=02001&amp;SDATE=200903&amp;PERIODTYPE=QTR_STD&amp;window=popup_no_bar&amp;width=385&amp;height=120&amp;START_MAXIMIZED=FALSE&amp;creator=factset&amp;display_string=Audit"}</definedName>
    <definedName name="_319__FDSAUDITLINK__" hidden="1">{"fdsup://Directions/FactSet Auditing Viewer?action=AUDIT_VALUE&amp;DB=129&amp;ID1=09071B10&amp;VALUEID=02001&amp;SDATE=200903&amp;PERIODTYPE=QTR_STD&amp;window=popup_no_bar&amp;width=385&amp;height=120&amp;START_MAXIMIZED=FALSE&amp;creator=factset&amp;display_string=Audit"}</definedName>
    <definedName name="_32__FDSAUDITLINK__" hidden="1">{"fdsup://Directions/FactSet Auditing Viewer?action=AUDIT_VALUE&amp;DB=129&amp;ID1=74834L10&amp;VALUEID=02001&amp;SDATE=200903&amp;PERIODTYPE=QTR_STD&amp;window=popup_no_bar&amp;width=385&amp;height=120&amp;START_MAXIMIZED=FALSE&amp;creator=factset&amp;display_string=Audit"}</definedName>
    <definedName name="_320__FDSAUDITLINK__" hidden="1">{"fdsup://Directions/FactSet Auditing Viewer?action=AUDIT_VALUE&amp;DB=129&amp;ID1=01860620&amp;VALUEID=02001&amp;SDATE=200903&amp;PERIODTYPE=QTR_STD&amp;window=popup_no_bar&amp;width=385&amp;height=120&amp;START_MAXIMIZED=FALSE&amp;creator=factset&amp;display_string=Audit"}</definedName>
    <definedName name="_321__FDSAUDITLINK__" hidden="1">{"fdsup://Directions/FactSet Auditing Viewer?action=AUDIT_VALUE&amp;DB=129&amp;ID1=86270010&amp;VALUEID=01001&amp;SDATE=2008&amp;PERIODTYPE=ANN_STD&amp;window=popup_no_bar&amp;width=385&amp;height=120&amp;START_MAXIMIZED=FALSE&amp;creator=factset&amp;display_string=Audit"}</definedName>
    <definedName name="_322__FDSAUDITLINK__" hidden="1">{"fdsup://Directions/FactSet Auditing Viewer?action=AUDIT_VALUE&amp;DB=129&amp;ID1=86270010&amp;VALUEID=02001&amp;SDATE=200903&amp;PERIODTYPE=QTR_STD&amp;window=popup_no_bar&amp;width=385&amp;height=120&amp;START_MAXIMIZED=FALSE&amp;creator=factset&amp;display_string=Audit"}</definedName>
    <definedName name="_323__FDSAUDITLINK__" hidden="1">{"fdsup://Directions/FactSet Auditing Viewer?action=AUDIT_VALUE&amp;DB=129&amp;ID1=36866T10&amp;VALUEID=01001&amp;SDATE=2009&amp;PERIODTYPE=ANN_STD&amp;window=popup_no_bar&amp;width=385&amp;height=120&amp;START_MAXIMIZED=FALSE&amp;creator=factset&amp;display_string=Audit"}</definedName>
    <definedName name="_324__FDSAUDITLINK__" hidden="1">{"fdsup://Directions/FactSet Auditing Viewer?action=AUDIT_VALUE&amp;DB=129&amp;ID1=B1XGBT&amp;VALUEID=01001&amp;SDATE=2009&amp;PERIODTYPE=ANN_STD&amp;window=popup_no_bar&amp;width=385&amp;height=120&amp;START_MAXIMIZED=FALSE&amp;creator=factset&amp;display_string=Audit"}</definedName>
    <definedName name="_33__FDSAUDITLINK__" hidden="1">{"fdsup://Directions/FactSet Auditing Viewer?action=AUDIT_VALUE&amp;DB=129&amp;ID1=74437520&amp;VALUEID=02001&amp;SDATE=200903&amp;PERIODTYPE=QTR_STD&amp;window=popup_no_bar&amp;width=385&amp;height=120&amp;START_MAXIMIZED=FALSE&amp;creator=factset&amp;display_string=Audit"}</definedName>
    <definedName name="_34__FDSAUDITLINK__" hidden="1">{"fdsup://Directions/FactSet Auditing Viewer?action=AUDIT_VALUE&amp;DB=129&amp;ID1=71712410&amp;VALUEID=02001&amp;SDATE=200903&amp;PERIODTYPE=QTR_STD&amp;window=popup_no_bar&amp;width=385&amp;height=120&amp;START_MAXIMIZED=FALSE&amp;creator=factset&amp;display_string=Audit"}</definedName>
    <definedName name="_35__FDSAUDITLINK__" hidden="1">{"fdsup://Directions/FactSet Auditing Viewer?action=AUDIT_VALUE&amp;DB=129&amp;ID1=71404610&amp;VALUEID=02001&amp;SDATE=200903&amp;PERIODTYPE=QTR_STD&amp;window=popup_no_bar&amp;width=385&amp;height=120&amp;START_MAXIMIZED=FALSE&amp;creator=factset&amp;display_string=Audit"}</definedName>
    <definedName name="_36__FDSAUDITLINK__" hidden="1">{"fdsup://Directions/FactSet Auditing Viewer?action=AUDIT_VALUE&amp;DB=129&amp;ID1=64127R30&amp;VALUEID=02001&amp;SDATE=200903&amp;PERIODTYPE=QTR_STD&amp;window=popup_no_bar&amp;width=385&amp;height=120&amp;START_MAXIMIZED=FALSE&amp;creator=factset&amp;display_string=Audit"}</definedName>
    <definedName name="_37__FDSAUDITLINK__" hidden="1">{"fdsup://Directions/FactSet Auditing Viewer?action=AUDIT_VALUE&amp;DB=129&amp;ID1=64049M20&amp;VALUEID=02001&amp;SDATE=200903&amp;PERIODTYPE=QTR_STD&amp;window=popup_no_bar&amp;width=385&amp;height=120&amp;START_MAXIMIZED=FALSE&amp;creator=factset&amp;display_string=Audit"}</definedName>
    <definedName name="_38__FDSAUDITLINK__" hidden="1">{"fdsup://Directions/FactSet Auditing Viewer?action=AUDIT_VALUE&amp;DB=129&amp;ID1=63563H10&amp;VALUEID=02001&amp;SDATE=200903&amp;PERIODTYPE=QTR_STD&amp;window=popup_no_bar&amp;width=385&amp;height=120&amp;START_MAXIMIZED=FALSE&amp;creator=factset&amp;display_string=Audit"}</definedName>
    <definedName name="_39__FDSAUDITLINK__" hidden="1">{"fdsup://Directions/FactSet Auditing Viewer?action=AUDIT_VALUE&amp;DB=129&amp;ID1=58497720&amp;VALUEID=02001&amp;SDATE=200903&amp;PERIODTYPE=QTR_STD&amp;window=popup_no_bar&amp;width=385&amp;height=120&amp;START_MAXIMIZED=FALSE&amp;creator=factset&amp;display_string=Audit"}</definedName>
    <definedName name="_3Q94">#REF!</definedName>
    <definedName name="_3Q95">#REF!</definedName>
    <definedName name="_4__FDSAUDITLINK__" hidden="1">{"fdsup://Directions/FactSet Auditing Viewer?action=AUDIT_VALUE&amp;DB=129&amp;ID1=92560210&amp;VALUEID=02001&amp;SDATE=201002&amp;PERIODTYPE=QTR_STD&amp;window=popup_no_bar&amp;width=385&amp;height=120&amp;START_MAXIMIZED=FALSE&amp;creator=factset&amp;display_string=Audit"}</definedName>
    <definedName name="_40__FDSAUDITLINK__" hidden="1">{"fdsup://Directions/FactSet Auditing Viewer?action=AUDIT_VALUE&amp;DB=129&amp;ID1=58404X10&amp;VALUEID=02001&amp;SDATE=200903&amp;PERIODTYPE=QTR_STD&amp;window=popup_no_bar&amp;width=385&amp;height=120&amp;START_MAXIMIZED=FALSE&amp;creator=factset&amp;display_string=Audit"}</definedName>
    <definedName name="_41__FDSAUDITLINK__" hidden="1">{"fdsup://Directions/FactSet Auditing Viewer?action=AUDIT_VALUE&amp;DB=129&amp;ID1=50540R40&amp;VALUEID=02001&amp;SDATE=200903&amp;PERIODTYPE=QTR_STD&amp;window=popup_no_bar&amp;width=385&amp;height=120&amp;START_MAXIMIZED=FALSE&amp;creator=factset&amp;display_string=Audit"}</definedName>
    <definedName name="_42__FDSAUDITLINK__" hidden="1">{"fdsup://Directions/FactSet Auditing Viewer?action=AUDIT_VALUE&amp;DB=129&amp;ID1=46126P10&amp;VALUEID=02001&amp;SDATE=200903&amp;PERIODTYPE=QTR_STD&amp;window=popup_no_bar&amp;width=385&amp;height=120&amp;START_MAXIMIZED=FALSE&amp;creator=factset&amp;display_string=Audit"}</definedName>
    <definedName name="_43__FDSAUDITLINK__" hidden="1">{"fdsup://Directions/FactSet Auditing Viewer?action=AUDIT_VALUE&amp;DB=129&amp;ID1=45873810&amp;VALUEID=02001&amp;SDATE=200903&amp;PERIODTYPE=QTR_STD&amp;window=popup_no_bar&amp;width=385&amp;height=120&amp;START_MAXIMIZED=FALSE&amp;creator=factset&amp;display_string=Audit"}</definedName>
    <definedName name="_44__FDSAUDITLINK__" hidden="1">{"fdsup://Directions/FactSet Auditing Viewer?action=AUDIT_VALUE&amp;DB=129&amp;ID1=36866T10&amp;VALUEID=02001&amp;SDATE=200903&amp;PERIODTYPE=QTR_STD&amp;window=popup_no_bar&amp;width=385&amp;height=120&amp;START_MAXIMIZED=FALSE&amp;creator=factset&amp;display_string=Audit"}</definedName>
    <definedName name="_45__FDSAUDITLINK__" hidden="1">{"fdsup://Directions/FactSet Auditing Viewer?action=AUDIT_VALUE&amp;DB=129&amp;ID1=37243V10&amp;VALUEID=02001&amp;SDATE=200903&amp;PERIODTYPE=QTR_STD&amp;window=popup_no_bar&amp;width=385&amp;height=120&amp;START_MAXIMIZED=FALSE&amp;creator=factset&amp;display_string=Audit"}</definedName>
    <definedName name="_46__FDSAUDITLINK__" hidden="1">{"fdsup://Directions/FactSet Auditing Viewer?action=AUDIT_VALUE&amp;DB=129&amp;ID1=37244C10&amp;VALUEID=02001&amp;SDATE=200903&amp;PERIODTYPE=QTR_STD&amp;window=popup_no_bar&amp;width=385&amp;height=120&amp;START_MAXIMIZED=FALSE&amp;creator=factset&amp;display_string=Audit"}</definedName>
    <definedName name="_47__FDSAUDITLINK__" hidden="1">{"fdsup://Directions/FactSet Auditing Viewer?action=AUDIT_VALUE&amp;DB=129&amp;ID1=36870F10&amp;VALUEID=02001&amp;SDATE=200903&amp;PERIODTYPE=QTR_STD&amp;window=popup_no_bar&amp;width=385&amp;height=120&amp;START_MAXIMIZED=FALSE&amp;creator=factset&amp;display_string=Audit"}</definedName>
    <definedName name="_48__FDSAUDITLINK__" hidden="1">{"fdsup://Directions/FactSet Auditing Viewer?action=AUDIT_VALUE&amp;DB=129&amp;ID1=30063P10&amp;VALUEID=02001&amp;SDATE=200903&amp;PERIODTYPE=QTR_STD&amp;window=popup_no_bar&amp;width=385&amp;height=120&amp;START_MAXIMIZED=FALSE&amp;creator=factset&amp;display_string=Audit"}</definedName>
    <definedName name="_49__FDSAUDITLINK__" hidden="1">{"fdsup://Directions/FactSet Auditing Viewer?action=AUDIT_VALUE&amp;DB=129&amp;ID1=29481V10&amp;VALUEID=02001&amp;SDATE=200903&amp;PERIODTYPE=QTR_STD&amp;window=popup_no_bar&amp;width=385&amp;height=120&amp;START_MAXIMIZED=FALSE&amp;creator=factset&amp;display_string=Audit"}</definedName>
    <definedName name="_4Q94">#REF!</definedName>
    <definedName name="_4Q95">#REF!</definedName>
    <definedName name="_5__FDSAUDITLINK__" hidden="1">{"fdsup://Directions/FactSet Auditing Viewer?action=AUDIT_VALUE&amp;DB=129&amp;ID1=15117B10&amp;VALUEID=02001&amp;SDATE=201002&amp;PERIODTYPE=QTR_STD&amp;window=popup_no_bar&amp;width=385&amp;height=120&amp;START_MAXIMIZED=FALSE&amp;creator=factset&amp;display_string=Audit"}</definedName>
    <definedName name="_50__FDSAUDITLINK__" hidden="1">{"fdsup://Directions/FactSet Auditing Viewer?action=AUDIT_VALUE&amp;DB=129&amp;ID1=29410010&amp;VALUEID=02001&amp;SDATE=201001&amp;PERIODTYPE=QTR_STD&amp;window=popup_no_bar&amp;width=385&amp;height=120&amp;START_MAXIMIZED=FALSE&amp;creator=factset&amp;display_string=Audit"}</definedName>
    <definedName name="_51__FDSAUDITLINK__" hidden="1">{"fdsup://Directions/FactSet Auditing Viewer?action=AUDIT_VALUE&amp;DB=129&amp;ID1=22281610&amp;VALUEID=02001&amp;SDATE=200903&amp;PERIODTYPE=QTR_STD&amp;window=popup_no_bar&amp;width=385&amp;height=120&amp;START_MAXIMIZED=FALSE&amp;creator=factset&amp;display_string=Audit"}</definedName>
    <definedName name="_52__FDSAUDITLINK__" hidden="1">{"fdsup://Directions/FactSet Auditing Viewer?action=AUDIT_VALUE&amp;DB=129&amp;ID1=18048910&amp;VALUEID=02001&amp;SDATE=200903&amp;PERIODTYPE=QTR_STD&amp;window=popup_no_bar&amp;width=385&amp;height=120&amp;START_MAXIMIZED=FALSE&amp;creator=factset&amp;display_string=Audit"}</definedName>
    <definedName name="_53__FDSAUDITLINK__" hidden="1">{"fdsup://Directions/FactSet Auditing Viewer?action=AUDIT_VALUE&amp;DB=129&amp;ID1=15670R10&amp;VALUEID=02001&amp;SDATE=200903&amp;PERIODTYPE=QTR_STD&amp;window=popup_no_bar&amp;width=385&amp;height=120&amp;START_MAXIMIZED=FALSE&amp;creator=factset&amp;display_string=Audit"}</definedName>
    <definedName name="_54__FDSAUDITLINK__" hidden="1">{"fdsup://Directions/FactSet Auditing Viewer?action=AUDIT_VALUE&amp;DB=129&amp;ID1=15100E10&amp;VALUEID=02001&amp;SDATE=200903&amp;PERIODTYPE=QTR_STD&amp;window=popup_no_bar&amp;width=385&amp;height=120&amp;START_MAXIMIZED=FALSE&amp;creator=factset&amp;display_string=Audit"}</definedName>
    <definedName name="_55__FDSAUDITLINK__" hidden="1">{"fdsup://Directions/FactSet Auditing Viewer?action=AUDIT_VALUE&amp;DB=129&amp;ID1=09057220&amp;VALUEID=02001&amp;SDATE=200903&amp;PERIODTYPE=QTR_STD&amp;window=popup_no_bar&amp;width=385&amp;height=120&amp;START_MAXIMIZED=FALSE&amp;creator=factset&amp;display_string=Audit"}</definedName>
    <definedName name="_56__FDSAUDITLINK__" hidden="1">{"fdsup://Directions/FactSet Auditing Viewer?action=AUDIT_VALUE&amp;DB=129&amp;ID1=09071B10&amp;VALUEID=02001&amp;SDATE=200903&amp;PERIODTYPE=QTR_STD&amp;window=popup_no_bar&amp;width=385&amp;height=120&amp;START_MAXIMIZED=FALSE&amp;creator=factset&amp;display_string=Audit"}</definedName>
    <definedName name="_57__FDSAUDITLINK__" hidden="1">{"fdsup://Directions/FactSet Auditing Viewer?action=AUDIT_VALUE&amp;DB=129&amp;ID1=01860620&amp;VALUEID=02001&amp;SDATE=200903&amp;PERIODTYPE=QTR_STD&amp;window=popup_no_bar&amp;width=385&amp;height=120&amp;START_MAXIMIZED=FALSE&amp;creator=factset&amp;display_string=Audit"}</definedName>
    <definedName name="_58__FDSAUDITLINK__" hidden="1">{"fdsup://Directions/FactSet Auditing Viewer?action=AUDIT_VALUE&amp;DB=129&amp;ID1=37243V10&amp;VALUEID=02001&amp;SDATE=200903&amp;PERIODTYPE=QTR_STD&amp;window=popup_no_bar&amp;width=385&amp;height=120&amp;START_MAXIMIZED=FALSE&amp;creator=factset&amp;display_string=Audit"}</definedName>
    <definedName name="_59__FDSAUDITLINK__" hidden="1">{"fdsup://Directions/FactSet Auditing Viewer?action=AUDIT_VALUE&amp;DB=129&amp;ID1=37243V10&amp;VALUEID=01001&amp;SDATE=2008&amp;PERIODTYPE=ANN_STD&amp;window=popup_no_bar&amp;width=385&amp;height=120&amp;START_MAXIMIZED=FALSE&amp;creator=factset&amp;display_string=Audit"}</definedName>
    <definedName name="_6__FDSAUDITLINK__" hidden="1">{"fdsup://Directions/FactSet Auditing Viewer?action=AUDIT_VALUE&amp;DB=129&amp;ID1=03703210&amp;VALUEID=02001&amp;SDATE=201002&amp;PERIODTYPE=QTR_STD&amp;window=popup_no_bar&amp;width=385&amp;height=120&amp;START_MAXIMIZED=FALSE&amp;creator=factset&amp;display_string=Audit"}</definedName>
    <definedName name="_60__FDSAUDITLINK__" hidden="1">{"fdsup://Directions/FactSet Auditing Viewer?action=AUDIT_VALUE&amp;DB=129&amp;ID1=09057G60&amp;VALUEID=01001&amp;SDATE=2009&amp;PERIODTYPE=ANN_STD&amp;window=popup_no_bar&amp;width=385&amp;height=120&amp;START_MAXIMIZED=FALSE&amp;creator=factset&amp;display_string=Audit"}</definedName>
    <definedName name="_61__FDSAUDITLINK__" hidden="1">{"fdsup://Directions/FactSet Auditing Viewer?action=AUDIT_VALUE&amp;DB=129&amp;ID1=09071B10&amp;VALUEID=01001&amp;SDATE=2009&amp;PERIODTYPE=ANN_STD&amp;window=popup_no_bar&amp;width=385&amp;height=120&amp;START_MAXIMIZED=FALSE&amp;creator=factset&amp;display_string=Audit"}</definedName>
    <definedName name="_62__FDSAUDITLINK__" hidden="1">{"fdsup://Directions/FactSet Auditing Viewer?action=AUDIT_VALUE&amp;DB=129&amp;ID1=01860620&amp;VALUEID=01001&amp;SDATE=2008&amp;PERIODTYPE=ANN_STD&amp;window=popup_no_bar&amp;width=385&amp;height=120&amp;START_MAXIMIZED=FALSE&amp;creator=factset&amp;display_string=Audit"}</definedName>
    <definedName name="_63__FDSAUDITLINK__" hidden="1">{"fdsup://Directions/FactSet Auditing Viewer?action=AUDIT_VALUE&amp;DB=129&amp;ID1=92407M20&amp;VALUEID=02001&amp;SDATE=200803&amp;PERIODTYPE=QTR_STD&amp;window=popup_no_bar&amp;width=385&amp;height=120&amp;START_MAXIMIZED=FALSE&amp;creator=factset&amp;display_string=Audit"}</definedName>
    <definedName name="_64__FDSAUDITLINK__" hidden="1">{"fdsup://Directions/FactSet Auditing Viewer?action=AUDIT_VALUE&amp;DB=129&amp;ID1=84842R10&amp;VALUEID=02001&amp;SDATE=200903&amp;PERIODTYPE=QTR_STD&amp;window=popup_no_bar&amp;width=385&amp;height=120&amp;START_MAXIMIZED=FALSE&amp;creator=factset&amp;display_string=Audit"}</definedName>
    <definedName name="_65__FDSAUDITLINK__" hidden="1">{"fdsup://Directions/FactSet Auditing Viewer?action=AUDIT_VALUE&amp;DB=129&amp;ID1=81733740&amp;VALUEID=02001&amp;SDATE=200903&amp;PERIODTYPE=QTR_STD&amp;window=popup_no_bar&amp;width=385&amp;height=120&amp;START_MAXIMIZED=FALSE&amp;creator=factset&amp;display_string=Audit"}</definedName>
    <definedName name="_66__FDSAUDITLINK__" hidden="1">{"fdsup://Directions/FactSet Auditing Viewer?action=AUDIT_VALUE&amp;DB=129&amp;ID1=76123U10&amp;VALUEID=02001&amp;SDATE=200903&amp;PERIODTYPE=QTR_STD&amp;window=popup_no_bar&amp;width=385&amp;height=120&amp;START_MAXIMIZED=FALSE&amp;creator=factset&amp;display_string=Audit"}</definedName>
    <definedName name="_67__FDSAUDITLINK__" hidden="1">{"fdsup://Directions/FactSet Auditing Viewer?action=AUDIT_VALUE&amp;DB=129&amp;ID1=75049110&amp;VALUEID=02001&amp;SDATE=200903&amp;PERIODTYPE=QTR_STD&amp;window=popup_no_bar&amp;width=385&amp;height=120&amp;START_MAXIMIZED=FALSE&amp;creator=factset&amp;display_string=Audit"}</definedName>
    <definedName name="_68__FDSAUDITLINK__" hidden="1">{"fdsup://Directions/FactSet Auditing Viewer?action=AUDIT_VALUE&amp;DB=129&amp;ID1=74834L10&amp;VALUEID=02001&amp;SDATE=200903&amp;PERIODTYPE=QTR_STD&amp;window=popup_no_bar&amp;width=385&amp;height=120&amp;START_MAXIMIZED=FALSE&amp;creator=factset&amp;display_string=Audit"}</definedName>
    <definedName name="_69__FDSAUDITLINK__" hidden="1">{"fdsup://Directions/FactSet Auditing Viewer?action=AUDIT_VALUE&amp;DB=129&amp;ID1=74437520&amp;VALUEID=02001&amp;SDATE=200903&amp;PERIODTYPE=QTR_STD&amp;window=popup_no_bar&amp;width=385&amp;height=120&amp;START_MAXIMIZED=FALSE&amp;creator=factset&amp;display_string=Audit"}</definedName>
    <definedName name="_7__FDSAUDITLINK__" hidden="1">{"fdsup://Directions/FactSet Auditing Viewer?action=AUDIT_VALUE&amp;DB=129&amp;ID1=87162T20&amp;VALUEID=02001&amp;SDATE=201002&amp;PERIODTYPE=QTR_STD&amp;window=popup_no_bar&amp;width=385&amp;height=120&amp;START_MAXIMIZED=FALSE&amp;creator=factset&amp;display_string=Audit"}</definedName>
    <definedName name="_70__FDSAUDITLINK__" hidden="1">{"fdsup://Directions/FactSet Auditing Viewer?action=AUDIT_VALUE&amp;DB=129&amp;ID1=71712410&amp;VALUEID=02001&amp;SDATE=200903&amp;PERIODTYPE=QTR_STD&amp;window=popup_no_bar&amp;width=385&amp;height=120&amp;START_MAXIMIZED=FALSE&amp;creator=factset&amp;display_string=Audit"}</definedName>
    <definedName name="_71__FDSAUDITLINK__" hidden="1">{"fdsup://Directions/FactSet Auditing Viewer?action=AUDIT_VALUE&amp;DB=129&amp;ID1=71404610&amp;VALUEID=02001&amp;SDATE=200903&amp;PERIODTYPE=QTR_STD&amp;window=popup_no_bar&amp;width=385&amp;height=120&amp;START_MAXIMIZED=FALSE&amp;creator=factset&amp;display_string=Audit"}</definedName>
    <definedName name="_72__FDSAUDITLINK__" hidden="1">{"fdsup://Directions/FactSet Auditing Viewer?action=AUDIT_VALUE&amp;DB=129&amp;ID1=64127R30&amp;VALUEID=02001&amp;SDATE=200903&amp;PERIODTYPE=QTR_STD&amp;window=popup_no_bar&amp;width=385&amp;height=120&amp;START_MAXIMIZED=FALSE&amp;creator=factset&amp;display_string=Audit"}</definedName>
    <definedName name="_73__FDSAUDITLINK__" hidden="1">{"fdsup://Directions/FactSet Auditing Viewer?action=AUDIT_VALUE&amp;DB=129&amp;ID1=64049M20&amp;VALUEID=02001&amp;SDATE=200903&amp;PERIODTYPE=QTR_STD&amp;window=popup_no_bar&amp;width=385&amp;height=120&amp;START_MAXIMIZED=FALSE&amp;creator=factset&amp;display_string=Audit"}</definedName>
    <definedName name="_74__FDSAUDITLINK__" hidden="1">{"fdsup://Directions/FactSet Auditing Viewer?action=AUDIT_VALUE&amp;DB=129&amp;ID1=63563H10&amp;VALUEID=02001&amp;SDATE=200903&amp;PERIODTYPE=QTR_STD&amp;window=popup_no_bar&amp;width=385&amp;height=120&amp;START_MAXIMIZED=FALSE&amp;creator=factset&amp;display_string=Audit"}</definedName>
    <definedName name="_75__FDSAUDITLINK__" hidden="1">{"fdsup://Directions/FactSet Auditing Viewer?action=AUDIT_VALUE&amp;DB=129&amp;ID1=58497720&amp;VALUEID=02001&amp;SDATE=200903&amp;PERIODTYPE=QTR_STD&amp;window=popup_no_bar&amp;width=385&amp;height=120&amp;START_MAXIMIZED=FALSE&amp;creator=factset&amp;display_string=Audit"}</definedName>
    <definedName name="_76__FDSAUDITLINK__" hidden="1">{"fdsup://Directions/FactSet Auditing Viewer?action=AUDIT_VALUE&amp;DB=129&amp;ID1=58404X10&amp;VALUEID=02001&amp;SDATE=200903&amp;PERIODTYPE=QTR_STD&amp;window=popup_no_bar&amp;width=385&amp;height=120&amp;START_MAXIMIZED=FALSE&amp;creator=factset&amp;display_string=Audit"}</definedName>
    <definedName name="_77__FDSAUDITLINK__" hidden="1">{"fdsup://Directions/FactSet Auditing Viewer?action=AUDIT_VALUE&amp;DB=129&amp;ID1=50540R40&amp;VALUEID=02001&amp;SDATE=200903&amp;PERIODTYPE=QTR_STD&amp;window=popup_no_bar&amp;width=385&amp;height=120&amp;START_MAXIMIZED=FALSE&amp;creator=factset&amp;display_string=Audit"}</definedName>
    <definedName name="_78__FDSAUDITLINK__" hidden="1">{"fdsup://Directions/FactSet Auditing Viewer?action=AUDIT_VALUE&amp;DB=129&amp;ID1=46126P10&amp;VALUEID=02001&amp;SDATE=200903&amp;PERIODTYPE=QTR_STD&amp;window=popup_no_bar&amp;width=385&amp;height=120&amp;START_MAXIMIZED=FALSE&amp;creator=factset&amp;display_string=Audit"}</definedName>
    <definedName name="_79__FDSAUDITLINK__" hidden="1">{"fdsup://Directions/FactSet Auditing Viewer?action=AUDIT_VALUE&amp;DB=129&amp;ID1=45873810&amp;VALUEID=02001&amp;SDATE=200903&amp;PERIODTYPE=QTR_STD&amp;window=popup_no_bar&amp;width=385&amp;height=120&amp;START_MAXIMIZED=FALSE&amp;creator=factset&amp;display_string=Audit"}</definedName>
    <definedName name="_8__FDSAUDITLINK__" hidden="1">{"fdsup://Directions/FactSet Auditing Viewer?action=AUDIT_VALUE&amp;DB=129&amp;ID1=03703210&amp;VALUEID=02001&amp;SDATE=201002&amp;PERIODTYPE=QTR_STD&amp;window=popup_no_bar&amp;width=385&amp;height=120&amp;START_MAXIMIZED=FALSE&amp;creator=factset&amp;display_string=Audit"}</definedName>
    <definedName name="_80__FDSAUDITLINK__" hidden="1">{"fdsup://Directions/FactSet Auditing Viewer?action=AUDIT_VALUE&amp;DB=129&amp;ID1=36866T10&amp;VALUEID=02001&amp;SDATE=200903&amp;PERIODTYPE=QTR_STD&amp;window=popup_no_bar&amp;width=385&amp;height=120&amp;START_MAXIMIZED=FALSE&amp;creator=factset&amp;display_string=Audit"}</definedName>
    <definedName name="_81__FDSAUDITLINK__" hidden="1">{"fdsup://Directions/FactSet Auditing Viewer?action=AUDIT_VALUE&amp;DB=129&amp;ID1=37243V10&amp;VALUEID=02001&amp;SDATE=200903&amp;PERIODTYPE=QTR_STD&amp;window=popup_no_bar&amp;width=385&amp;height=120&amp;START_MAXIMIZED=FALSE&amp;creator=factset&amp;display_string=Audit"}</definedName>
    <definedName name="_82__FDSAUDITLINK__" hidden="1">{"fdsup://Directions/FactSet Auditing Viewer?action=AUDIT_VALUE&amp;DB=129&amp;ID1=37244C10&amp;VALUEID=02001&amp;SDATE=200903&amp;PERIODTYPE=QTR_STD&amp;window=popup_no_bar&amp;width=385&amp;height=120&amp;START_MAXIMIZED=FALSE&amp;creator=factset&amp;display_string=Audit"}</definedName>
    <definedName name="_83__FDSAUDITLINK__" hidden="1">{"fdsup://Directions/FactSet Auditing Viewer?action=AUDIT_VALUE&amp;DB=129&amp;ID1=36870F10&amp;VALUEID=02001&amp;SDATE=200903&amp;PERIODTYPE=QTR_STD&amp;window=popup_no_bar&amp;width=385&amp;height=120&amp;START_MAXIMIZED=FALSE&amp;creator=factset&amp;display_string=Audit"}</definedName>
    <definedName name="_84__FDSAUDITLINK__" hidden="1">{"fdsup://Directions/FactSet Auditing Viewer?action=AUDIT_VALUE&amp;DB=129&amp;ID1=30063P10&amp;VALUEID=02001&amp;SDATE=200903&amp;PERIODTYPE=QTR_STD&amp;window=popup_no_bar&amp;width=385&amp;height=120&amp;START_MAXIMIZED=FALSE&amp;creator=factset&amp;display_string=Audit"}</definedName>
    <definedName name="_85__FDSAUDITLINK__" hidden="1">{"fdsup://Directions/FactSet Auditing Viewer?action=AUDIT_VALUE&amp;DB=129&amp;ID1=29481V10&amp;VALUEID=02001&amp;SDATE=200903&amp;PERIODTYPE=QTR_STD&amp;window=popup_no_bar&amp;width=385&amp;height=120&amp;START_MAXIMIZED=FALSE&amp;creator=factset&amp;display_string=Audit"}</definedName>
    <definedName name="_86__FDSAUDITLINK__" hidden="1">{"fdsup://Directions/FactSet Auditing Viewer?action=AUDIT_VALUE&amp;DB=129&amp;ID1=29410010&amp;VALUEID=02001&amp;SDATE=201001&amp;PERIODTYPE=QTR_STD&amp;window=popup_no_bar&amp;width=385&amp;height=120&amp;START_MAXIMIZED=FALSE&amp;creator=factset&amp;display_string=Audit"}</definedName>
    <definedName name="_87__FDSAUDITLINK__" hidden="1">{"fdsup://Directions/FactSet Auditing Viewer?action=AUDIT_VALUE&amp;DB=129&amp;ID1=22281610&amp;VALUEID=02001&amp;SDATE=200903&amp;PERIODTYPE=QTR_STD&amp;window=popup_no_bar&amp;width=385&amp;height=120&amp;START_MAXIMIZED=FALSE&amp;creator=factset&amp;display_string=Audit"}</definedName>
    <definedName name="_88__FDSAUDITLINK__" hidden="1">{"fdsup://Directions/FactSet Auditing Viewer?action=AUDIT_VALUE&amp;DB=129&amp;ID1=18048910&amp;VALUEID=02001&amp;SDATE=200903&amp;PERIODTYPE=QTR_STD&amp;window=popup_no_bar&amp;width=385&amp;height=120&amp;START_MAXIMIZED=FALSE&amp;creator=factset&amp;display_string=Audit"}</definedName>
    <definedName name="_89__FDSAUDITLINK__" hidden="1">{"fdsup://Directions/FactSet Auditing Viewer?action=AUDIT_VALUE&amp;DB=129&amp;ID1=15670R10&amp;VALUEID=02001&amp;SDATE=200903&amp;PERIODTYPE=QTR_STD&amp;window=popup_no_bar&amp;width=385&amp;height=120&amp;START_MAXIMIZED=FALSE&amp;creator=factset&amp;display_string=Audit"}</definedName>
    <definedName name="_9__FDSAUDITLINK__" hidden="1">{"fdsup://Directions/FactSet Auditing Viewer?action=AUDIT_VALUE&amp;DB=129&amp;ID1=15117B10&amp;VALUEID=02001&amp;SDATE=201002&amp;PERIODTYPE=QTR_STD&amp;window=popup_no_bar&amp;width=385&amp;height=120&amp;START_MAXIMIZED=FALSE&amp;creator=factset&amp;display_string=Audit"}</definedName>
    <definedName name="_90__FDSAUDITLINK__" hidden="1">{"fdsup://Directions/FactSet Auditing Viewer?action=AUDIT_VALUE&amp;DB=129&amp;ID1=15100E10&amp;VALUEID=02001&amp;SDATE=200903&amp;PERIODTYPE=QTR_STD&amp;window=popup_no_bar&amp;width=385&amp;height=120&amp;START_MAXIMIZED=FALSE&amp;creator=factset&amp;display_string=Audit"}</definedName>
    <definedName name="_91__FDSAUDITLINK__" hidden="1">{"fdsup://Directions/FactSet Auditing Viewer?action=AUDIT_VALUE&amp;DB=129&amp;ID1=09057220&amp;VALUEID=02001&amp;SDATE=200903&amp;PERIODTYPE=QTR_STD&amp;window=popup_no_bar&amp;width=385&amp;height=120&amp;START_MAXIMIZED=FALSE&amp;creator=factset&amp;display_string=Audit"}</definedName>
    <definedName name="_92__FDSAUDITLINK__" hidden="1">{"fdsup://Directions/FactSet Auditing Viewer?action=AUDIT_VALUE&amp;DB=129&amp;ID1=09071B10&amp;VALUEID=02001&amp;SDATE=200903&amp;PERIODTYPE=QTR_STD&amp;window=popup_no_bar&amp;width=385&amp;height=120&amp;START_MAXIMIZED=FALSE&amp;creator=factset&amp;display_string=Audit"}</definedName>
    <definedName name="_93__FDSAUDITLINK__" hidden="1">{"fdsup://Directions/FactSet Auditing Viewer?action=AUDIT_VALUE&amp;DB=129&amp;ID1=B1XGBT&amp;VALUEID=01001&amp;SDATE=2008&amp;PERIODTYPE=ANN_STD&amp;window=popup_no_bar&amp;width=385&amp;height=120&amp;START_MAXIMIZED=FALSE&amp;creator=factset&amp;display_string=Audit"}</definedName>
    <definedName name="_94__FDSAUDITLINK__" hidden="1">{"fdsup://Directions/FactSet Auditing Viewer?action=AUDIT_VALUE&amp;DB=129&amp;ID1=98411710&amp;VALUEID=01001&amp;SDATE=2009&amp;PERIODTYPE=ANN_STD&amp;window=popup_no_bar&amp;width=385&amp;height=120&amp;START_MAXIMIZED=FALSE&amp;creator=factset&amp;display_string=Audit"}</definedName>
    <definedName name="_95" localSheetId="0">#REF!</definedName>
    <definedName name="_95">[1]quarterly!#REF!</definedName>
    <definedName name="_95__FDSAUDITLINK__" hidden="1">{"fdsup://Directions/FactSet Auditing Viewer?action=AUDIT_VALUE&amp;DB=129&amp;ID1=62855J10&amp;VALUEID=01001&amp;SDATE=2009&amp;PERIODTYPE=ANN_STD&amp;window=popup_no_bar&amp;width=385&amp;height=120&amp;START_MAXIMIZED=FALSE&amp;creator=factset&amp;display_string=Audit"}</definedName>
    <definedName name="_96" localSheetId="0">#REF!</definedName>
    <definedName name="_96">[1]quarterly!#REF!</definedName>
    <definedName name="_96__FDSAUDITLINK__" hidden="1">{"fdsup://Directions/FactSet Auditing Viewer?action=AUDIT_VALUE&amp;DB=129&amp;ID1=227124&amp;VALUEID=01001&amp;SDATE=2009&amp;PERIODTYPE=ANN_STD&amp;window=popup_no_bar&amp;width=385&amp;height=120&amp;START_MAXIMIZED=FALSE&amp;creator=factset&amp;display_string=Audit"}</definedName>
    <definedName name="_97" localSheetId="0">#REF!</definedName>
    <definedName name="_97">[1]quarterly!#REF!</definedName>
    <definedName name="_97__FDSAUDITLINK__" hidden="1">{"fdsup://Directions/FactSet Auditing Viewer?action=AUDIT_VALUE&amp;DB=129&amp;ID1=94109210&amp;VALUEID=01001&amp;SDATE=2008&amp;PERIODTYPE=ANN_STD&amp;window=popup_no_bar&amp;width=385&amp;height=120&amp;START_MAXIMIZED=FALSE&amp;creator=factset&amp;display_string=Audit"}</definedName>
    <definedName name="_98" localSheetId="0">#REF!</definedName>
    <definedName name="_98">#REF!</definedName>
    <definedName name="_98__FDSAUDITLINK__" hidden="1">{"fdsup://Directions/FactSet Auditing Viewer?action=AUDIT_VALUE&amp;DB=129&amp;ID1=B1XGBT&amp;VALUEID=02001&amp;SDATE=200903&amp;PERIODTYPE=QTR_STD&amp;window=popup_no_bar&amp;width=385&amp;height=120&amp;START_MAXIMIZED=FALSE&amp;creator=factset&amp;display_string=Audit"}</definedName>
    <definedName name="_99__FDSAUDITLINK__" hidden="1">{"fdsup://Directions/FactSet Auditing Viewer?action=AUDIT_VALUE&amp;DB=129&amp;ID1=98411710&amp;VALUEID=02001&amp;SDATE=201001&amp;PERIODTYPE=QTR_STD&amp;window=popup_no_bar&amp;width=385&amp;height=120&amp;START_MAXIMIZED=FALSE&amp;creator=factset&amp;display_string=Audit"}</definedName>
    <definedName name="_EPO1" hidden="1">{"ww",#N/A,FALSE,"Hospital Products";"us",#N/A,FALSE,"Hospital Products";"in",#N/A,FALSE,"Hospital Products"}</definedName>
    <definedName name="_EPO2" localSheetId="0" hidden="1">{"ww",#N/A,FALSE,"Hospital Products";"us",#N/A,FALSE,"Hospital Products";"in",#N/A,FALSE,"Hospital Products"}</definedName>
    <definedName name="_EPO2" hidden="1">{"ww",#N/A,FALSE,"Hospital Products";"us",#N/A,FALSE,"Hospital Products";"in",#N/A,FALSE,"Hospital Products"}</definedName>
    <definedName name="_EPO3" hidden="1">{"ww",#N/A,FALSE,"Hospital Products";"us",#N/A,FALSE,"Hospital Products";"in",#N/A,FALSE,"Hospital Products"}</definedName>
    <definedName name="_EPO4" hidden="1">{"ww",#N/A,FALSE,"Hospital Products";"us",#N/A,FALSE,"Hospital Products";"in",#N/A,FALSE,"Hospital Products"}</definedName>
    <definedName name="_eps01">#REF!</definedName>
    <definedName name="_eps02">#REF!</definedName>
    <definedName name="_eps03">#REF!</definedName>
    <definedName name="_eps04">#REF!</definedName>
    <definedName name="_EPS2000">#REF!</definedName>
    <definedName name="_EPS93">#REF!</definedName>
    <definedName name="_EPS94">#REF!</definedName>
    <definedName name="_EPS95">#REF!</definedName>
    <definedName name="_EPS96">#REF!</definedName>
    <definedName name="_EPS97">#REF!</definedName>
    <definedName name="_EPS98">#REF!</definedName>
    <definedName name="_Fill" hidden="1">#REF!</definedName>
    <definedName name="_Key1">#REF!</definedName>
    <definedName name="_Key2">#REF!</definedName>
    <definedName name="_net93">#REF!</definedName>
    <definedName name="_net94">#REF!</definedName>
    <definedName name="_Order1" hidden="1">0</definedName>
    <definedName name="_Order2" hidden="1">255</definedName>
    <definedName name="_Parse_In" hidden="1">#REF!</definedName>
    <definedName name="_Parse_Out" hidden="1">#REF!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PT5">#REF!</definedName>
    <definedName name="_sls93">#REF!</definedName>
    <definedName name="_sls94">#REF!</definedName>
    <definedName name="_Sort">#REF!</definedName>
    <definedName name="_Sort2">#REF!</definedName>
    <definedName name="a" hidden="1">{#N/A,#N/A,FALSE,"Inc";#N/A,#N/A,FALSE,"Prod";#N/A,#N/A,FALSE,"QInc";#N/A,#N/A,FALSE,"QProd"}</definedName>
    <definedName name="A.1995">#REF!</definedName>
    <definedName name="A.1996">#REF!</definedName>
    <definedName name="A.1997">#REF!</definedName>
    <definedName name="A.1998">#REF!</definedName>
    <definedName name="A.1999">#REF!</definedName>
    <definedName name="A.2000">#REF!</definedName>
    <definedName name="aaa">#REF!</definedName>
    <definedName name="aassas" hidden="1">{"PR1","pr1",TRUE,"Sch PR-1"}</definedName>
    <definedName name="ab" hidden="1">{#N/A,#N/A,FALSE,"Inc";#N/A,#N/A,FALSE,"Prod";#N/A,#N/A,FALSE,"QInc";#N/A,#N/A,FALSE,"QProd"}</definedName>
    <definedName name="abcd" hidden="1">{#N/A,#N/A,FALSE,"Inc";#N/A,#N/A,FALSE,"Prod";#N/A,#N/A,FALSE,"QInc";#N/A,#N/A,FALSE,"QProd"}</definedName>
    <definedName name="ac">#REF!</definedName>
    <definedName name="acash00">#REF!</definedName>
    <definedName name="acash01">#REF!</definedName>
    <definedName name="acash02">#REF!</definedName>
    <definedName name="acash03">#REF!</definedName>
    <definedName name="acash04">#REF!</definedName>
    <definedName name="Accounts_Receivables">#REF!</definedName>
    <definedName name="adasdasdasdasd" hidden="1">{"PR1","pr1",TRUE,"Sch PR-1"}</definedName>
    <definedName name="adb" hidden="1">{#N/A,#N/A,FALSE,"Inc";#N/A,#N/A,FALSE,"Prod";#N/A,#N/A,FALSE,"QInc";#N/A,#N/A,FALSE,"QProd"}</definedName>
    <definedName name="adebt00">#REF!</definedName>
    <definedName name="adebt01">#REF!</definedName>
    <definedName name="adebt02">#REF!</definedName>
    <definedName name="adebt03">#REF!</definedName>
    <definedName name="adebt04">#REF!</definedName>
    <definedName name="Adjusted_EBIT">#REF!</definedName>
    <definedName name="Adjusted_EBITDA">#REF!</definedName>
    <definedName name="aEPS">#REF!</definedName>
    <definedName name="AF">#REF!</definedName>
    <definedName name="allqs">#REF!</definedName>
    <definedName name="AlQS">#REF!</definedName>
    <definedName name="ALSMODEL" localSheetId="0">#REF!</definedName>
    <definedName name="ALSMODEL">#REF!</definedName>
    <definedName name="amtq100">#REF!</definedName>
    <definedName name="amtq101">#REF!</definedName>
    <definedName name="amtq200">#REF!</definedName>
    <definedName name="amtq201">#REF!</definedName>
    <definedName name="amtq300">#REF!</definedName>
    <definedName name="amtq301">#REF!</definedName>
    <definedName name="amtq400">#REF!</definedName>
    <definedName name="amtq401">#REF!</definedName>
    <definedName name="AnewREGN00" localSheetId="0">#REF!</definedName>
    <definedName name="AnewREGN00">#REF!</definedName>
    <definedName name="AnewREGN99" localSheetId="0">#REF!</definedName>
    <definedName name="AnewREGN99">#REF!</definedName>
    <definedName name="AnewREGNsum00" localSheetId="0">#REF!</definedName>
    <definedName name="AnewREGNsum00">#REF!</definedName>
    <definedName name="AnewREGNsum99" localSheetId="0">#REF!</definedName>
    <definedName name="AnewREGNsum99">#REF!</definedName>
    <definedName name="AnewRENS00" localSheetId="0">#REF!</definedName>
    <definedName name="AnewRENS00">#REF!</definedName>
    <definedName name="AnewRENS99" localSheetId="0">#REF!</definedName>
    <definedName name="AnewRENS99">#REF!</definedName>
    <definedName name="AnewRENSsum00" localSheetId="0">#REF!</definedName>
    <definedName name="AnewRENSsum00">#REF!</definedName>
    <definedName name="AnewRENSsum99" localSheetId="0">#REF!</definedName>
    <definedName name="AnewRENSsum99">#REF!</definedName>
    <definedName name="annualcf">#REF!</definedName>
    <definedName name="annualPL">#REF!</definedName>
    <definedName name="anscount" hidden="1">2</definedName>
    <definedName name="apportioment" localSheetId="0">#REF!</definedName>
    <definedName name="apportioment">#REF!</definedName>
    <definedName name="Argentina">#REF!</definedName>
    <definedName name="AS2DocOpenMode" hidden="1">"AS2DocumentEdit"</definedName>
    <definedName name="asasasasas" hidden="1">{"PR1","pr1",TRUE,"Sch PR-1"}</definedName>
    <definedName name="asd" localSheetId="0"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asd"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asdasd">Sheet1</definedName>
    <definedName name="AsiaNat" localSheetId="0">#REF!</definedName>
    <definedName name="AsiaNat">#REF!</definedName>
    <definedName name="assasdafsda" hidden="1">{"PR1","pr1",TRUE,"Sch PR-1"}</definedName>
    <definedName name="assumptions">#REF!</definedName>
    <definedName name="AvgUUPerMo">#REF!</definedName>
    <definedName name="Avinza_Sales">#REF!</definedName>
    <definedName name="b">#REF!</definedName>
    <definedName name="Balance_Sheet">#REF!</definedName>
    <definedName name="BalanceSheet">#REF!</definedName>
    <definedName name="balsheet">#REF!</definedName>
    <definedName name="BalShGraphs">#REF!</definedName>
    <definedName name="balsht1991">#REF!</definedName>
    <definedName name="balsht1992">#REF!</definedName>
    <definedName name="balsht1993">#REF!</definedName>
    <definedName name="balsht1994">#REF!</definedName>
    <definedName name="balsht1995">#REF!</definedName>
    <definedName name="balsht1999">#REF!</definedName>
    <definedName name="balsht2000">#REF!</definedName>
    <definedName name="Bank_Indebtedness">#REF!</definedName>
    <definedName name="BaseYear">#REF!</definedName>
    <definedName name="bbb">#REF!</definedName>
    <definedName name="bcash00">#REF!</definedName>
    <definedName name="bcash00\">#REF!</definedName>
    <definedName name="bcash01">#REF!</definedName>
    <definedName name="bcash02">#REF!</definedName>
    <definedName name="bcash03">#REF!</definedName>
    <definedName name="bcash04">#REF!</definedName>
    <definedName name="bcd" hidden="1">{#N/A,#N/A,FALSE,"Inc";#N/A,#N/A,FALSE,"Prod";#N/A,#N/A,FALSE,"QInc";#N/A,#N/A,FALSE,"QProd"}</definedName>
    <definedName name="bcdf" hidden="1">{#N/A,#N/A,FALSE,"Inc";#N/A,#N/A,FALSE,"Prod";#N/A,#N/A,FALSE,"QInc";#N/A,#N/A,FALSE,"QProd"}</definedName>
    <definedName name="BDEBT">#REF!</definedName>
    <definedName name="bdebt00">#REF!</definedName>
    <definedName name="bdebt01">#REF!</definedName>
    <definedName name="bdebt02">#REF!</definedName>
    <definedName name="bdebt03">#REF!</definedName>
    <definedName name="bdebt04">#REF!</definedName>
    <definedName name="BeginDate">#REF!</definedName>
    <definedName name="BF">#REF!</definedName>
    <definedName name="BLPH11" hidden="1">#REF!</definedName>
    <definedName name="BLPH12" hidden="1">#REF!</definedName>
    <definedName name="breakeven">#REF!</definedName>
    <definedName name="BS" localSheetId="0">#REF!</definedName>
    <definedName name="BS">#REF!</definedName>
    <definedName name="BSGraphs">#REF!</definedName>
    <definedName name="Button2">{"Mcp08.PrintRep",""}</definedName>
    <definedName name="button22">{"Mcp08.PrintRep",""}</definedName>
    <definedName name="Button3">{"Mcp08.PrintRep",""}</definedName>
    <definedName name="button33">{"Mcp08.PrintRep",""}</definedName>
    <definedName name="c_date">#REF!</definedName>
    <definedName name="cal00_eps">#REF!</definedName>
    <definedName name="cal00_rev">#REF!</definedName>
    <definedName name="cal94_eps">#REF!</definedName>
    <definedName name="cal95_eps">#REF!</definedName>
    <definedName name="cal95_rev">#REF!</definedName>
    <definedName name="cal96_eps">#REF!</definedName>
    <definedName name="cal96_rev">#REF!</definedName>
    <definedName name="cal97_eps">#REF!</definedName>
    <definedName name="cal97_rev">#REF!</definedName>
    <definedName name="cal98_eps">#REF!</definedName>
    <definedName name="cal98_rev">#REF!</definedName>
    <definedName name="cal99_eps">#REF!</definedName>
    <definedName name="cal99_rev">#REF!</definedName>
    <definedName name="Calculated_WACC_1">#REF!</definedName>
    <definedName name="Calculated_WACC_2">#REF!</definedName>
    <definedName name="Calendar">#REF!,#REF!</definedName>
    <definedName name="Capital" localSheetId="0">#REF!</definedName>
    <definedName name="Capital">#REF!</definedName>
    <definedName name="capitalmanagement">#REF!</definedName>
    <definedName name="Cash">#REF!</definedName>
    <definedName name="Cash_and_Equivalents">#REF!</definedName>
    <definedName name="Cash_Financing">#REF!</definedName>
    <definedName name="Cash_Investing">#REF!</definedName>
    <definedName name="Cash_Operating">#REF!</definedName>
    <definedName name="cash1991">#REF!</definedName>
    <definedName name="cash1992">#REF!</definedName>
    <definedName name="cash1993">#REF!</definedName>
    <definedName name="cash1994">#REF!</definedName>
    <definedName name="cash1995">#REF!</definedName>
    <definedName name="cash1999">#REF!</definedName>
    <definedName name="cash2000">#REF!</definedName>
    <definedName name="CashFloGrphs">#REF!</definedName>
    <definedName name="Cashflow" localSheetId="0">#REF!</definedName>
    <definedName name="cashflow">#REF!</definedName>
    <definedName name="cashflow2">#REF!</definedName>
    <definedName name="CashFlowGraphs">#REF!</definedName>
    <definedName name="cbxo_txtFreeTxt1">#REF!</definedName>
    <definedName name="cbxo_txtFreeTxt11">#REF!</definedName>
    <definedName name="cbxo_txtFreeTxt2">#REF!</definedName>
    <definedName name="cbxo_txtFreeTxt22">#REF!</definedName>
    <definedName name="cbxo_txtFreeTxt3">#REF!</definedName>
    <definedName name="cbxo_txtFreeTxt33">#REF!</definedName>
    <definedName name="cbxo_txtFreeTxt4">#REF!</definedName>
    <definedName name="cbxo_txtFreeTxt44">#REF!</definedName>
    <definedName name="ccc">#REF!</definedName>
    <definedName name="cdff" hidden="1">{"equity comps",#N/A,FALSE,"CS Comps";"equity comps",#N/A,FALSE,"PS Comps";"equity comps",#N/A,FALSE,"GIC_Comps";"equity comps",#N/A,FALSE,"GIC2_Comps";"debt comps",#N/A,FALSE,"CS Comps";"debt comps",#N/A,FALSE,"PS Comps";"debt comps",#N/A,FALSE,"GIC_Comps";"debt comps",#N/A,FALSE,"GIC2_Comps"}</definedName>
    <definedName name="CDNTABLE">#REF!</definedName>
    <definedName name="cf">#REF!</definedName>
    <definedName name="CF_OP_GR">"'=BackSheet!$D$239:$AG$239"</definedName>
    <definedName name="CF_PR_DV">"'=BackSheet!$D$241:$AG$241"</definedName>
    <definedName name="cfliabilities" localSheetId="0">#REF!</definedName>
    <definedName name="cfliabilities">'[2]Financial Model'!#REF!</definedName>
    <definedName name="CFPS_Curr_Yr">#REF!</definedName>
    <definedName name="CFPS_Lst_Yr">#REF!</definedName>
    <definedName name="CFPS_Next_Yr">#REF!</definedName>
    <definedName name="Charts1">#REF!</definedName>
    <definedName name="Charts2">#REF!</definedName>
    <definedName name="ChartSpot">#REF!</definedName>
    <definedName name="Chile1">#REF!</definedName>
    <definedName name="Chile2">#REF!</definedName>
    <definedName name="Chimeras" localSheetId="0">#REF!</definedName>
    <definedName name="Chimeras">#REF!</definedName>
    <definedName name="Choices_Wrapper">#N/A</definedName>
    <definedName name="choiceswrapper">#N/A</definedName>
    <definedName name="CIQWBGuid" localSheetId="0" hidden="1">"bind 1.xlsx"</definedName>
    <definedName name="CIQWBGuid" hidden="1">"9d9ced26-8a70-4e98-b705-7924f5511826"</definedName>
    <definedName name="CleanArea">#REF!,#REF!</definedName>
    <definedName name="CLOSE">#REF!</definedName>
    <definedName name="Closed_End">#REF!</definedName>
    <definedName name="COGS">#REF!</definedName>
    <definedName name="combo">#REF!</definedName>
    <definedName name="comp2">#REF!</definedName>
    <definedName name="comp3">#REF!</definedName>
    <definedName name="comp4">#REF!</definedName>
    <definedName name="Company">#REF!</definedName>
    <definedName name="companyproper">#REF!</definedName>
    <definedName name="CompDesc">#REF!</definedName>
    <definedName name="comps1">#REF!</definedName>
    <definedName name="comps2">#REF!</definedName>
    <definedName name="contribution">#REF!</definedName>
    <definedName name="correction">#REF!</definedName>
    <definedName name="cratios">#REF!</definedName>
    <definedName name="_xlnm.Criteria">#REF!</definedName>
    <definedName name="Criteria_MI">#REF!</definedName>
    <definedName name="CU">#REF!</definedName>
    <definedName name="cu102.ShareScalingFactor" hidden="1">1000000</definedName>
    <definedName name="cu103.EmployeeScalingFactor" hidden="1">1000</definedName>
    <definedName name="cu107.DPSSymbol" hidden="1">"US$"</definedName>
    <definedName name="cu107.EPSSymbol" hidden="1">"US$"</definedName>
    <definedName name="cu71.ScalingFactor" hidden="1">1000</definedName>
    <definedName name="Cumulative_Translation_Adjustment">#REF!</definedName>
    <definedName name="Currency">#REF!</definedName>
    <definedName name="current.row">#REF!</definedName>
    <definedName name="Current_portion__capital_leases">#REF!</definedName>
    <definedName name="Cust_Seats_Per_Month">#REF!</definedName>
    <definedName name="_xlnm.Database">#REF!</definedName>
    <definedName name="Database_MI">#REF!</definedName>
    <definedName name="DataPVChart">#REF!</definedName>
    <definedName name="DataSPChart">#REF!,#REF!</definedName>
    <definedName name="Date">#REF!</definedName>
    <definedName name="Date_0">#REF!</definedName>
    <definedName name="Date_1">#REF!</definedName>
    <definedName name="Date_2">#REF!</definedName>
    <definedName name="Date_3">#REF!</definedName>
    <definedName name="Date_4">#REF!</definedName>
    <definedName name="Date_5">#REF!</definedName>
    <definedName name="Date_6">#REF!</definedName>
    <definedName name="DateHeader">#REF!</definedName>
    <definedName name="Dates">#REF!</definedName>
    <definedName name="ddd">#REF!</definedName>
    <definedName name="Deferred_income_taxes">#REF!</definedName>
    <definedName name="depa00">#REF!</definedName>
    <definedName name="depa01">#REF!</definedName>
    <definedName name="depa02">#REF!</definedName>
    <definedName name="depa03">#REF!</definedName>
    <definedName name="depq100">#REF!</definedName>
    <definedName name="depq101">#REF!</definedName>
    <definedName name="depq200">#REF!</definedName>
    <definedName name="depq201">#REF!</definedName>
    <definedName name="depq300">#REF!</definedName>
    <definedName name="depq301">#REF!</definedName>
    <definedName name="depq400">#REF!</definedName>
    <definedName name="depq401">#REF!</definedName>
    <definedName name="derm.other.total">#REF!</definedName>
    <definedName name="DF">#REF!</definedName>
    <definedName name="Dividends_payable">#REF!</definedName>
    <definedName name="DollarHeader">#REF!</definedName>
    <definedName name="DPS_Curr_Yr">#REF!</definedName>
    <definedName name="DPS_Lst_Yr">#REF!</definedName>
    <definedName name="DPS_Next_Yr">#REF!</definedName>
    <definedName name="drug1">#REF!</definedName>
    <definedName name="drug2">#REF!</definedName>
    <definedName name="drug3">#REF!</definedName>
    <definedName name="drug4">#REF!</definedName>
    <definedName name="drug5">#REF!</definedName>
    <definedName name="drug6">#REF!</definedName>
    <definedName name="drug7">#REF!</definedName>
    <definedName name="dsafa" hidden="1">{"comp1",#N/A,FALSE,"COMPS";"footnotes",#N/A,FALSE,"COMPS"}</definedName>
    <definedName name="EARNINGS" localSheetId="0">#REF!</definedName>
    <definedName name="EARNINGS">#REF!</definedName>
    <definedName name="EARNINGS__Y" localSheetId="0">#REF!</definedName>
    <definedName name="EARNINGS__Y">#REF!</definedName>
    <definedName name="ebit00">#REF!</definedName>
    <definedName name="ebit01">#REF!</definedName>
    <definedName name="ebit02">#REF!</definedName>
    <definedName name="ebit03">#REF!</definedName>
    <definedName name="ebit04">#REF!</definedName>
    <definedName name="eCommRev">#REF!</definedName>
    <definedName name="eee">#REF!</definedName>
    <definedName name="eef">#REF!</definedName>
    <definedName name="Effective_Tax_Rate">#REF!</definedName>
    <definedName name="ehsht">Sheet1</definedName>
    <definedName name="EndDate">#REF!</definedName>
    <definedName name="epo" localSheetId="0">#REF!</definedName>
    <definedName name="epo">[3]quarterly!#REF!</definedName>
    <definedName name="EPS">#REF!</definedName>
    <definedName name="EPS_Curr_Qtr">#REF!</definedName>
    <definedName name="EPS_Curr_Yr">#REF!</definedName>
    <definedName name="EPS_Growth_Rate">#REF!</definedName>
    <definedName name="EPS_Lst_Yr">#REF!</definedName>
    <definedName name="EPS_Next_Yr">#REF!</definedName>
    <definedName name="EPS_Qtr_Date">#REF!</definedName>
    <definedName name="eps00">#REF!</definedName>
    <definedName name="Equity_income_from_JV">#REF!</definedName>
    <definedName name="Equity_Ticker">#REF!</definedName>
    <definedName name="erf">#REF!</definedName>
    <definedName name="euro">1/(#REF!)</definedName>
    <definedName name="EuropeNat" localSheetId="0">#REF!</definedName>
    <definedName name="EuropeNat">#REF!</definedName>
    <definedName name="exp">#REF!</definedName>
    <definedName name="Expected_Comp_on_ASP">#REF!</definedName>
    <definedName name="Expense" localSheetId="0">#REF!</definedName>
    <definedName name="Expense">#REF!</definedName>
    <definedName name="ExtExpFactor">#REF!</definedName>
    <definedName name="_xlnm.Extract">#REF!</definedName>
    <definedName name="Extract_MI">#REF!</definedName>
    <definedName name="Extraordinary_Income">#REF!</definedName>
    <definedName name="ExtRevFactor">#REF!</definedName>
    <definedName name="f" hidden="1">{"PR1","pr1",TRUE,"Sch PR-1"}</definedName>
    <definedName name="F9HorizontalAxis">#REF!</definedName>
    <definedName name="F9ModelCompany">#REF!</definedName>
    <definedName name="F9OtherAxes">#REF!</definedName>
    <definedName name="F9ReportBody">#REF!</definedName>
    <definedName name="F9ReportTitle">#REF!</definedName>
    <definedName name="F9VerticalAxis">#REF!</definedName>
    <definedName name="fasdfs" hidden="1">{#N/A,#N/A,FALSE,"Aging Summary";#N/A,#N/A,FALSE,"Ratio Analysis";#N/A,#N/A,FALSE,"Test 120 Day Accts";#N/A,#N/A,FALSE,"Tickmarks"}</definedName>
    <definedName name="FDP_0_1_aUrv" hidden="1">#REF!</definedName>
    <definedName name="FDP_1_1_aU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0_1_aUrv" hidden="1">#REF!</definedName>
    <definedName name="FDP_121_1_aU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0_1_aUrv" hidden="1">#REF!</definedName>
    <definedName name="FDP_132_1_aUrv" hidden="1">#REF!</definedName>
    <definedName name="FDP_133_1_aUrv" hidden="1">#REF!</definedName>
    <definedName name="FDP_134_1_aUrv" hidden="1">#REF!</definedName>
    <definedName name="FDP_135_1_aUrv" hidden="1">#REF!</definedName>
    <definedName name="FDP_136_1_aSrv" hidden="1">#REF!</definedName>
    <definedName name="FDP_137_1_aUrv" hidden="1">#REF!</definedName>
    <definedName name="FDP_138_1_aUrv" hidden="1">#REF!</definedName>
    <definedName name="FDP_139_1_aUrv" hidden="1">#REF!</definedName>
    <definedName name="FDP_140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1_1_aUrv" hidden="1">#REF!</definedName>
    <definedName name="FDP_153_1_aUrv" hidden="1">#REF!</definedName>
    <definedName name="FDP_166_1_aDrv" hidden="1">#REF!</definedName>
    <definedName name="FDP_167_1_aDrv" hidden="1">#REF!</definedName>
    <definedName name="FDP_168_1_aDrv" hidden="1">#REF!</definedName>
    <definedName name="FDP_169_1_aDrv" hidden="1">#REF!</definedName>
    <definedName name="FDP_17_1_aUrv" hidden="1">#REF!</definedName>
    <definedName name="FDP_170_1_aDrv" hidden="1">#REF!</definedName>
    <definedName name="FDP_171_1_aDrv" hidden="1">#REF!</definedName>
    <definedName name="FDP_172_1_aDrv" hidden="1">#REF!</definedName>
    <definedName name="FDP_173_1_aDrv" hidden="1">#REF!</definedName>
    <definedName name="FDP_179_1_aUrv" hidden="1">#REF!</definedName>
    <definedName name="FDP_18_1_aUrv" hidden="1">#REF!</definedName>
    <definedName name="FDP_184_1_aUdv" hidden="1">#REF!</definedName>
    <definedName name="FDP_185_1_aUdv" hidden="1">#REF!</definedName>
    <definedName name="FDP_186_1_aUdv" hidden="1">#REF!</definedName>
    <definedName name="FDP_187_1_aUdv" hidden="1">#REF!</definedName>
    <definedName name="FDP_188_1_aUdv" hidden="1">#REF!</definedName>
    <definedName name="FDP_189_1_aUdv" hidden="1">#REF!</definedName>
    <definedName name="FDP_190_1_aUdv" hidden="1">#REF!</definedName>
    <definedName name="FDP_191_1_aUdv" hidden="1">#REF!</definedName>
    <definedName name="FDP_192_1_aUdv" hidden="1">#REF!</definedName>
    <definedName name="FDP_193_1_aUdv" hidden="1">#REF!</definedName>
    <definedName name="FDP_194_1_aUdv" hidden="1">#REF!</definedName>
    <definedName name="FDP_195_1_aUdv" hidden="1">#REF!</definedName>
    <definedName name="FDP_196_1_aUdv" hidden="1">#REF!</definedName>
    <definedName name="FDP_197_1_aUdv" hidden="1">#REF!</definedName>
    <definedName name="FDP_198_1_aUdv" hidden="1">#REF!</definedName>
    <definedName name="FDP_199_1_aUdv" hidden="1">#REF!</definedName>
    <definedName name="FDP_2_1_aUrv" hidden="1">#REF!</definedName>
    <definedName name="FDP_23_1_aDrv" hidden="1">#REF!</definedName>
    <definedName name="FDP_25_1_aUrv" hidden="1">#REF!</definedName>
    <definedName name="FDP_26_1_aUrv" hidden="1">#REF!</definedName>
    <definedName name="FDP_28_1_aUrv" hidden="1">#REF!</definedName>
    <definedName name="FDP_3_1_aUrv" hidden="1">#REF!</definedName>
    <definedName name="FDP_30_1_aUrv" hidden="1">#REF!</definedName>
    <definedName name="FDP_32_1_aUrv" hidden="1">#REF!</definedName>
    <definedName name="FDP_34_1_aUrv" hidden="1">#REF!</definedName>
    <definedName name="FDP_36_1_aUrv" hidden="1">#REF!</definedName>
    <definedName name="FDP_37_1_aUrv" hidden="1">#REF!</definedName>
    <definedName name="FDP_38_1_aUrv" hidden="1">#REF!</definedName>
    <definedName name="FDP_40_1_aUrv" hidden="1">#REF!</definedName>
    <definedName name="FDP_43_1_aUrv" hidden="1">#REF!</definedName>
    <definedName name="FDP_44_1_aUrv" hidden="1">#REF!</definedName>
    <definedName name="FDP_47_1_aUrv" hidden="1">#REF!</definedName>
    <definedName name="FDP_49_1_aUrv" hidden="1">#REF!</definedName>
    <definedName name="FDP_50_1_aUrv" hidden="1">#REF!</definedName>
    <definedName name="FDP_51_1_aUrv" hidden="1">#REF!</definedName>
    <definedName name="FDP_53_1_aUrv" hidden="1">#REF!</definedName>
    <definedName name="FDP_54_1_aUrv" hidden="1">#REF!</definedName>
    <definedName name="FDP_55_1_aUrv" hidden="1">#REF!</definedName>
    <definedName name="FDP_56_1_aUrv" hidden="1">#REF!</definedName>
    <definedName name="FDP_57_1_aUrv" hidden="1">#REF!</definedName>
    <definedName name="FDP_58_1_aUrv" hidden="1">#REF!</definedName>
    <definedName name="FDP_59_1_aUrv" hidden="1">#REF!</definedName>
    <definedName name="FDP_60_1_aUrv" hidden="1">#REF!</definedName>
    <definedName name="FDP_63_1_aUrv" hidden="1">#REF!</definedName>
    <definedName name="FDP_65_1_aSrv" hidden="1">#REF!</definedName>
    <definedName name="FDP_67_1_aUrv" hidden="1">#REF!</definedName>
    <definedName name="FDP_71_1_aUrv" hidden="1">#REF!</definedName>
    <definedName name="FDP_77_1_aUrv" hidden="1">#REF!</definedName>
    <definedName name="FDP_79_1_aUrv" hidden="1">#REF!</definedName>
    <definedName name="FDP_82_1_aUrv" hidden="1">#REF!</definedName>
    <definedName name="FDP_84_1_aUrv" hidden="1">#REF!</definedName>
    <definedName name="FDP_85_1_aUrv" hidden="1">#REF!</definedName>
    <definedName name="FDP_90_1_aUrv" hidden="1">#REF!</definedName>
    <definedName name="FDP_91_1_aUrv" hidden="1">#REF!</definedName>
    <definedName name="FDP_92_1_aSrv" hidden="1">#REF!</definedName>
    <definedName name="FDP_95_1_aUrv" hidden="1">#REF!</definedName>
    <definedName name="FDP_96_1_aUrv" hidden="1">#REF!</definedName>
    <definedName name="FDP_99_1_aUrv" hidden="1">#REF!</definedName>
    <definedName name="feldene.impact">#REF!</definedName>
    <definedName name="fff">#REF!</definedName>
    <definedName name="financial.trends">#REF!</definedName>
    <definedName name="fincase">#REF!</definedName>
    <definedName name="FirstHalf_99_00">#REF!</definedName>
    <definedName name="Flowback">#REF!</definedName>
    <definedName name="foodscience">#REF!</definedName>
    <definedName name="footnote">#REF!</definedName>
    <definedName name="ForecastVersion">#REF!</definedName>
    <definedName name="Form_AEPS">#REF!</definedName>
    <definedName name="Form_AEPSs">#REF!</definedName>
    <definedName name="Form_QEPS">#REF!</definedName>
    <definedName name="Form_QEPSs">#REF!</definedName>
    <definedName name="Form_QRev">#REF!</definedName>
    <definedName name="Form_QRevv">#REF!</definedName>
    <definedName name="FR_COM_ABBR">" "</definedName>
    <definedName name="FR_COM_NAME_LINK">" "</definedName>
    <definedName name="FR_COU_ABBR">" "</definedName>
    <definedName name="FR_COU_ABBR_LINK">#REF!</definedName>
    <definedName name="FR_SYBASE_SERVER">"PNYEQFRD01"</definedName>
    <definedName name="FR_TEMPLATE_KEY">"55339|1"</definedName>
    <definedName name="FR_USE_LOCAL_CCY">TRUE</definedName>
    <definedName name="FR_WORKBOOK">"H:\Excel\MRK-model.xls"</definedName>
    <definedName name="fratios">#REF!</definedName>
    <definedName name="Frequency">#REF!</definedName>
    <definedName name="fs">#REF!</definedName>
    <definedName name="fuck">#REF!</definedName>
    <definedName name="fullcompanyproper">#REF!</definedName>
    <definedName name="Fully_Diluted_Shares">#REF!</definedName>
    <definedName name="fx">#REF!</definedName>
    <definedName name="fy_00">#REF!</definedName>
    <definedName name="fy_98">#REF!</definedName>
    <definedName name="fy_99">#REF!</definedName>
    <definedName name="fy00_rev">#REF!</definedName>
    <definedName name="fy95_rev">#REF!</definedName>
    <definedName name="fy96_rev">#REF!</definedName>
    <definedName name="fy96_shares">#REF!</definedName>
    <definedName name="fy97_ni">#REF!</definedName>
    <definedName name="fy97_rev">#REF!</definedName>
    <definedName name="fy97_shares">#REF!</definedName>
    <definedName name="fy98_ni">#REF!</definedName>
    <definedName name="fy98_shares">#REF!</definedName>
    <definedName name="fy99_ni">#REF!</definedName>
    <definedName name="fy99_rev">#REF!</definedName>
    <definedName name="fy99_shares">#REF!</definedName>
    <definedName name="g">#REF!</definedName>
    <definedName name="General_and_Admin_Rate">#REF!</definedName>
    <definedName name="ggg">#REF!</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Profile" hidden="1">#REF!</definedName>
    <definedName name="gls_GenRecComment"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ross_Margin">#REF!</definedName>
    <definedName name="Gross_Profit">#REF!</definedName>
    <definedName name="Group7">{"Mcp08.PrintRep",""}</definedName>
    <definedName name="Group77">{"Mcp08.PrintRep",""}</definedName>
    <definedName name="Group7A">{"Mcp08.PrintRep",""}</definedName>
    <definedName name="Group7Aa">{"Mcp08.PrintRep",""}</definedName>
    <definedName name="growthrate">#REF!</definedName>
    <definedName name="gzmopartners">#REF!</definedName>
    <definedName name="H">#REF!</definedName>
    <definedName name="hCash_Flow">#REF!</definedName>
    <definedName name="Hh">#REF!</definedName>
    <definedName name="hhh">#REF!</definedName>
    <definedName name="Hide">#REF!,#REF!,#REF!</definedName>
    <definedName name="hidebs">#REF!</definedName>
    <definedName name="HIGH">#REF!</definedName>
    <definedName name="Historical_Equity_Market_Returns">#REF!</definedName>
    <definedName name="Historical_Inflation">#REF!</definedName>
    <definedName name="home">#REF!</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uh?">#REF!</definedName>
    <definedName name="iBalance_Sheet">#REF!</definedName>
    <definedName name="iii">#REF!</definedName>
    <definedName name="implied_ownership">#REF!</definedName>
    <definedName name="impliedgrowth">#REF!</definedName>
    <definedName name="ImpressionEquivalent">#REF!</definedName>
    <definedName name="IN">#REF!</definedName>
    <definedName name="income" localSheetId="0">#REF!</definedName>
    <definedName name="income">#REF!</definedName>
    <definedName name="Income_State">#REF!</definedName>
    <definedName name="INCOME_STATEMENT">#REF!</definedName>
    <definedName name="incstat1991">#REF!</definedName>
    <definedName name="incstat1992">#REF!</definedName>
    <definedName name="incstat1993">#REF!</definedName>
    <definedName name="incstat1994">#REF!</definedName>
    <definedName name="incstat1995">#REF!</definedName>
    <definedName name="incstat1999">#REF!</definedName>
    <definedName name="incstat2000">#REF!</definedName>
    <definedName name="IncStatGraphs">#REF!</definedName>
    <definedName name="IndexedData">#REF!</definedName>
    <definedName name="indgr0100">#REF!</definedName>
    <definedName name="indgr0201">#REF!</definedName>
    <definedName name="indpe2001">#REF!</definedName>
    <definedName name="indpe2002">#REF!</definedName>
    <definedName name="indpe2003">#REF!</definedName>
    <definedName name="Inflation">#REF!</definedName>
    <definedName name="inlicense" localSheetId="0">#REF!</definedName>
    <definedName name="inlicense">[4]A!#REF!</definedName>
    <definedName name="instructions">#REF!</definedName>
    <definedName name="instructionss">#REF!</definedName>
    <definedName name="Interest_Income__Expense">#REF!</definedName>
    <definedName name="interl">#REF!</definedName>
    <definedName name="internl">#REF!</definedName>
    <definedName name="Inventories">#REF!</definedName>
    <definedName name="Investment_tax_credits">#REF!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ING_STANDARD" hidden="1">"c4539"</definedName>
    <definedName name="IQ_ACCOUNTING_STANDARD_CIQ" hidden="1">"c5092"</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DUSTRY_REC_NO_CIQ" hidden="1">"c4983"</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ACT_OR_EST_REUT" hidden="1">"c5477"</definedName>
    <definedName name="IQ_BV_SHARE_ACT_OR_EST_THOM" hidden="1">"c5312"</definedName>
    <definedName name="IQ_BV_SHARE_EST" hidden="1">"c3541"</definedName>
    <definedName name="IQ_BV_SHARE_EST_CIQ" hidden="1">"c3800"</definedName>
    <definedName name="IQ_BV_SHARE_EST_REUT" hidden="1">"c5439"</definedName>
    <definedName name="IQ_BV_SHARE_EST_THOM" hidden="1">"c4020"</definedName>
    <definedName name="IQ_BV_SHARE_HIGH_EST" hidden="1">"c3542"</definedName>
    <definedName name="IQ_BV_SHARE_HIGH_EST_CIQ" hidden="1">"c3802"</definedName>
    <definedName name="IQ_BV_SHARE_HIGH_EST_REUT" hidden="1">"c5441"</definedName>
    <definedName name="IQ_BV_SHARE_HIGH_EST_THOM" hidden="1">"c4022"</definedName>
    <definedName name="IQ_BV_SHARE_LOW_EST" hidden="1">"c3543"</definedName>
    <definedName name="IQ_BV_SHARE_LOW_EST_CIQ" hidden="1">"c3803"</definedName>
    <definedName name="IQ_BV_SHARE_LOW_EST_REUT" hidden="1">"c5442"</definedName>
    <definedName name="IQ_BV_SHARE_LOW_EST_THOM" hidden="1">"c4023"</definedName>
    <definedName name="IQ_BV_SHARE_MEDIAN_EST" hidden="1">"c3544"</definedName>
    <definedName name="IQ_BV_SHARE_MEDIAN_EST_CIQ" hidden="1">"c3801"</definedName>
    <definedName name="IQ_BV_SHARE_MEDIAN_EST_REUT" hidden="1">"c5440"</definedName>
    <definedName name="IQ_BV_SHARE_MEDIAN_EST_THOM" hidden="1">"c4021"</definedName>
    <definedName name="IQ_BV_SHARE_NUM_EST" hidden="1">"c3539"</definedName>
    <definedName name="IQ_BV_SHARE_NUM_EST_CIQ" hidden="1">"c3804"</definedName>
    <definedName name="IQ_BV_SHARE_NUM_EST_REUT" hidden="1">"c5443"</definedName>
    <definedName name="IQ_BV_SHARE_NUM_EST_THOM" hidden="1">"c4024"</definedName>
    <definedName name="IQ_BV_SHARE_STDDEV_EST" hidden="1">"c3540"</definedName>
    <definedName name="IQ_BV_SHARE_STDDEV_EST_CIQ" hidden="1">"c3805"</definedName>
    <definedName name="IQ_BV_SHARE_STDDEV_EST_REUT" hidden="1">"c5444"</definedName>
    <definedName name="IQ_BV_SHARE_STDDEV_EST_THOM" hidden="1">"c4025"</definedName>
    <definedName name="IQ_BV_STDDEV_EST" hidden="1">"c5629"</definedName>
    <definedName name="IQ_BV_STDDEV_EST_CIQ" hidden="1">"c4742"</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REUT" hidden="1">"c5474"</definedName>
    <definedName name="IQ_CAPEX_ACT_OR_EST_THOM" hidden="1">"c5546"</definedName>
    <definedName name="IQ_CAPEX_BNK" hidden="1">"c110"</definedName>
    <definedName name="IQ_CAPEX_BR" hidden="1">"c111"</definedName>
    <definedName name="IQ_CAPEX_EST" hidden="1">"c3523"</definedName>
    <definedName name="IQ_CAPEX_EST_CIQ" hidden="1">"c3807"</definedName>
    <definedName name="IQ_CAPEX_EST_REUT" hidden="1">"c3969"</definedName>
    <definedName name="IQ_CAPEX_EST_THOM" hidden="1">"c5535"</definedName>
    <definedName name="IQ_CAPEX_FIN" hidden="1">"c112"</definedName>
    <definedName name="IQ_CAPEX_GUIDANCE" hidden="1">"c4150"</definedName>
    <definedName name="IQ_CAPEX_GUIDANCE_CIQ" hidden="1">"c4562"</definedName>
    <definedName name="IQ_CAPEX_HIGH_EST" hidden="1">"c3524"</definedName>
    <definedName name="IQ_CAPEX_HIGH_EST_CIQ" hidden="1">"c3809"</definedName>
    <definedName name="IQ_CAPEX_HIGH_EST_REUT" hidden="1">"c3971"</definedName>
    <definedName name="IQ_CAPEX_HIGH_EST_THOM" hidden="1">"c5537"</definedName>
    <definedName name="IQ_CAPEX_HIGH_GUIDANCE" hidden="1">"c4180"</definedName>
    <definedName name="IQ_CAPEX_HIGH_GUIDANCE_CIQ" hidden="1">"c4592"</definedName>
    <definedName name="IQ_CAPEX_INS" hidden="1">"c113"</definedName>
    <definedName name="IQ_CAPEX_LOW_EST" hidden="1">"c3525"</definedName>
    <definedName name="IQ_CAPEX_LOW_EST_CIQ" hidden="1">"c3810"</definedName>
    <definedName name="IQ_CAPEX_LOW_EST_REUT" hidden="1">"c3972"</definedName>
    <definedName name="IQ_CAPEX_LOW_EST_THOM" hidden="1">"c5538"</definedName>
    <definedName name="IQ_CAPEX_LOW_GUIDANCE" hidden="1">"c4220"</definedName>
    <definedName name="IQ_CAPEX_LOW_GUIDANCE_CIQ" hidden="1">"c4632"</definedName>
    <definedName name="IQ_CAPEX_MEDIAN_EST" hidden="1">"c3526"</definedName>
    <definedName name="IQ_CAPEX_MEDIAN_EST_CIQ" hidden="1">"c3808"</definedName>
    <definedName name="IQ_CAPEX_MEDIAN_EST_REUT" hidden="1">"c3970"</definedName>
    <definedName name="IQ_CAPEX_MEDIAN_EST_THOM" hidden="1">"c5536"</definedName>
    <definedName name="IQ_CAPEX_NUM_EST" hidden="1">"c3521"</definedName>
    <definedName name="IQ_CAPEX_NUM_EST_CIQ" hidden="1">"c3811"</definedName>
    <definedName name="IQ_CAPEX_NUM_EST_REUT" hidden="1">"c3973"</definedName>
    <definedName name="IQ_CAPEX_NUM_EST_THOM" hidden="1">"c5539"</definedName>
    <definedName name="IQ_CAPEX_STDDEV_EST" hidden="1">"c3522"</definedName>
    <definedName name="IQ_CAPEX_STDDEV_EST_CIQ" hidden="1">"c3812"</definedName>
    <definedName name="IQ_CAPEX_STDDEV_EST_REUT" hidden="1">"c3974"</definedName>
    <definedName name="IQ_CAPEX_STDDEV_EST_THOM" hidden="1">"c5540"</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 hidden="1">"c5638"</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CIQ" hidden="1">"c5061"</definedName>
    <definedName name="IQ_CFPS_ACT_OR_EST_REUT" hidden="1">"c5463"</definedName>
    <definedName name="IQ_CFPS_ACT_OR_EST_THOM" hidden="1">"c5301"</definedName>
    <definedName name="IQ_CFPS_EST" hidden="1">"c1667"</definedName>
    <definedName name="IQ_CFPS_EST_CIQ" hidden="1">"c3675"</definedName>
    <definedName name="IQ_CFPS_EST_REUT" hidden="1">"c3844"</definedName>
    <definedName name="IQ_CFPS_EST_THOM" hidden="1">"c4006"</definedName>
    <definedName name="IQ_CFPS_GUIDANCE" hidden="1">"c4256"</definedName>
    <definedName name="IQ_CFPS_GUIDANCE_CIQ" hidden="1">"c4782"</definedName>
    <definedName name="IQ_CFPS_HIGH_EST" hidden="1">"c1669"</definedName>
    <definedName name="IQ_CFPS_HIGH_EST_CIQ" hidden="1">"c3677"</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LOW_EST" hidden="1">"c1670"</definedName>
    <definedName name="IQ_CFPS_LOW_EST_CIQ" hidden="1">"c3678"</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MEDIAN_EST" hidden="1">"c1668"</definedName>
    <definedName name="IQ_CFPS_MEDIAN_EST_CIQ" hidden="1">"c3676"</definedName>
    <definedName name="IQ_CFPS_MEDIAN_EST_REUT" hidden="1">"c3845"</definedName>
    <definedName name="IQ_CFPS_MEDIAN_EST_THOM" hidden="1">"c4007"</definedName>
    <definedName name="IQ_CFPS_NUM_EST" hidden="1">"c1671"</definedName>
    <definedName name="IQ_CFPS_NUM_EST_CIQ" hidden="1">"c3679"</definedName>
    <definedName name="IQ_CFPS_NUM_EST_REUT" hidden="1">"c3848"</definedName>
    <definedName name="IQ_CFPS_NUM_EST_THOM" hidden="1">"c4010"</definedName>
    <definedName name="IQ_CFPS_STDDEV_EST" hidden="1">"c1672"</definedName>
    <definedName name="IQ_CFPS_STDDEV_EST_CIQ" hidden="1">"c3680"</definedName>
    <definedName name="IQ_CFPS_STDDEV_EST_REUT" hidden="1">"c3849"</definedName>
    <definedName name="IQ_CFPS_STDDEV_EST_THOM" hidden="1">"c4011"</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REUT" hidden="1">"c5464"</definedName>
    <definedName name="IQ_DPS_ACT_OR_EST_THOM" hidden="1">"c5302"</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REUT" hidden="1">"c3851"</definedName>
    <definedName name="IQ_DPS_EST_THOM" hidden="1">"c4013"</definedName>
    <definedName name="IQ_DPS_GUIDANCE" hidden="1">"c4302"</definedName>
    <definedName name="IQ_DPS_GUIDANCE_CIQ" hidden="1">"c4827"</definedName>
    <definedName name="IQ_DPS_HIGH_EST" hidden="1">"c1676"</definedName>
    <definedName name="IQ_DPS_HIGH_EST_CIQ" hidden="1">"c3684"</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LOW_EST" hidden="1">"c1677"</definedName>
    <definedName name="IQ_DPS_LOW_EST_CIQ" hidden="1">"c3685"</definedName>
    <definedName name="IQ_DPS_LOW_EST_REUT" hidden="1">"c3854"</definedName>
    <definedName name="IQ_DPS_LOW_EST_THOM" hidden="1">"c4016"</definedName>
    <definedName name="IQ_DPS_LOW_GUIDANCE" hidden="1">"c4208"</definedName>
    <definedName name="IQ_DPS_LOW_GUIDANCE_CIQ" hidden="1">"c4620"</definedName>
    <definedName name="IQ_DPS_MEDIAN_EST" hidden="1">"c1675"</definedName>
    <definedName name="IQ_DPS_MEDIAN_EST_CIQ" hidden="1">"c3683"</definedName>
    <definedName name="IQ_DPS_MEDIAN_EST_REUT" hidden="1">"c3852"</definedName>
    <definedName name="IQ_DPS_MEDIAN_EST_THOM" hidden="1">"c4014"</definedName>
    <definedName name="IQ_DPS_NUM_EST" hidden="1">"c1678"</definedName>
    <definedName name="IQ_DPS_NUM_EST_CIQ" hidden="1">"c3686"</definedName>
    <definedName name="IQ_DPS_NUM_EST_REUT" hidden="1">"c3855"</definedName>
    <definedName name="IQ_DPS_NUM_EST_THOM" hidden="1">"c4017"</definedName>
    <definedName name="IQ_DPS_STDDEV_EST" hidden="1">"c1679"</definedName>
    <definedName name="IQ_DPS_STDDEV_EST_CIQ" hidden="1">"c3687"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REUT" hidden="1">"c5465"</definedName>
    <definedName name="IQ_EBIT_ACT_OR_EST_THOM" hidden="1">"c5303"</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ST_THOM" hidden="1">"c5105"</definedName>
    <definedName name="IQ_EBIT_EXCL_SBC" hidden="1">"c3082"</definedName>
    <definedName name="IQ_EBIT_GROWTH_1" hidden="1">"c157"</definedName>
    <definedName name="IQ_EBIT_GROWTH_2" hidden="1">"c161"</definedName>
    <definedName name="IQ_EBIT_GUIDANCE" hidden="1">"c4303"</definedName>
    <definedName name="IQ_EBIT_GUIDANCE_CIQ" hidden="1">"c4828"</definedName>
    <definedName name="IQ_EBIT_GW_ACT_OR_EST" hidden="1">"c4306"</definedName>
    <definedName name="IQ_EBIT_GW_ACT_OR_EST_CIQ" hidden="1">"c4831"</definedName>
    <definedName name="IQ_EBIT_GW_EST" hidden="1">"c4305"</definedName>
    <definedName name="IQ_EBIT_GW_EST_CIQ" hidden="1">"c4830"</definedName>
    <definedName name="IQ_EBIT_GW_GUIDANCE" hidden="1">"c4307"</definedName>
    <definedName name="IQ_EBIT_GW_GUIDANCE_CIQ" hidden="1">"c4832"</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INT" hidden="1">"c360"</definedName>
    <definedName name="IQ_EBIT_LOW_EST" hidden="1">"c1684"</definedName>
    <definedName name="IQ_EBIT_LOW_EST_CIQ" hidden="1">"c4677"</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MARGIN" hidden="1">"c359"</definedName>
    <definedName name="IQ_EBIT_MEDIAN_EST" hidden="1">"c1682"</definedName>
    <definedName name="IQ_EBIT_MEDIAN_EST_CIQ" hidden="1">"c4675"</definedName>
    <definedName name="IQ_EBIT_MEDIAN_EST_REUT" hidden="1">"c5334"</definedName>
    <definedName name="IQ_EBIT_MEDIAN_EST_THOM" hidden="1">"c5106"</definedName>
    <definedName name="IQ_EBIT_NUM_EST" hidden="1">"c1685"</definedName>
    <definedName name="IQ_EBIT_NUM_EST_CIQ" hidden="1">"c4678"</definedName>
    <definedName name="IQ_EBIT_NUM_EST_REUT" hidden="1">"c5337"</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W_ACT_OR_EST" hidden="1">"c4320"</definedName>
    <definedName name="IQ_EBIT_SBC_GW_ACT_OR_EST_CIQ" hidden="1">"c4845"</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ACT_OR_EST_THOM" hidden="1">"c5300"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ROWTH_1" hidden="1">"c156"</definedName>
    <definedName name="IQ_EBITDA_GROWTH_2" hidden="1">"c160"</definedName>
    <definedName name="IQ_EBITDA_GUIDANCE" hidden="1">"c4334"</definedName>
    <definedName name="IQ_EBITDA_GUIDANCE_CIQ" hidden="1">"c4859"</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GUIDANCE_CIQ" hidden="1">"c4870"</definedName>
    <definedName name="IQ_EBT_GAAP_HIGH_GUIDANCE" hidden="1">"c4174"</definedName>
    <definedName name="IQ_EBT_GAAP_HIGH_GUIDANCE_CIQ" hidden="1">"c4586"</definedName>
    <definedName name="IQ_EBT_GAAP_LOW_GUIDANCE" hidden="1">"c4214"</definedName>
    <definedName name="IQ_EBT_GAAP_LOW_GUIDANCE_CIQ" hidden="1">"c4626"</definedName>
    <definedName name="IQ_EBT_GUIDANCE" hidden="1">"c4346"</definedName>
    <definedName name="IQ_EBT_GUIDANCE_CIQ" hidden="1">"c4871"</definedName>
    <definedName name="IQ_EBT_GW_GUIDANCE" hidden="1">"c4347"</definedName>
    <definedName name="IQ_EBT_GW_GUIDANCE_CIQ" hidden="1">"c4872"</definedName>
    <definedName name="IQ_EBT_GW_HIGH_GUIDANCE" hidden="1">"c4175"</definedName>
    <definedName name="IQ_EBT_GW_HIGH_GUIDANCE_CIQ" hidden="1">"c4587"</definedName>
    <definedName name="IQ_EBT_GW_LOW_GUIDANCE" hidden="1">"c4215"</definedName>
    <definedName name="IQ_EBT_GW_LOW_GUIDANCE_CIQ" hidden="1">"c4627"</definedName>
    <definedName name="IQ_EBT_HIGH_GUIDANCE" hidden="1">"c4173"</definedName>
    <definedName name="IQ_EBT_HIGH_GUIDANCE_CIQ" hidden="1">"c4585"</definedName>
    <definedName name="IQ_EBT_INCL_MARGIN" hidden="1">"c387"</definedName>
    <definedName name="IQ_EBT_INS" hidden="1">"c388"</definedName>
    <definedName name="IQ_EBT_LOW_GUIDANCE" hidden="1">"c4213"</definedName>
    <definedName name="IQ_EBT_LOW_GUIDANCE_CIQ" hidden="1">"c4625"</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EST_CIQ" hidden="1">"c4874"</definedName>
    <definedName name="IQ_EBT_SBC_GUIDANCE" hidden="1">"c4351"</definedName>
    <definedName name="IQ_EBT_SBC_GUIDANCE_CIQ" hidden="1">"c4876"</definedName>
    <definedName name="IQ_EBT_SBC_GW_ACT_OR_EST" hidden="1">"c4354"</definedName>
    <definedName name="IQ_EBT_SBC_GW_ACT_OR_EST_CIQ" hidden="1">"c4879"</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CT_OR_EST_THOM" hidden="1">"c5298"</definedName>
    <definedName name="IQ_EPS_AP" hidden="1">"c8880"</definedName>
    <definedName name="IQ_EPS_AP_ABS" hidden="1">"c8899"</definedName>
    <definedName name="IQ_EPS_EST" hidden="1">"c399"</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GUIDANCE_CIQ" hidden="1">"c4893"</definedName>
    <definedName name="IQ_EPS_EXCL_HIGH_GUIDANCE" hidden="1">"c4369"</definedName>
    <definedName name="IQ_EPS_EXCL_HIGH_GUIDANCE_CIQ" hidden="1">"c4894"</definedName>
    <definedName name="IQ_EPS_EXCL_LOW_GUIDANCE" hidden="1">"c4204"</definedName>
    <definedName name="IQ_EPS_EXCL_LOW_GUIDANCE_CIQ" hidden="1">"c4616"</definedName>
    <definedName name="IQ_EPS_GAAP_GUIDANCE" hidden="1">"c4370"</definedName>
    <definedName name="IQ_EPS_GAAP_GUIDANCE_CIQ" hidden="1">"c4895"</definedName>
    <definedName name="IQ_EPS_GAAP_HIGH_GUIDANCE" hidden="1">"c4371"</definedName>
    <definedName name="IQ_EPS_GAAP_HIGH_GUIDANCE_CIQ" hidden="1">"c4896"</definedName>
    <definedName name="IQ_EPS_GAAP_LOW_GUIDANCE" hidden="1">"c4205"</definedName>
    <definedName name="IQ_EPS_GAAP_LOW_GUIDANCE_CIQ" hidden="1">"c4617"</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EST_THOM" hidden="1">"c5133"</definedName>
    <definedName name="IQ_EPS_GW_GUIDANCE" hidden="1">"c4372"</definedName>
    <definedName name="IQ_EPS_GW_GUIDANCE_CIQ" hidden="1">"c4897"</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EST_CIQ" hidden="1">"c4900"</definedName>
    <definedName name="IQ_EPS_SBC_GUIDANCE" hidden="1">"c4377"</definedName>
    <definedName name="IQ_EPS_SBC_GUIDANCE_CIQ" hidden="1">"c4902"</definedName>
    <definedName name="IQ_EPS_SBC_GW_ACT_OR_EST" hidden="1">"c4380"</definedName>
    <definedName name="IQ_EPS_SBC_GW_ACT_OR_EST_CIQ" hidden="1">"c4905"</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SHARE_THOM" hidden="1">"c4026"</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PEX_THOM" hidden="1">"c5541"</definedName>
    <definedName name="IQ_EST_ACT_CASH_EPS" hidden="1">"c5637"</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CFPS_THOM" hidden="1">"c4012"</definedName>
    <definedName name="IQ_EST_ACT_DISTRIBUTABLE_CASH" hidden="1">"c4396"</definedName>
    <definedName name="IQ_EST_ACT_DISTRIBUTABLE_CASH_CIQ" hidden="1">"c4921"</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FO" hidden="1">"c1666"</definedName>
    <definedName name="IQ_EST_ACT_FFO_ADJ" hidden="1">"c4406"</definedName>
    <definedName name="IQ_EST_ACT_FFO_ADJ_CIQ" hidden="1">"c4931"</definedName>
    <definedName name="IQ_EST_ACT_FFO_CIQ" hidden="1">"c3674"</definedName>
    <definedName name="IQ_EST_ACT_FFO_REUT" hidden="1">"c3843"</definedName>
    <definedName name="IQ_EST_ACT_FFO_SHARE" hidden="1">"c4407"</definedName>
    <definedName name="IQ_EST_ACT_FFO_SHARE_CIQ" hidden="1">"c4932"</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SHARE_REUT" hidden="1">"c5616"</definedName>
    <definedName name="IQ_EST_ACT_NAV_THOM" hidden="1">"c5600"</definedName>
    <definedName name="IQ_EST_ACT_NET_DEBT" hidden="1">"c3545"</definedName>
    <definedName name="IQ_EST_ACT_NET_DEBT_CIQ" hidden="1">"c3820"</definedName>
    <definedName name="IQ_EST_ACT_NET_DEBT_REUT" hidden="1">"c5446"</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CIQ" hidden="1">"c12016"</definedName>
    <definedName name="IQ_EST_ACT_OPER_INC_REUT" hidden="1">"c5346"</definedName>
    <definedName name="IQ_EST_ACT_OPER_INC_THOM" hidden="1">"c5118"</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INC_THOM" hidden="1">"c5125"</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1YR_THOM" hidden="1">"c5542"</definedName>
    <definedName name="IQ_EST_CAPEX_GROWTH_2YR" hidden="1">"c3589"</definedName>
    <definedName name="IQ_EST_CAPEX_GROWTH_2YR_CIQ" hidden="1">"c4973"</definedName>
    <definedName name="IQ_EST_CAPEX_GROWTH_2YR_REUT" hidden="1">"c5448"</definedName>
    <definedName name="IQ_EST_CAPEX_GROWTH_2YR_THOM" hidden="1">"c5543"</definedName>
    <definedName name="IQ_EST_CAPEX_GROWTH_Q_1YR" hidden="1">"c3590"</definedName>
    <definedName name="IQ_EST_CAPEX_GROWTH_Q_1YR_CIQ" hidden="1">"c4974"</definedName>
    <definedName name="IQ_EST_CAPEX_GROWTH_Q_1YR_REUT" hidden="1">"c5449"</definedName>
    <definedName name="IQ_EST_CAPEX_GROWTH_Q_1YR_THOM" hidden="1">"c5544"</definedName>
    <definedName name="IQ_EST_CAPEX_SEQ_GROWTH_Q" hidden="1">"c3591"</definedName>
    <definedName name="IQ_EST_CAPEX_SEQ_GROWTH_Q_CIQ" hidden="1">"c4975"</definedName>
    <definedName name="IQ_EST_CAPEX_SEQ_GROWTH_Q_REUT" hidden="1">"c5450"</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SURPRISE_PERCENT" hidden="1">"c4161"</definedName>
    <definedName name="IQ_EST_CASH_FLOW_SURPRISE_PERCENT_CIQ" hidden="1">"c4573"</definedName>
    <definedName name="IQ_EST_CASH_OPER_DIFF" hidden="1">"c4162"</definedName>
    <definedName name="IQ_EST_CASH_OPER_DIFF_CIQ" hidden="1">"c4574"</definedName>
    <definedName name="IQ_EST_CASH_OPER_SURPRISE_PERCENT" hidden="1">"c4248"</definedName>
    <definedName name="IQ_EST_CASH_OPER_SURPRISE_PERCENT_CIQ" hidden="1">"c4774"</definedName>
    <definedName name="IQ_EST_CFPS_DIFF" hidden="1">"c1871"</definedName>
    <definedName name="IQ_EST_CFPS_DIFF_CIQ" hidden="1">"c3723"</definedName>
    <definedName name="IQ_EST_CFPS_DIFF_REUT" hidden="1">"c3892"</definedName>
    <definedName name="IQ_EST_CFPS_DIFF_THOM" hidden="1">"c5188"</definedName>
    <definedName name="IQ_EST_CFPS_GROWTH_1YR" hidden="1">"c1774"</definedName>
    <definedName name="IQ_EST_CFPS_GROWTH_1YR_CIQ" hidden="1">"c3709"</definedName>
    <definedName name="IQ_EST_CFPS_GROWTH_1YR_REUT" hidden="1">"c3878"</definedName>
    <definedName name="IQ_EST_CFPS_GROWTH_1YR_THOM" hidden="1">"c5174"</definedName>
    <definedName name="IQ_EST_CFPS_GROWTH_2YR" hidden="1">"c1775"</definedName>
    <definedName name="IQ_EST_CFPS_GROWTH_2YR_CIQ" hidden="1">"c3710"</definedName>
    <definedName name="IQ_EST_CFPS_GROWTH_2YR_REUT" hidden="1">"c3879"</definedName>
    <definedName name="IQ_EST_CFPS_GROWTH_2YR_THOM" hidden="1">"c5175"</definedName>
    <definedName name="IQ_EST_CFPS_GROWTH_Q_1YR" hidden="1">"c1776"</definedName>
    <definedName name="IQ_EST_CFPS_GROWTH_Q_1YR_CIQ" hidden="1">"c3711"</definedName>
    <definedName name="IQ_EST_CFPS_GROWTH_Q_1YR_REUT" hidden="1">"c3880"</definedName>
    <definedName name="IQ_EST_CFPS_GROWTH_Q_1YR_THOM" hidden="1">"c5176"</definedName>
    <definedName name="IQ_EST_CFPS_SEQ_GROWTH_Q" hidden="1">"c1777"</definedName>
    <definedName name="IQ_EST_CFPS_SEQ_GROWTH_Q_CIQ" hidden="1">"c3712"</definedName>
    <definedName name="IQ_EST_CFPS_SEQ_GROWTH_Q_REUT" hidden="1">"c3881"</definedName>
    <definedName name="IQ_EST_CFPS_SEQ_GROWTH_Q_THOM" hidden="1">"c5177"</definedName>
    <definedName name="IQ_EST_CFPS_SURPRISE_PERCENT" hidden="1">"c1872"</definedName>
    <definedName name="IQ_EST_CFPS_SURPRISE_PERCENT_CIQ" hidden="1">"c3724"</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GROWTH_1YR" hidden="1">"c4413"</definedName>
    <definedName name="IQ_EST_DISTRIBUTABLE_CASH_GROWTH_1YR_CIQ" hidden="1">"c4938"</definedName>
    <definedName name="IQ_EST_DISTRIBUTABLE_CASH_GROWTH_2YR" hidden="1">"c4414"</definedName>
    <definedName name="IQ_EST_DISTRIBUTABLE_CASH_GROWTH_2YR_CIQ" hidden="1">"c4939"</definedName>
    <definedName name="IQ_EST_DISTRIBUTABLE_CASH_GROWTH_Q_1YR" hidden="1">"c4415"</definedName>
    <definedName name="IQ_EST_DISTRIBUTABLE_CASH_GROWTH_Q_1YR_CIQ" hidden="1">"c4940"</definedName>
    <definedName name="IQ_EST_DISTRIBUTABLE_CASH_SEQ_GROWTH_Q" hidden="1">"c4416"</definedName>
    <definedName name="IQ_EST_DISTRIBUTABLE_CASH_SEQ_GROWTH_Q_CIQ" hidden="1">"c4941"</definedName>
    <definedName name="IQ_EST_DISTRIBUTABLE_CASH_SHARE_DIFF" hidden="1">"c4284"</definedName>
    <definedName name="IQ_EST_DISTRIBUTABLE_CASH_SHARE_DIFF_CIQ" hidden="1">"c4809"</definedName>
    <definedName name="IQ_EST_DISTRIBUTABLE_CASH_SHARE_GROWTH_1YR" hidden="1">"c4417"</definedName>
    <definedName name="IQ_EST_DISTRIBUTABLE_CASH_SHARE_GROWTH_1YR_CIQ" hidden="1">"c4942"</definedName>
    <definedName name="IQ_EST_DISTRIBUTABLE_CASH_SHARE_GROWTH_2YR" hidden="1">"c4418"</definedName>
    <definedName name="IQ_EST_DISTRIBUTABLE_CASH_SHARE_GROWTH_2YR_CIQ" hidden="1">"c4943"</definedName>
    <definedName name="IQ_EST_DISTRIBUTABLE_CASH_SHARE_GROWTH_Q_1YR" hidden="1">"c4419"</definedName>
    <definedName name="IQ_EST_DISTRIBUTABLE_CASH_SHARE_GROWTH_Q_1YR_CIQ" hidden="1">"c4944"</definedName>
    <definedName name="IQ_EST_DISTRIBUTABLE_CASH_SHARE_SEQ_GROWTH_Q" hidden="1">"c4420"</definedName>
    <definedName name="IQ_EST_DISTRIBUTABLE_CASH_SHARE_SEQ_GROWTH_Q_CIQ" hidden="1">"c4945"</definedName>
    <definedName name="IQ_EST_DISTRIBUTABLE_CASH_SHARE_SURPRISE_PERCENT" hidden="1">"c4293"</definedName>
    <definedName name="IQ_EST_DISTRIBUTABLE_CASH_SHARE_SURPRISE_PERCENT_CIQ" hidden="1">"c4818"</definedName>
    <definedName name="IQ_EST_DISTRIBUTABLE_CASH_SURPRISE_PERCENT" hidden="1">"c4295"</definedName>
    <definedName name="IQ_EST_DISTRIBUTABLE_CASH_SURPRISE_PERCENT_CIQ" hidden="1">"c4820"</definedName>
    <definedName name="IQ_EST_DPS_DIFF" hidden="1">"c1873"</definedName>
    <definedName name="IQ_EST_DPS_DIFF_CIQ" hidden="1">"c3725"</definedName>
    <definedName name="IQ_EST_DPS_DIFF_REUT" hidden="1">"c3894"</definedName>
    <definedName name="IQ_EST_DPS_DIFF_THOM" hidden="1">"c5190"</definedName>
    <definedName name="IQ_EST_DPS_GROWTH_1YR" hidden="1">"c1778"</definedName>
    <definedName name="IQ_EST_DPS_GROWTH_1YR_CIQ" hidden="1">"c3713"</definedName>
    <definedName name="IQ_EST_DPS_GROWTH_1YR_REUT" hidden="1">"c3882"</definedName>
    <definedName name="IQ_EST_DPS_GROWTH_1YR_THOM" hidden="1">"c5178"</definedName>
    <definedName name="IQ_EST_DPS_GROWTH_2YR" hidden="1">"c1779"</definedName>
    <definedName name="IQ_EST_DPS_GROWTH_2YR_CIQ" hidden="1">"c3714"</definedName>
    <definedName name="IQ_EST_DPS_GROWTH_2YR_REUT" hidden="1">"c3883"</definedName>
    <definedName name="IQ_EST_DPS_GROWTH_2YR_THOM" hidden="1">"c5179"</definedName>
    <definedName name="IQ_EST_DPS_GROWTH_Q_1YR" hidden="1">"c1780"</definedName>
    <definedName name="IQ_EST_DPS_GROWTH_Q_1YR_CIQ" hidden="1">"c3715"</definedName>
    <definedName name="IQ_EST_DPS_GROWTH_Q_1YR_REUT" hidden="1">"c3884"</definedName>
    <definedName name="IQ_EST_DPS_GROWTH_Q_1YR_THOM" hidden="1">"c5180"</definedName>
    <definedName name="IQ_EST_DPS_SEQ_GROWTH_Q" hidden="1">"c1781"</definedName>
    <definedName name="IQ_EST_DPS_SEQ_GROWTH_Q_CIQ" hidden="1">"c3716"</definedName>
    <definedName name="IQ_EST_DPS_SEQ_GROWTH_Q_REUT" hidden="1">"c3885"</definedName>
    <definedName name="IQ_EST_DPS_SEQ_GROWTH_Q_THOM" hidden="1">"c5181"</definedName>
    <definedName name="IQ_EST_DPS_SURPRISE_PERCENT" hidden="1">"c1874"</definedName>
    <definedName name="IQ_EST_DPS_SURPRISE_PERCENT_CIQ" hidden="1">"c3726"</definedName>
    <definedName name="IQ_EST_DPS_SURPRISE_PERCENT_REUT" hidden="1">"c3895"</definedName>
    <definedName name="IQ_EST_DPS_SURPRISE_PERCENT_THOM" hidden="1">"c5191"</definedName>
    <definedName name="IQ_EST_EBIT_DIFF" hidden="1">"c1875"</definedName>
    <definedName name="IQ_EST_EBIT_DIFF_CIQ" hidden="1">"c4747"</definedName>
    <definedName name="IQ_EST_EBIT_DIFF_REUT" hidden="1">"c5413"</definedName>
    <definedName name="IQ_EST_EBIT_DIFF_THOM" hidden="1">"c5192"</definedName>
    <definedName name="IQ_EST_EBIT_GW_DIFF" hidden="1">"c4304"</definedName>
    <definedName name="IQ_EST_EBIT_GW_DIFF_CIQ" hidden="1">"c4829"</definedName>
    <definedName name="IQ_EST_EBIT_GW_SURPRISE_PERCENT" hidden="1">"c4313"</definedName>
    <definedName name="IQ_EST_EBIT_GW_SURPRISE_PERCENT_CIQ" hidden="1">"c4838"</definedName>
    <definedName name="IQ_EST_EBIT_SBC_DIFF" hidden="1">"c4314"</definedName>
    <definedName name="IQ_EST_EBIT_SBC_DIFF_CIQ" hidden="1">"c4839"</definedName>
    <definedName name="IQ_EST_EBIT_SBC_GW_DIFF" hidden="1">"c4318"</definedName>
    <definedName name="IQ_EST_EBIT_SBC_GW_DIFF_CIQ" hidden="1">"c4843"</definedName>
    <definedName name="IQ_EST_EBIT_SBC_GW_SURPRISE_PERCENT" hidden="1">"c4327"</definedName>
    <definedName name="IQ_EST_EBIT_SBC_GW_SURPRISE_PERCENT_CIQ" hidden="1">"c4852"</definedName>
    <definedName name="IQ_EST_EBIT_SBC_SURPRISE_PERCENT" hidden="1">"c4333"</definedName>
    <definedName name="IQ_EST_EBIT_SBC_SURPRISE_PERCENT_CIQ" hidden="1">"c4858"</definedName>
    <definedName name="IQ_EST_EBIT_SURPRISE_PERCENT" hidden="1">"c1876"</definedName>
    <definedName name="IQ_EST_EBIT_SURPRISE_PERCENT_CIQ" hidden="1">"c4748"</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 hidden="1">"c4860"</definedName>
    <definedName name="IQ_EST_EBITDA_SBC_SURPRISE_PERCENT" hidden="1">"c4344"</definedName>
    <definedName name="IQ_EST_EBITDA_SBC_SURPRISE_PERCENT_CIQ" hidden="1">"c4869"</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 hidden="1">"c4873"</definedName>
    <definedName name="IQ_EST_EBT_SBC_GW_DIFF" hidden="1">"c4352"</definedName>
    <definedName name="IQ_EST_EBT_SBC_GW_DIFF_CIQ" hidden="1">"c4877"</definedName>
    <definedName name="IQ_EST_EBT_SBC_GW_SURPRISE_PERCENT" hidden="1">"c4361"</definedName>
    <definedName name="IQ_EST_EBT_SBC_GW_SURPRISE_PERCENT_CIQ" hidden="1">"c4886"</definedName>
    <definedName name="IQ_EST_EBT_SBC_SURPRISE_PERCENT" hidden="1">"c4367"</definedName>
    <definedName name="IQ_EST_EBT_SBC_SURPRISE_PERCENT_CIQ" hidden="1">"c4892"</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GW_DIFF" hidden="1">"c4378"</definedName>
    <definedName name="IQ_EST_EPS_SBC_GW_DIFF_CIQ" hidden="1">"c4903"</definedName>
    <definedName name="IQ_EST_EPS_SBC_GW_SURPRISE_PERCENT" hidden="1">"c4387"</definedName>
    <definedName name="IQ_EST_EPS_SBC_GW_SURPRISE_PERCENT_CIQ" hidden="1">"c4912"</definedName>
    <definedName name="IQ_EST_EPS_SBC_SURPRISE_PERCENT" hidden="1">"c4393"</definedName>
    <definedName name="IQ_EST_EPS_SBC_SURPRISE_PERCENT_CIQ" hidden="1">"c4918"</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FO_ADJ_DIFF" hidden="1">"c4433"</definedName>
    <definedName name="IQ_EST_FFO_ADJ_DIFF_CIQ" hidden="1">"c4958"</definedName>
    <definedName name="IQ_EST_FFO_ADJ_GROWTH_1YR" hidden="1">"c4421"</definedName>
    <definedName name="IQ_EST_FFO_ADJ_GROWTH_1YR_CIQ" hidden="1">"c4946"</definedName>
    <definedName name="IQ_EST_FFO_ADJ_GROWTH_2YR" hidden="1">"c4422"</definedName>
    <definedName name="IQ_EST_FFO_ADJ_GROWTH_2YR_CIQ" hidden="1">"c4947"</definedName>
    <definedName name="IQ_EST_FFO_ADJ_GROWTH_Q_1YR" hidden="1">"c4423"</definedName>
    <definedName name="IQ_EST_FFO_ADJ_GROWTH_Q_1YR_CIQ" hidden="1">"c4948"</definedName>
    <definedName name="IQ_EST_FFO_ADJ_SEQ_GROWTH_Q" hidden="1">"c4424"</definedName>
    <definedName name="IQ_EST_FFO_ADJ_SEQ_GROWTH_Q_CIQ" hidden="1">"c4949"</definedName>
    <definedName name="IQ_EST_FFO_ADJ_SURPRISE_PERCENT" hidden="1">"c4442"</definedName>
    <definedName name="IQ_EST_FFO_ADJ_SURPRISE_PERCENT_CIQ" hidden="1">"c4967"</definedName>
    <definedName name="IQ_EST_FFO_DIFF" hidden="1">"c1869"</definedName>
    <definedName name="IQ_EST_FFO_DIFF_CIQ" hidden="1">"c3721"</definedName>
    <definedName name="IQ_EST_FFO_DIFF_REUT" hidden="1">"c3890"</definedName>
    <definedName name="IQ_EST_FFO_DIFF_THOM" hidden="1">"c5186"</definedName>
    <definedName name="IQ_EST_FFO_GROWTH_1YR" hidden="1">"c1770"</definedName>
    <definedName name="IQ_EST_FFO_GROWTH_1YR_CIQ" hidden="1">"c3705"</definedName>
    <definedName name="IQ_EST_FFO_GROWTH_1YR_REUT" hidden="1">"c3874"</definedName>
    <definedName name="IQ_EST_FFO_GROWTH_1YR_THOM" hidden="1">"c5170"</definedName>
    <definedName name="IQ_EST_FFO_GROWTH_2YR" hidden="1">"c1771"</definedName>
    <definedName name="IQ_EST_FFO_GROWTH_2YR_CIQ" hidden="1">"c3706"</definedName>
    <definedName name="IQ_EST_FFO_GROWTH_2YR_REUT" hidden="1">"c3875"</definedName>
    <definedName name="IQ_EST_FFO_GROWTH_2YR_THOM" hidden="1">"c5171"</definedName>
    <definedName name="IQ_EST_FFO_GROWTH_Q_1YR" hidden="1">"c1772"</definedName>
    <definedName name="IQ_EST_FFO_GROWTH_Q_1YR_CIQ" hidden="1">"c3707"</definedName>
    <definedName name="IQ_EST_FFO_GROWTH_Q_1YR_REUT" hidden="1">"c3876"</definedName>
    <definedName name="IQ_EST_FFO_GROWTH_Q_1YR_THOM" hidden="1">"c5172"</definedName>
    <definedName name="IQ_EST_FFO_SEQ_GROWTH_Q" hidden="1">"c1773"</definedName>
    <definedName name="IQ_EST_FFO_SEQ_GROWTH_Q_CIQ" hidden="1">"c3708"</definedName>
    <definedName name="IQ_EST_FFO_SEQ_GROWTH_Q_REUT" hidden="1">"c3877"</definedName>
    <definedName name="IQ_EST_FFO_SEQ_GROWTH_Q_THOM" hidden="1">"c5173"</definedName>
    <definedName name="IQ_EST_FFO_SHARE_DIFF" hidden="1">"c4444"</definedName>
    <definedName name="IQ_EST_FFO_SHARE_DIFF_CIQ" hidden="1">"c4969"</definedName>
    <definedName name="IQ_EST_FFO_SHARE_GROWTH_1YR" hidden="1">"c4425"</definedName>
    <definedName name="IQ_EST_FFO_SHARE_GROWTH_1YR_CIQ" hidden="1">"c4950"</definedName>
    <definedName name="IQ_EST_FFO_SHARE_GROWTH_2YR" hidden="1">"c4426"</definedName>
    <definedName name="IQ_EST_FFO_SHARE_GROWTH_2YR_CIQ" hidden="1">"c4951"</definedName>
    <definedName name="IQ_EST_FFO_SHARE_GROWTH_Q_1YR" hidden="1">"c4427"</definedName>
    <definedName name="IQ_EST_FFO_SHARE_GROWTH_Q_1YR_CIQ" hidden="1">"c4952"</definedName>
    <definedName name="IQ_EST_FFO_SHARE_SEQ_GROWTH_Q" hidden="1">"c4428"</definedName>
    <definedName name="IQ_EST_FFO_SHARE_SEQ_GROWTH_Q_CIQ" hidden="1">"c4953"</definedName>
    <definedName name="IQ_EST_FFO_SHARE_SURPRISE_PERCENT" hidden="1">"c4453"</definedName>
    <definedName name="IQ_EST_FFO_SHARE_SURPRISE_PERCENT_CIQ" hidden="1">"c4982"</definedName>
    <definedName name="IQ_EST_FFO_SURPRISE_PERCENT" hidden="1">"c1870"</definedName>
    <definedName name="IQ_EST_FFO_SURPRISE_PERCENT_CIQ" hidden="1">"c3722"</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 hidden="1">"c4985"</definedName>
    <definedName name="IQ_EST_MAINT_CAPEX_GROWTH_1YR" hidden="1">"c4429"</definedName>
    <definedName name="IQ_EST_MAINT_CAPEX_GROWTH_1YR_CIQ" hidden="1">"c4954"</definedName>
    <definedName name="IQ_EST_MAINT_CAPEX_GROWTH_2YR" hidden="1">"c4430"</definedName>
    <definedName name="IQ_EST_MAINT_CAPEX_GROWTH_2YR_CIQ" hidden="1">"c4955"</definedName>
    <definedName name="IQ_EST_MAINT_CAPEX_GROWTH_Q_1YR" hidden="1">"c4431"</definedName>
    <definedName name="IQ_EST_MAINT_CAPEX_GROWTH_Q_1YR_CIQ" hidden="1">"c4956"</definedName>
    <definedName name="IQ_EST_MAINT_CAPEX_SEQ_GROWTH_Q" hidden="1">"c4432"</definedName>
    <definedName name="IQ_EST_MAINT_CAPEX_SEQ_GROWTH_Q_CIQ" hidden="1">"c4957"</definedName>
    <definedName name="IQ_EST_MAINT_CAPEX_SURPRISE_PERCENT" hidden="1">"c4465"</definedName>
    <definedName name="IQ_EST_MAINT_CAPEX_SURPRISE_PERCENT_CIQ" hidden="1">"c5003"</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I_DIFF" hidden="1">"c1885"</definedName>
    <definedName name="IQ_EST_NI_DIFF_CIQ" hidden="1">"c4755"</definedName>
    <definedName name="IQ_EST_NI_DIFF_REUT" hidden="1">"c5423"</definedName>
    <definedName name="IQ_EST_NI_DIFF_THOM" hidden="1">"c5198"</definedName>
    <definedName name="IQ_EST_NI_GW_DIFF" hidden="1">"c1887"</definedName>
    <definedName name="IQ_EST_NI_GW_DIFF_CIQ" hidden="1">"c4757"</definedName>
    <definedName name="IQ_EST_NI_GW_DIFF_REUT" hidden="1">"c5425"</definedName>
    <definedName name="IQ_EST_NI_GW_SURPRISE_PERCENT" hidden="1">"c1888"</definedName>
    <definedName name="IQ_EST_NI_GW_SURPRISE_PERCENT_CIQ" hidden="1">"c4758"</definedName>
    <definedName name="IQ_EST_NI_GW_SURPRISE_PERCENT_REUT" hidden="1">"c5426"</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GW_DIFF" hidden="1">"c4476"</definedName>
    <definedName name="IQ_EST_NI_SBC_GW_DIFF_CIQ" hidden="1">"c5014"</definedName>
    <definedName name="IQ_EST_NI_SBC_GW_SURPRISE_PERCENT" hidden="1">"c4485"</definedName>
    <definedName name="IQ_EST_NI_SBC_GW_SURPRISE_PERCENT_CIQ" hidden="1">"c5023"</definedName>
    <definedName name="IQ_EST_NI_SBC_SURPRISE_PERCENT" hidden="1">"c4491"</definedName>
    <definedName name="IQ_EST_NI_SBC_SURPRISE_PERCENT_CIQ" hidden="1">"c5029"</definedName>
    <definedName name="IQ_EST_NI_SURPRISE_PERCENT" hidden="1">"c1886"</definedName>
    <definedName name="IQ_EST_NI_SURPRISE_PERCENT_CIQ" hidden="1">"c4756"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CIQ" hidden="1">"c12017"</definedName>
    <definedName name="IQ_EST_OPER_INC_DIFF_REUT" hidden="1">"c5415"</definedName>
    <definedName name="IQ_EST_OPER_INC_DIFF_THOM" hidden="1">"c5194"</definedName>
    <definedName name="IQ_EST_OPER_INC_SURPRISE_PERCENT" hidden="1">"c1878"</definedName>
    <definedName name="IQ_EST_OPER_INC_SURPRISE_PERCENT_CIQ" hidden="1">"c12018"</definedName>
    <definedName name="IQ_EST_OPER_INC_SURPRISE_PERCENT_REUT" hidden="1">"c5416"</definedName>
    <definedName name="IQ_EST_OPER_INC_SURPRISE_PERCENT_THOM" hidden="1">"c5195"</definedName>
    <definedName name="IQ_EST_PRE_TAX_DIFF" hidden="1">"c1879"</definedName>
    <definedName name="IQ_EST_PRE_TAX_DIFF_CIQ" hidden="1">"c4749"</definedName>
    <definedName name="IQ_EST_PRE_TAX_DIFF_REUT" hidden="1">"c5417"</definedName>
    <definedName name="IQ_EST_PRE_TAX_DIFF_THOM" hidden="1">"c5196"</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SURPRISE_PERCENT" hidden="1">"c4515"</definedName>
    <definedName name="IQ_EST_RECURRING_PROFIT_SHARE_SURPRISE_PERCENT_CIQ" hidden="1">"c5053"</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AVAIL" hidden="1">"c2523"</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GUIDANCE_CIQ" hidden="1">"c4961"</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"c418"</definedName>
    <definedName name="IQ_FFO_EST_CIQ" hidden="1">"c3668"</definedName>
    <definedName name="IQ_FFO_EST_REUT" hidden="1">"c3837"</definedName>
    <definedName name="IQ_FFO_EST_THOM" hidden="1">"c3999"</definedName>
    <definedName name="IQ_FFO_GUIDANCE" hidden="1">"c4443"</definedName>
    <definedName name="IQ_FFO_GUIDANCE_CIQ" hidden="1">"c4968"</definedName>
    <definedName name="IQ_FFO_HIGH_EST" hidden="1">"c419"</definedName>
    <definedName name="IQ_FFO_HIGH_EST_CIQ" hidden="1">"c3670"</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LOW_EST" hidden="1">"c420"</definedName>
    <definedName name="IQ_FFO_LOW_EST_CIQ" hidden="1">"c3671"</definedName>
    <definedName name="IQ_FFO_LOW_EST_REUT" hidden="1">"c3840"</definedName>
    <definedName name="IQ_FFO_LOW_EST_THOM" hidden="1">"c4002"</definedName>
    <definedName name="IQ_FFO_LOW_GUIDANCE" hidden="1">"c4224"</definedName>
    <definedName name="IQ_FFO_LOW_GUIDANCE_CIQ" hidden="1">"c4636"</definedName>
    <definedName name="IQ_FFO_MEDIAN_EST" hidden="1">"c1665"</definedName>
    <definedName name="IQ_FFO_MEDIAN_EST_CIQ" hidden="1">"c3669"</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"c3672"</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EST_CIQ" hidden="1">"c4970"</definedName>
    <definedName name="IQ_FFO_SHARE_GUIDANCE" hidden="1">"c4447"</definedName>
    <definedName name="IQ_FFO_SHARE_GUIDANCE_CIQ" hidden="1">"c4976"</definedName>
    <definedName name="IQ_FFO_SHARE_HIGH_EST" hidden="1">"c4448"</definedName>
    <definedName name="IQ_FFO_SHARE_HIGH_EST_CIQ" hidden="1">"c4977"</definedName>
    <definedName name="IQ_FFO_SHARE_HIGH_GUIDANCE" hidden="1">"c4203"</definedName>
    <definedName name="IQ_FFO_SHARE_HIGH_GUIDANCE_CIQ" hidden="1">"c4615"</definedName>
    <definedName name="IQ_FFO_SHARE_LOW_EST" hidden="1">"c4449"</definedName>
    <definedName name="IQ_FFO_SHARE_LOW_EST_CIQ" hidden="1">"c4978"</definedName>
    <definedName name="IQ_FFO_SHARE_LOW_GUIDANCE" hidden="1">"c4243"</definedName>
    <definedName name="IQ_FFO_SHARE_LOW_GUIDANCE_CIQ" hidden="1">"c4655"</definedName>
    <definedName name="IQ_FFO_SHARE_MEDIAN_EST" hidden="1">"c4450"</definedName>
    <definedName name="IQ_FFO_SHARE_MEDIAN_EST_CIQ" hidden="1">"c4979"</definedName>
    <definedName name="IQ_FFO_SHARE_NUM_EST" hidden="1">"c4451"</definedName>
    <definedName name="IQ_FFO_SHARE_NUM_EST_CIQ" hidden="1">"c4980"</definedName>
    <definedName name="IQ_FFO_SHARE_STDDEV_EST" hidden="1">"c4452"</definedName>
    <definedName name="IQ_FFO_SHARE_STDDEV_EST_CIQ" hidden="1">"c4981"</definedName>
    <definedName name="IQ_FFO_STDDEV_EST" hidden="1">"c422"</definedName>
    <definedName name="IQ_FFO_STDDEV_EST_CIQ" hidden="1">"c3673"</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ULTIFAMILY_RESIDENTIAL_LOANS_FDIC" hidden="1">"c6311"</definedName>
    <definedName name="IQ_NAMES_REVISION_DATE_" hidden="1">39883.8012152778</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HARE_ACT_OR_EST" hidden="1">"c5615"</definedName>
    <definedName name="IQ_NAV_SHARE_ACT_OR_EST_CIQ" hidden="1">"c12038"</definedName>
    <definedName name="IQ_NAV_SHARE_ACT_OR_EST_REUT" hidden="1">"c5623"</definedName>
    <definedName name="IQ_NAV_SHARE_EST" hidden="1">"c5609"</definedName>
    <definedName name="IQ_NAV_SHARE_EST_CIQ" hidden="1">"c12032"</definedName>
    <definedName name="IQ_NAV_SHARE_EST_REUT" hidden="1">"c5617"</definedName>
    <definedName name="IQ_NAV_SHARE_HIGH_EST" hidden="1">"c5612"</definedName>
    <definedName name="IQ_NAV_SHARE_HIGH_EST_CIQ" hidden="1">"c12035"</definedName>
    <definedName name="IQ_NAV_SHARE_HIGH_EST_REUT" hidden="1">"c5620"</definedName>
    <definedName name="IQ_NAV_SHARE_LOW_EST" hidden="1">"c5613"</definedName>
    <definedName name="IQ_NAV_SHARE_LOW_EST_CIQ" hidden="1">"c12036"</definedName>
    <definedName name="IQ_NAV_SHARE_LOW_EST_REUT" hidden="1">"c5621"</definedName>
    <definedName name="IQ_NAV_SHARE_MEDIAN_EST" hidden="1">"c5610"</definedName>
    <definedName name="IQ_NAV_SHARE_MEDIAN_EST_CIQ" hidden="1">"c12033"</definedName>
    <definedName name="IQ_NAV_SHARE_MEDIAN_EST_REUT" hidden="1">"c5618"</definedName>
    <definedName name="IQ_NAV_SHARE_NUM_EST" hidden="1">"c5614"</definedName>
    <definedName name="IQ_NAV_SHARE_NUM_EST_CIQ" hidden="1">"c12037"</definedName>
    <definedName name="IQ_NAV_SHARE_NUM_EST_REUT" hidden="1">"c5622"</definedName>
    <definedName name="IQ_NAV_SHARE_STDDEV_EST" hidden="1">"c5611"</definedName>
    <definedName name="IQ_NAV_SHARE_STDDEV_EST_CIQ" hidden="1">"c12034"</definedName>
    <definedName name="IQ_NAV_SHARE_STDDEV_EST_REUT" hidden="1">"c5619"</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REUT" hidden="1">"c5473"</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HIGH_EST" hidden="1">"c3518"</definedName>
    <definedName name="IQ_NET_DEBT_HIGH_EST_CIQ" hidden="1">"c3816"</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MEDIAN_EST" hidden="1">"c3520"</definedName>
    <definedName name="IQ_NET_DEBT_MEDIAN_EST_CIQ" hidden="1">"c3815"</definedName>
    <definedName name="IQ_NET_DEBT_MEDIAN_EST_REUT" hidden="1">"c3977"</definedName>
    <definedName name="IQ_NET_DEBT_MEDIAN_EST_THOM" hidden="1">"c4028"</definedName>
    <definedName name="IQ_NET_DEBT_NUM_EST" hidden="1">"c3515"</definedName>
    <definedName name="IQ_NET_DEBT_NUM_EST_CIQ" hidden="1">"c3818"</definedName>
    <definedName name="IQ_NET_DEBT_NUM_EST_REUT" hidden="1">"c3980"</definedName>
    <definedName name="IQ_NET_DEBT_NUM_EST_THOM" hidden="1">"c4031"</definedName>
    <definedName name="IQ_NET_DEBT_STDDEV_EST" hidden="1">"c3516"</definedName>
    <definedName name="IQ_NET_DEBT_STDDEV_EST_CIQ" hidden="1">"c3819"</definedName>
    <definedName name="IQ_NET_DEBT_STDDEV_EST_REUT" hidden="1">"c3981"</definedName>
    <definedName name="IQ_NET_DEBT_STDDEV_EST_THOM" hidden="1">"c4032"</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CIQ" hidden="1">"c4702"</definedName>
    <definedName name="IQ_NI_EST_REUT" hidden="1">"c5368"</definedName>
    <definedName name="IQ_NI_EST_THOM" hidden="1">"c5126"</definedName>
    <definedName name="IQ_NI_GAAP_GUIDANCE" hidden="1">"c4470"</definedName>
    <definedName name="IQ_NI_GAAP_GUIDANCE_CIQ" hidden="1">"c5008"</definedName>
    <definedName name="IQ_NI_GAAP_HIGH_GUIDANCE" hidden="1">"c4177"</definedName>
    <definedName name="IQ_NI_GAAP_HIGH_GUIDANCE_CIQ" hidden="1">"c4589"</definedName>
    <definedName name="IQ_NI_GAAP_LOW_GUIDANCE" hidden="1">"c4217"</definedName>
    <definedName name="IQ_NI_GAAP_LOW_GUIDANCE_CIQ" hidden="1">"c4629"</definedName>
    <definedName name="IQ_NI_GUIDANCE" hidden="1">"c4469"</definedName>
    <definedName name="IQ_NI_GUIDANCE_CIQ" hidden="1">"c5007"</definedName>
    <definedName name="IQ_NI_GW_EST" hidden="1">"c1723"</definedName>
    <definedName name="IQ_NI_GW_EST_CIQ" hidden="1">"c4709"</definedName>
    <definedName name="IQ_NI_GW_EST_REUT" hidden="1">"c5375"</definedName>
    <definedName name="IQ_NI_GW_GUIDANCE" hidden="1">"c4471"</definedName>
    <definedName name="IQ_NI_GW_GUIDANCE_CIQ" hidden="1">"c5009"</definedName>
    <definedName name="IQ_NI_GW_HIGH_EST" hidden="1">"c1725"</definedName>
    <definedName name="IQ_NI_GW_HIGH_EST_CIQ" hidden="1">"c4711"</definedName>
    <definedName name="IQ_NI_GW_HIGH_EST_REUT" hidden="1">"c5377"</definedName>
    <definedName name="IQ_NI_GW_HIGH_GUIDANCE" hidden="1">"c4178"</definedName>
    <definedName name="IQ_NI_GW_HIGH_GUIDANCE_CIQ" hidden="1">"c4590"</definedName>
    <definedName name="IQ_NI_GW_LOW_EST" hidden="1">"c1726"</definedName>
    <definedName name="IQ_NI_GW_LOW_EST_CIQ" hidden="1">"c4712"</definedName>
    <definedName name="IQ_NI_GW_LOW_EST_REUT" hidden="1">"c5378"</definedName>
    <definedName name="IQ_NI_GW_LOW_GUIDANCE" hidden="1">"c4218"</definedName>
    <definedName name="IQ_NI_GW_LOW_GUIDANCE_CIQ" hidden="1">"c4630"</definedName>
    <definedName name="IQ_NI_GW_MEDIAN_EST" hidden="1">"c1724"</definedName>
    <definedName name="IQ_NI_GW_MEDIAN_EST_CIQ" hidden="1">"c4710"</definedName>
    <definedName name="IQ_NI_GW_MEDIAN_EST_REUT" hidden="1">"c5376"</definedName>
    <definedName name="IQ_NI_GW_NUM_EST" hidden="1">"c1727"</definedName>
    <definedName name="IQ_NI_GW_NUM_EST_CIQ" hidden="1">"c4713"</definedName>
    <definedName name="IQ_NI_GW_NUM_EST_REUT" hidden="1">"c5379"</definedName>
    <definedName name="IQ_NI_GW_STDDEV_EST" hidden="1">"c1728"</definedName>
    <definedName name="IQ_NI_GW_STDDEV_EST_CIQ" hidden="1">"c4714"</definedName>
    <definedName name="IQ_NI_GW_STDDEV_EST_REUT" hidden="1">"c5380"</definedName>
    <definedName name="IQ_NI_HIGH_EST" hidden="1">"c1718"</definedName>
    <definedName name="IQ_NI_HIGH_EST_CIQ" hidden="1">"c4704"</definedName>
    <definedName name="IQ_NI_HIGH_EST_REUT" hidden="1">"c5370"</definedName>
    <definedName name="IQ_NI_HIGH_EST_THOM" hidden="1">"c5128"</definedName>
    <definedName name="IQ_NI_HIGH_GUIDANCE" hidden="1">"c4176"</definedName>
    <definedName name="IQ_NI_HIGH_GUIDANCE_CIQ" hidden="1">"c4588"</definedName>
    <definedName name="IQ_NI_LOW_EST" hidden="1">"c1719"</definedName>
    <definedName name="IQ_NI_LOW_EST_CIQ" hidden="1">"c4705"</definedName>
    <definedName name="IQ_NI_LOW_EST_REUT" hidden="1">"c5371"</definedName>
    <definedName name="IQ_NI_LOW_EST_THOM" hidden="1">"c5129"</definedName>
    <definedName name="IQ_NI_LOW_GUIDANCE" hidden="1">"c4216"</definedName>
    <definedName name="IQ_NI_LOW_GUIDANCE_CIQ" hidden="1">"c4628"</definedName>
    <definedName name="IQ_NI_MARGIN" hidden="1">"c794"</definedName>
    <definedName name="IQ_NI_MEDIAN_EST" hidden="1">"c1717"</definedName>
    <definedName name="IQ_NI_MEDIAN_EST_CIQ" hidden="1">"c4703"</definedName>
    <definedName name="IQ_NI_MEDIAN_EST_REUT" hidden="1">"c5369"</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NUM_EST_THOM" hidden="1">"c5130"</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EST_CIQ" hidden="1">"c5011"</definedName>
    <definedName name="IQ_NI_SBC_GUIDANCE" hidden="1">"c4475"</definedName>
    <definedName name="IQ_NI_SBC_GUIDANCE_CIQ" hidden="1">"c5013"</definedName>
    <definedName name="IQ_NI_SBC_GW_ACT_OR_EST" hidden="1">"c4478"</definedName>
    <definedName name="IQ_NI_SBC_GW_ACT_OR_EST_CIQ" hidden="1">"c5016"</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ACT_OR_EST_THOM" hidden="1">"c5304"</definedName>
    <definedName name="IQ_OPER_INC_BR" hidden="1">"c850"</definedName>
    <definedName name="IQ_OPER_INC_EST" hidden="1">"c1688"</definedName>
    <definedName name="IQ_OPER_INC_EST_CIQ" hidden="1">"c12010"</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LOW_EST_THOM" hidden="1">"c5115"</definedName>
    <definedName name="IQ_OPER_INC_MARGIN" hidden="1">"c1448"</definedName>
    <definedName name="IQ_OPER_INC_MEDIAN_EST" hidden="1">"c1689"</definedName>
    <definedName name="IQ_OPER_INC_MEDIAN_EST_CIQ" hidden="1">"c12011"</definedName>
    <definedName name="IQ_OPER_INC_MEDIAN_EST_REUT" hidden="1">"c5341"</definedName>
    <definedName name="IQ_OPER_INC_MEDIAN_EST_THOM" hidden="1">"c5113"</definedName>
    <definedName name="IQ_OPER_INC_NUM_EST" hidden="1">"c1692"</definedName>
    <definedName name="IQ_OPER_INC_NUM_EST_CIQ" hidden="1">"c12014"</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"c3965"</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EST_CIQ" hidden="1">"c4681"</definedName>
    <definedName name="IQ_PRETAX_INC_EST_REUT" hidden="1">"c5347"</definedName>
    <definedName name="IQ_PRETAX_INC_EST_THOM" hidden="1">"c5119"</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ATILITY_EST" hidden="1">"c4492"</definedName>
    <definedName name="IQ_PRICE_VOLATILITY_EST_CIQ" hidden="1">"c5030"</definedName>
    <definedName name="IQ_PRICE_VOLATILITY_HIGH" hidden="1">"c4493"</definedName>
    <definedName name="IQ_PRICE_VOLATILITY_HIGH_CIQ" hidden="1">"c5031"</definedName>
    <definedName name="IQ_PRICE_VOLATILITY_LOW" hidden="1">"c4494"</definedName>
    <definedName name="IQ_PRICE_VOLATILITY_LOW_CIQ" hidden="1">"c5032"</definedName>
    <definedName name="IQ_PRICE_VOLATILITY_MEDIAN" hidden="1">"c4495"</definedName>
    <definedName name="IQ_PRICE_VOLATILITY_MEDIAN_CIQ" hidden="1">"c5033"</definedName>
    <definedName name="IQ_PRICE_VOLATILITY_NUM" hidden="1">"c4496"</definedName>
    <definedName name="IQ_PRICE_VOLATILITY_NUM_CIQ" hidden="1">"c5034"</definedName>
    <definedName name="IQ_PRICE_VOLATILITY_STDDEV" hidden="1">"c4497"</definedName>
    <definedName name="IQ_PRICE_VOLATILITY_STDDEV_CIQ" hidden="1">"c5035"</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CIQ" hidden="1">"c3828"</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CIQ" hidden="1">"c3821"</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REUT" hidden="1">"c5461"</definedName>
    <definedName name="IQ_REVENUE_ACT_OR_EST_THOM" hidden="1">"c5299"</definedName>
    <definedName name="IQ_REVENUE_EST" hidden="1">"c1126"</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EST_THOM" hidden="1">"c3652"</definedName>
    <definedName name="IQ_REVENUE_GROWTH_1" hidden="1">"c155"</definedName>
    <definedName name="IQ_REVENUE_GROWTH_2" hidden="1">"c159"</definedName>
    <definedName name="IQ_REVENUE_GUIDANCE" hidden="1">"c4519"</definedName>
    <definedName name="IQ_REVENUE_GUIDANCE_CIQ" hidden="1">"c5057"</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localSheetId="0" hidden="1">38875.5715972222</definedName>
    <definedName name="IQ_REVISION_DATE_" hidden="1">38875.5715972222</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THOM" hidden="1">"c5529"</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QRA53" hidden="1">"$A$54:$A$537"</definedName>
    <definedName name="IQRA72" hidden="1">"$A$73:$A$598"</definedName>
    <definedName name="IQRAF17" hidden="1">"$AF$18:$AF$269"</definedName>
    <definedName name="is">#REF!</definedName>
    <definedName name="ISGraphs">#REF!</definedName>
    <definedName name="item_name">#REF!</definedName>
    <definedName name="jjj">#REF!</definedName>
    <definedName name="K">#REF!</definedName>
    <definedName name="key.new.drug.trends">#REF!</definedName>
    <definedName name="kkk">#REF!</definedName>
    <definedName name="Labour_and_Materials">#REF!</definedName>
    <definedName name="Labour_and_Materials_Rate">#REF!</definedName>
    <definedName name="LegendCompareFailure">#REF!</definedName>
    <definedName name="LegendMandatory">#REF!</definedName>
    <definedName name="LegendOptional">#REF!</definedName>
    <definedName name="LegendProtected">#REF!</definedName>
    <definedName name="LegendUpload">#REF!</definedName>
    <definedName name="LegendValidateFailure">#REF!</definedName>
    <definedName name="limcount" hidden="1">2</definedName>
    <definedName name="Lion_float">#REF!</definedName>
    <definedName name="lll">#REF!</definedName>
    <definedName name="Loan_payable">#REF!</definedName>
    <definedName name="Long_term_debt">#REF!</definedName>
    <definedName name="LOW">#REF!</definedName>
    <definedName name="ltinvestments" localSheetId="0">#REF!</definedName>
    <definedName name="ltinvestments">'[2]Financial Model'!#REF!</definedName>
    <definedName name="LTM">#REF!</definedName>
    <definedName name="MACROS">#REF!</definedName>
    <definedName name="Market_Returns">#REF!</definedName>
    <definedName name="Marketable_securities">#REF!</definedName>
    <definedName name="mcs03g.ReqArray">{"Price","FDX","TS1/TS132","D","0","0","V"}</definedName>
    <definedName name="med.tech">#REF!</definedName>
    <definedName name="Mexico1">#REF!</definedName>
    <definedName name="Mexico2">#REF!</definedName>
    <definedName name="mmm">#REF!</definedName>
    <definedName name="MODEL" localSheetId="0">#REF!</definedName>
    <definedName name="MODEL">#REF!</definedName>
    <definedName name="Model_Check">#REF!</definedName>
    <definedName name="MODEL2" localSheetId="0">#REF!</definedName>
    <definedName name="MODEL2">#REF!</definedName>
    <definedName name="Modelpacket">#REF!</definedName>
    <definedName name="modelpg1">#REF!</definedName>
    <definedName name="MonitorCol">1</definedName>
    <definedName name="MonitorRow">1</definedName>
    <definedName name="Month">#REF!</definedName>
    <definedName name="MYOMODEL" localSheetId="0">#REF!</definedName>
    <definedName name="MYOMODEL">#REF!</definedName>
    <definedName name="name" localSheetId="0">#REF!</definedName>
    <definedName name="name">[5]Annual!$A$1</definedName>
    <definedName name="NameTar">#REF!</definedName>
    <definedName name="NERXPARTNERS">#REF!</definedName>
    <definedName name="Net_income">#REF!</definedName>
    <definedName name="Net_Income_Adj_Earnings_PreAbnormal_Goodwill_Amort">#REF!</definedName>
    <definedName name="Net_Income_from_Operations">#REF!</definedName>
    <definedName name="Net_income_per_share">#REF!</definedName>
    <definedName name="NetworkRev">#REF!</definedName>
    <definedName name="nio_95">#REF!</definedName>
    <definedName name="nio_96">#REF!</definedName>
    <definedName name="nio_97">#REF!</definedName>
    <definedName name="nio_98">#REF!</definedName>
    <definedName name="nnn">#REF!</definedName>
    <definedName name="no" hidden="1">{"PR1","pr1",TRUE,"Sch PR-1"}</definedName>
    <definedName name="Note1" localSheetId="0">#REF!</definedName>
    <definedName name="Note1">#REF!</definedName>
    <definedName name="Note2" localSheetId="0">#REF!</definedName>
    <definedName name="Note2">#REF!</definedName>
    <definedName name="Note3" localSheetId="0">#REF!</definedName>
    <definedName name="Note3">#REF!</definedName>
    <definedName name="ONEPAGER">#REF!</definedName>
    <definedName name="oo">#REF!</definedName>
    <definedName name="opcase">#REF!</definedName>
    <definedName name="Operating_Expenses">#REF!</definedName>
    <definedName name="Operating_income">#REF!</definedName>
    <definedName name="Other_assets">#REF!</definedName>
    <definedName name="Other1">#REF!</definedName>
    <definedName name="overlay">#REF!</definedName>
    <definedName name="owner">#REF!</definedName>
    <definedName name="Page1" localSheetId="0">#REF!</definedName>
    <definedName name="Page1">#REF!</definedName>
    <definedName name="Page12">#REF!</definedName>
    <definedName name="Page2" localSheetId="0">#REF!</definedName>
    <definedName name="Page2">#REF!</definedName>
    <definedName name="PAGE3">#REF!</definedName>
    <definedName name="PAGE4">#REF!</definedName>
    <definedName name="parent">#REF!</definedName>
    <definedName name="Partner_pipeline">#REF!</definedName>
    <definedName name="Partner_pipeline2">#REF!</definedName>
    <definedName name="Partnered_products">#REF!</definedName>
    <definedName name="PE">#N/A</definedName>
    <definedName name="percent_change">#REF!</definedName>
    <definedName name="PerEndDateSerial">#REF!</definedName>
    <definedName name="Phenotyping" localSheetId="0">#REF!</definedName>
    <definedName name="Phenotyping">#REF!</definedName>
    <definedName name="Picture3">{"Mcp08.PrintRep",""}</definedName>
    <definedName name="Picture33">{"Mcp08.PrintRep",""}</definedName>
    <definedName name="Picture4">{"Mcp08.PrintRep",""}</definedName>
    <definedName name="Picture44">{"Mcp08.PrintRep",""}</definedName>
    <definedName name="possible.outcomes">#REF!</definedName>
    <definedName name="possibleoutcomes">#REF!</definedName>
    <definedName name="Pre_Tax_Income">#REF!</definedName>
    <definedName name="Pretax_income">#REF!</definedName>
    <definedName name="PreTax_Income_Adj">#REF!</definedName>
    <definedName name="pretax93">#REF!</definedName>
    <definedName name="pretax94">#REF!</definedName>
    <definedName name="pric.vol.components">#REF!</definedName>
    <definedName name="price">#REF!</definedName>
    <definedName name="price2">#REF!</definedName>
    <definedName name="PriceDate">#REF!</definedName>
    <definedName name="print">#REF!,#REF!,#REF!,#REF!,#REF!,#REF!,#REF!,#REF!,#REF!,#REF!,#REF!</definedName>
    <definedName name="Print.Doc">#REF!</definedName>
    <definedName name="Print_All">#REF!,#REF!</definedName>
    <definedName name="Print_all_big">#N/A</definedName>
    <definedName name="_xlnm.Print_Area" localSheetId="2">Annual!$A$1:$A$20</definedName>
    <definedName name="_xlnm.Print_Area" localSheetId="1">Quarterly!$A$2:$A$27</definedName>
    <definedName name="_xlnm.Print_Area">#REF!</definedName>
    <definedName name="Print_Area_MI">#REF!</definedName>
    <definedName name="Print_big_all">#N/A</definedName>
    <definedName name="print_bs">#REF!</definedName>
    <definedName name="print_cf">#REF!</definedName>
    <definedName name="print_cover">#REF!</definedName>
    <definedName name="print_GrowthRates">#REF!</definedName>
    <definedName name="print_pl">#REF!</definedName>
    <definedName name="print_ratios">#REF!</definedName>
    <definedName name="print_sales">#REF!</definedName>
    <definedName name="print_Sf">#REF!</definedName>
    <definedName name="_xlnm.Print_Titles">#REF!</definedName>
    <definedName name="Print_Titles_MI">#REF!,#REF!</definedName>
    <definedName name="print_value">#REF!</definedName>
    <definedName name="print1">#REF!,#REF!</definedName>
    <definedName name="PrintArea2">#REF!</definedName>
    <definedName name="pro_forma_price">#REF!</definedName>
    <definedName name="prod1">#REF!</definedName>
    <definedName name="prodDO">#REF!</definedName>
    <definedName name="ProdSum" localSheetId="0">#REF!</definedName>
    <definedName name="ProdSum">#REF!</definedName>
    <definedName name="Products">#REF!</definedName>
    <definedName name="Proforma">#REF!</definedName>
    <definedName name="proj">#REF!</definedName>
    <definedName name="Proj_Current_Assets">#REF!</definedName>
    <definedName name="Proj_Current_Liabilities">#REF!</definedName>
    <definedName name="Proj_Equity">#REF!</definedName>
    <definedName name="Proj_Tot_Assets">#REF!</definedName>
    <definedName name="Proj_Tot_Liab_Equity">#REF!</definedName>
    <definedName name="Purchase">#REF!</definedName>
    <definedName name="PVEquivalent">#REF!</definedName>
    <definedName name="Q1_86">#REF!</definedName>
    <definedName name="Q1_87">#REF!</definedName>
    <definedName name="Q1_88">#REF!</definedName>
    <definedName name="Q1_89">#REF!</definedName>
    <definedName name="Q1_90">#REF!</definedName>
    <definedName name="Q1_91">#REF!</definedName>
    <definedName name="Q1_92">#REF!</definedName>
    <definedName name="Q1_93">#REF!</definedName>
    <definedName name="Q1_94">#REF!</definedName>
    <definedName name="q1_99">#REF!</definedName>
    <definedName name="q197_rev">#REF!</definedName>
    <definedName name="q198_ni">#REF!</definedName>
    <definedName name="q198_rev">#REF!</definedName>
    <definedName name="q198_shares">#REF!</definedName>
    <definedName name="q199_ni">#REF!</definedName>
    <definedName name="q199_rev">#REF!</definedName>
    <definedName name="q199_shares">#REF!</definedName>
    <definedName name="Q2_86">#REF!</definedName>
    <definedName name="Q2_87">#REF!</definedName>
    <definedName name="Q2_88">#REF!</definedName>
    <definedName name="Q2_89">#REF!</definedName>
    <definedName name="Q2_90">#REF!</definedName>
    <definedName name="Q2_91">#REF!</definedName>
    <definedName name="Q2_92">#REF!</definedName>
    <definedName name="Q2_93">#REF!</definedName>
    <definedName name="Q2_94">#REF!</definedName>
    <definedName name="q2_99">#REF!</definedName>
    <definedName name="q297_rev">#REF!</definedName>
    <definedName name="q298_ni">#REF!</definedName>
    <definedName name="q298_rev">#REF!</definedName>
    <definedName name="q298_shares">#REF!</definedName>
    <definedName name="q299_ni">#REF!</definedName>
    <definedName name="q299_rev">#REF!</definedName>
    <definedName name="q299_shares">#REF!</definedName>
    <definedName name="Q3_86">#REF!</definedName>
    <definedName name="Q3_87">#REF!</definedName>
    <definedName name="Q3_88">#REF!</definedName>
    <definedName name="Q3_89">#REF!</definedName>
    <definedName name="Q3_90">#REF!</definedName>
    <definedName name="Q3_91">#REF!</definedName>
    <definedName name="Q3_92">#REF!</definedName>
    <definedName name="Q3_93">#REF!</definedName>
    <definedName name="Q3_94">#REF!</definedName>
    <definedName name="q3_99">#REF!</definedName>
    <definedName name="q397_rev">#REF!</definedName>
    <definedName name="q398_ni">#REF!</definedName>
    <definedName name="q398_rev">#REF!</definedName>
    <definedName name="q398_shares">#REF!</definedName>
    <definedName name="q399_ni">#REF!</definedName>
    <definedName name="q399_rev">#REF!</definedName>
    <definedName name="q399_shares">#REF!</definedName>
    <definedName name="Q4_86">#REF!</definedName>
    <definedName name="Q4_87">#REF!</definedName>
    <definedName name="Q4_88">#REF!</definedName>
    <definedName name="Q4_89">#REF!</definedName>
    <definedName name="Q4_90">#REF!</definedName>
    <definedName name="Q4_91">#REF!</definedName>
    <definedName name="Q4_92">#REF!</definedName>
    <definedName name="Q4_93">#REF!</definedName>
    <definedName name="Q4_94">#REF!</definedName>
    <definedName name="q4_99">#REF!</definedName>
    <definedName name="Q494EPS" localSheetId="0">#REF!</definedName>
    <definedName name="Q494EPS">#REF!</definedName>
    <definedName name="q497_rev">#REF!</definedName>
    <definedName name="q498_ni">#REF!</definedName>
    <definedName name="q498_rev">#REF!</definedName>
    <definedName name="q498_shares">#REF!</definedName>
    <definedName name="q499_ni">#REF!</definedName>
    <definedName name="q499_rev">#REF!</definedName>
    <definedName name="q499_shares">#REF!</definedName>
    <definedName name="qfour95">#REF!</definedName>
    <definedName name="qfour96">#REF!</definedName>
    <definedName name="qfour97">#REF!</definedName>
    <definedName name="qone95">#REF!</definedName>
    <definedName name="qone96">#REF!</definedName>
    <definedName name="qone97">#REF!</definedName>
    <definedName name="qpl">#REF!</definedName>
    <definedName name="qpl_pg1">#REF!</definedName>
    <definedName name="qpl_pg2">#REF!</definedName>
    <definedName name="QRTLY" localSheetId="0">#REF!</definedName>
    <definedName name="QRTLY">#REF!</definedName>
    <definedName name="qrtly02" localSheetId="0">#REF!</definedName>
    <definedName name="qrtly02">[6]QuarterlyFY!#REF!</definedName>
    <definedName name="qrtly03" localSheetId="0">#REF!</definedName>
    <definedName name="qrtly03">[6]QuarterlyFY!#REF!</definedName>
    <definedName name="qrtly04" localSheetId="0">#REF!</definedName>
    <definedName name="qrtly04">[6]QuarterlyFY!#REF!</definedName>
    <definedName name="qthree95">#REF!</definedName>
    <definedName name="qthree96">#REF!</definedName>
    <definedName name="qthree97">#REF!</definedName>
    <definedName name="qtwo95">#REF!</definedName>
    <definedName name="qtwo96">#REF!</definedName>
    <definedName name="qtwo97">#REF!</definedName>
    <definedName name="quarter196">#REF!</definedName>
    <definedName name="quarter1966">#REF!</definedName>
    <definedName name="quarter197">#REF!</definedName>
    <definedName name="quarter1977">#REF!</definedName>
    <definedName name="quarter296">#REF!</definedName>
    <definedName name="quarter297">#REF!</definedName>
    <definedName name="quarter396">#REF!</definedName>
    <definedName name="quarter397">#REF!</definedName>
    <definedName name="quarter496">#REF!</definedName>
    <definedName name="quarter497">#REF!</definedName>
    <definedName name="quarterly20032004" localSheetId="0">#REF!</definedName>
    <definedName name="quarterly20032004">[6]QuarterlyFY!#REF!</definedName>
    <definedName name="quarterPL">#REF!</definedName>
    <definedName name="quarterPLgrowth">#REF!</definedName>
    <definedName name="Quarters">#REF!</definedName>
    <definedName name="R_">#REF!</definedName>
    <definedName name="R_and_D">#REF!</definedName>
    <definedName name="RANGE">#REF!</definedName>
    <definedName name="Range_Names">#REF!</definedName>
    <definedName name="Range_WACC_1">#REF!</definedName>
    <definedName name="Range_WACC_2">#REF!</definedName>
    <definedName name="Range_WACC_3">#REF!</definedName>
    <definedName name="rangeBoldFontArea1">#REF!,#REF!,#REF!,#REF!,#REF!,#REF!,#REF!,#REF!,#REF!,#REF!,#REF!,#REF!,#REF!,#REF!</definedName>
    <definedName name="rangeBoldFontArea2">#REF!,#REF!,#REF!,#REF!,#REF!,#REF!,#REF!,#REF!,#REF!,#REF!,#REF!,#REF!,#REF!,#REF!,#REF!,#REF!,#REF!</definedName>
    <definedName name="rangeBorderMedium">#REF!,#REF!,#REF!,#REF!,#REF!,#REF!,#REF!,#REF!,#REF!,#REF!</definedName>
    <definedName name="rangeBorderThin">#REF!</definedName>
    <definedName name="rangeFiscalYears">#REF!</definedName>
    <definedName name="rangeFormatDate">#REF!</definedName>
    <definedName name="rangeFormatGeneral">#REF!,#REF!,#REF!,#REF!</definedName>
    <definedName name="rangeFormatNumber1">#REF!,#REF!,#REF!,#REF!,#REF!,#REF!,#REF!,#REF!,#REF!,#REF!,#REF!,#REF!,#REF!,#REF!,#REF!,#REF!,#REF!,#REF!</definedName>
    <definedName name="rangeFormatNumber2">#REF!,#REF!,#REF!,#REF!,#REF!,#REF!,#REF!,#REF!,#REF!,#REF!,#REF!,#REF!,#REF!,#REF!,#REF!,#REF!,#REF!</definedName>
    <definedName name="rangeFormatNumber3">#REF!,#REF!,#REF!,#REF!,#REF!,#REF!,#REF!,#REF!,#REF!,#REF!,#REF!,#REF!,#REF!,#REF!,#REF!,#REF!,#REF!</definedName>
    <definedName name="rangeFormatNumber4">#REF!</definedName>
    <definedName name="rangeFormatPercent">#REF!,#REF!,#REF!,#REF!,#REF!,#REF!</definedName>
    <definedName name="rangeLoad1">#REF!</definedName>
    <definedName name="rangeLoad2">#REF!,#REF!,#REF!,#REF!,#REF!,#REF!,#REF!,#REF!,#REF!</definedName>
    <definedName name="rangeLoad3">#REF!,#REF!,#REF!,#REF!,#REF!,#REF!,#REF!,#REF!,#REF!,#REF!</definedName>
    <definedName name="rangeLoad4">#REF!,#REF!,#REF!,#REF!,#REF!,#REF!,#REF!,#REF!,#REF!,#REF!,#REF!,#REF!,#REF!,#REF!,#REF!</definedName>
    <definedName name="rangeLoad5">#REF!,#REF!,#REF!,#REF!,#REF!</definedName>
    <definedName name="rangeProtectedArea">#REF!,#REF!</definedName>
    <definedName name="rangeSubmitArea1">#REF!</definedName>
    <definedName name="rangeSubmitArea2">#REF!,#REF!,#REF!,#REF!,#REF!,#REF!,#REF!,#REF!,#REF!,#REF!,#REF!,#REF!</definedName>
    <definedName name="rangeSubmitArea3">#REF!,#REF!,#REF!,#REF!,#REF!,#REF!,#REF!,#REF!,#REF!,#REF!,#REF!,#REF!,#REF!,#REF!,#REF!,#REF!,#REF!</definedName>
    <definedName name="rangeSubmitArea4">#REF!,#REF!,#REF!,#REF!,#REF!,#REF!,#REF!,#REF!,#REF!,#REF!,#REF!,#REF!,#REF!,#REF!,#REF!,#REF!,#REF!</definedName>
    <definedName name="rangeSubmitArea5">#REF!,#REF!</definedName>
    <definedName name="rangeSummary">#REF!</definedName>
    <definedName name="RangeX">#REF!,#REF!,#REF!,#REF!,#REF!,#REF!,#REF!,#REF!,#REF!,#REF!,#REF!,#REF!,#REF!,#REF!</definedName>
    <definedName name="rangeYears">#REF!</definedName>
    <definedName name="ratios_grw_EBIT">#REF!</definedName>
    <definedName name="ratios_grw_Sales">#REF!</definedName>
    <definedName name="ratios_mrg_COGS">#REF!</definedName>
    <definedName name="ratios_mrg_EBIT">#REF!</definedName>
    <definedName name="ratios_mrg_Net">#REF!</definedName>
    <definedName name="ratios_mrg_RD">#REF!</definedName>
    <definedName name="ratios_mrg_SGA">#REF!</definedName>
    <definedName name="ratios_WC_creditor">#REF!</definedName>
    <definedName name="ratios_WC_debtor">#REF!</definedName>
    <definedName name="ratios_WC_stock">#REF!</definedName>
    <definedName name="ratios00">#REF!</definedName>
    <definedName name="ratios91">#REF!</definedName>
    <definedName name="ratios92">#REF!</definedName>
    <definedName name="ratios93">#REF!</definedName>
    <definedName name="ratios94">#REF!</definedName>
    <definedName name="ratios95">#REF!</definedName>
    <definedName name="ratios99">#REF!</definedName>
    <definedName name="recent.patterns">#REF!</definedName>
    <definedName name="Report">#REF!</definedName>
    <definedName name="Reported_Net_Income">#REF!</definedName>
    <definedName name="reportedqtrinc">#REF!</definedName>
    <definedName name="Research_and_Development_Rate">#REF!</definedName>
    <definedName name="Rev_At_20_Per_Month_Per_User">#REF!</definedName>
    <definedName name="Revenue" localSheetId="0">#REF!</definedName>
    <definedName name="Revenue">#REF!</definedName>
    <definedName name="RevenueModel">#REF!</definedName>
    <definedName name="Revenues_and_Earnings_Model">#REF!</definedName>
    <definedName name="revprint">#REF!</definedName>
    <definedName name="rf">#REF!</definedName>
    <definedName name="right_border">#REF!</definedName>
    <definedName name="rngeFrcstMandatory1">#REF!</definedName>
    <definedName name="rngeFrcstMandatory2">#REF!,#REF!,#REF!,#REF!,#REF!,#REF!,#REF!,#REF!,#REF!,#REF!,#REF!,#REF!,#REF!,#REF!,#REF!,#REF!,#REF!,#REF!</definedName>
    <definedName name="rngeFrcstMandatory3">#REF!,#REF!,#REF!,#REF!,#REF!,#REF!,#REF!,#REF!,#REF!,#REF!,#REF!,#REF!,#REF!,#REF!,#REF!,#REF!,#REF!</definedName>
    <definedName name="rngeFrcstMandatory4">#REF!,#REF!,#REF!,#REF!</definedName>
    <definedName name="rngeFrcstOptional1">#REF!</definedName>
    <definedName name="rngeFrcstOptional2">#REF!,#REF!,#REF!,#REF!,#REF!,#REF!,#REF!,#REF!,#REF!,#REF!,#REF!,#REF!,#REF!,#REF!,#REF!,#REF!</definedName>
    <definedName name="rngeFrcstOptional3">#REF!,#REF!,#REF!,#REF!,#REF!,#REF!,#REF!,#REF!,#REF!,#REF!,#REF!,#REF!,#REF!,#REF!,#REF!</definedName>
    <definedName name="rngeFrcstOptional4">#REF!,#REF!,#REF!,#REF!</definedName>
    <definedName name="rngeHstrMandatory11">#REF!,#REF!,#REF!,#REF!,#REF!,#REF!,#REF!,#REF!,#REF!,#REF!,#REF!,#REF!,#REF!,#REF!,#REF!,#REF!,#REF!,#REF!,#REF!,#REF!,#REF!,#REF!,#REF!</definedName>
    <definedName name="rngeHstrMandatory12">#REF!,#REF!,#REF!,#REF!,#REF!,#REF!,#REF!,#REF!,#REF!,#REF!,#REF!,#REF!,#REF!,#REF!</definedName>
    <definedName name="rngeHstrMandatory21">#REF!,#REF!,#REF!,#REF!,#REF!,#REF!,#REF!,#REF!,#REF!,#REF!,#REF!,#REF!,#REF!,#REF!,#REF!,#REF!,#REF!,#REF!,#REF!,#REF!,#REF!,#REF!,#REF!</definedName>
    <definedName name="rngeHstrMandatory22">#REF!,#REF!,#REF!,#REF!,#REF!,#REF!,#REF!,#REF!,#REF!,#REF!,#REF!,#REF!,#REF!,#REF!</definedName>
    <definedName name="rngeHstrMandatory31">#REF!,#REF!,#REF!,#REF!,#REF!,#REF!,#REF!,#REF!,#REF!,#REF!,#REF!,#REF!,#REF!,#REF!,#REF!,#REF!,#REF!,#REF!,#REF!,#REF!,#REF!,#REF!,#REF!</definedName>
    <definedName name="rngeHstrMandatory32">#REF!,#REF!,#REF!,#REF!,#REF!,#REF!,#REF!,#REF!,#REF!,#REF!,#REF!,#REF!,#REF!,#REF!</definedName>
    <definedName name="rngeHstrOptional11">#REF!</definedName>
    <definedName name="rngeHstrOptional12">#REF!,#REF!,#REF!,#REF!,#REF!,#REF!,#REF!,#REF!,#REF!,#REF!,#REF!,#REF!,#REF!,#REF!,#REF!,#REF!,#REF!,#REF!,#REF!</definedName>
    <definedName name="rngeHstrOptional13">#REF!,#REF!,#REF!,#REF!,#REF!,#REF!,#REF!,#REF!,#REF!,#REF!,#REF!,#REF!,#REF!,#REF!,#REF!</definedName>
    <definedName name="rngeHstrOptional21">#REF!</definedName>
    <definedName name="rngeHstrOptional22">#REF!,#REF!,#REF!,#REF!,#REF!,#REF!,#REF!,#REF!,#REF!,#REF!,#REF!,#REF!,#REF!,#REF!,#REF!,#REF!,#REF!,#REF!,#REF!</definedName>
    <definedName name="rngeHstrOptional23">#REF!,#REF!,#REF!,#REF!,#REF!,#REF!,#REF!,#REF!,#REF!,#REF!,#REF!,#REF!,#REF!,#REF!,#REF!</definedName>
    <definedName name="rngeHstrOptional31">#REF!</definedName>
    <definedName name="rngeHstrOptional32">#REF!,#REF!,#REF!,#REF!,#REF!,#REF!,#REF!,#REF!,#REF!,#REF!,#REF!,#REF!,#REF!,#REF!,#REF!,#REF!,#REF!,#REF!,#REF!</definedName>
    <definedName name="rngeHstrOptional33">#REF!,#REF!,#REF!,#REF!,#REF!,#REF!,#REF!,#REF!,#REF!,#REF!,#REF!,#REF!,#REF!,#REF!,#REF!</definedName>
    <definedName name="ROE">#REF!</definedName>
    <definedName name="rollingquarterPL">#REF!</definedName>
    <definedName name="rollingquarterPLgrowth">#REF!</definedName>
    <definedName name="ROWNat" localSheetId="0">#REF!</definedName>
    <definedName name="ROWNat">#REF!</definedName>
    <definedName name="RXAnnual">#REF!</definedName>
    <definedName name="RZYMPARTNERS">#REF!</definedName>
    <definedName name="s" hidden="1">{"PR1","pr1",TRUE,"Sch PR-1"}</definedName>
    <definedName name="sal">#REF!</definedName>
    <definedName name="sales00">#REF!</definedName>
    <definedName name="sales01">#REF!</definedName>
    <definedName name="sales02">#REF!</definedName>
    <definedName name="sales03">#REF!</definedName>
    <definedName name="sales04">#REF!</definedName>
    <definedName name="SalesRevenue">#REF!</definedName>
    <definedName name="Scenario">#REF!</definedName>
    <definedName name="sd">Sheet1</definedName>
    <definedName name="SD_plasma">#REF!</definedName>
    <definedName name="sdsds" hidden="1">{"PR1","pr1",TRUE,"Sch PR-1"}</definedName>
    <definedName name="segment">#REF!</definedName>
    <definedName name="segment.op.profit">#REF!</definedName>
    <definedName name="Selling_and_Marketing_Rate">#REF!</definedName>
    <definedName name="sencount" hidden="1">2</definedName>
    <definedName name="shares_avg">#REF!</definedName>
    <definedName name="shares_qtr">#REF!</definedName>
    <definedName name="shares00">#REF!</definedName>
    <definedName name="shares01">#REF!</definedName>
    <definedName name="shares02">#REF!</definedName>
    <definedName name="shares03">#REF!</definedName>
    <definedName name="shares04">#REF!</definedName>
    <definedName name="Short_Flow_Data">#REF!</definedName>
    <definedName name="Short_term_debt">#REF!</definedName>
    <definedName name="Sigma">#REF!</definedName>
    <definedName name="So">#REF!</definedName>
    <definedName name="solver_adj" hidden="1">#REF!</definedName>
    <definedName name="solver_cvg" hidden="1">0.0001</definedName>
    <definedName name="solver_drv" hidden="1">1</definedName>
    <definedName name="solver_est" hidden="1">1</definedName>
    <definedName name="solver_itr" hidden="1">100</definedName>
    <definedName name="solver_lhs1" hidden="1">#REF!</definedName>
    <definedName name="solver_lhs10" hidden="1">#REF!</definedName>
    <definedName name="solver_lhs11" hidden="1">#REF!</definedName>
    <definedName name="solver_lhs2" hidden="1">#REF!</definedName>
    <definedName name="solver_lhs3" hidden="1">#REF!</definedName>
    <definedName name="solver_lhs4" hidden="1">#REF!</definedName>
    <definedName name="solver_lhs5" hidden="1">#REF!</definedName>
    <definedName name="solver_lhs6" hidden="1">#REF!</definedName>
    <definedName name="solver_lhs7" hidden="1">#REF!</definedName>
    <definedName name="solver_lhs8" hidden="1">#REF!</definedName>
    <definedName name="solver_lhs9" hidden="1">#REF!</definedName>
    <definedName name="solver_lin" hidden="1">2</definedName>
    <definedName name="solver_neg" hidden="1">2</definedName>
    <definedName name="solver_num" hidden="1">1</definedName>
    <definedName name="solver_nwt" hidden="1">1</definedName>
    <definedName name="solver_opt" hidden="1">#REF!</definedName>
    <definedName name="solver_pre" hidden="1">0.000001</definedName>
    <definedName name="solver_rel1" hidden="1">2</definedName>
    <definedName name="solver_rel10" hidden="1">1</definedName>
    <definedName name="solver_rel11" hidden="1">3</definedName>
    <definedName name="solver_rel2" hidden="1">2</definedName>
    <definedName name="solver_rel3" hidden="1">2</definedName>
    <definedName name="solver_rel4" hidden="1">2</definedName>
    <definedName name="solver_rel5" hidden="1">1</definedName>
    <definedName name="solver_rel6" hidden="1">3</definedName>
    <definedName name="solver_rel7" hidden="1">2</definedName>
    <definedName name="solver_rel8" hidden="1">1</definedName>
    <definedName name="solver_rel9" hidden="1">3</definedName>
    <definedName name="solver_rhs1" hidden="1">#REF!</definedName>
    <definedName name="solver_rhs10" hidden="1">#REF!</definedName>
    <definedName name="solver_rhs11" hidden="1">#REF!</definedName>
    <definedName name="solver_rhs2" hidden="1">#REF!</definedName>
    <definedName name="solver_rhs3" hidden="1">#REF!</definedName>
    <definedName name="solver_rhs4" hidden="1">#REF!</definedName>
    <definedName name="solver_rhs5" hidden="1">#REF!</definedName>
    <definedName name="solver_rhs6" hidden="1">#REF!</definedName>
    <definedName name="solver_rhs7" hidden="1">#REF!</definedName>
    <definedName name="solver_rhs8" hidden="1">#REF!</definedName>
    <definedName name="solver_rhs9" hidden="1">#REF!</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1053</definedName>
    <definedName name="sos">#REF!</definedName>
    <definedName name="SP_Pipeline">#REF!</definedName>
    <definedName name="Specialty_Products">#REF!</definedName>
    <definedName name="ss">#REF!</definedName>
    <definedName name="sssssss" hidden="1">{"PR1","pr1",TRUE,"Sch PR-1"}</definedName>
    <definedName name="Stockholders_Equity">#REF!</definedName>
    <definedName name="SubmissionData">#REF!</definedName>
    <definedName name="sum_con">#REF!</definedName>
    <definedName name="Summary_Date">#REF!</definedName>
    <definedName name="SWAP">#REF!</definedName>
    <definedName name="synergies">#REF!</definedName>
    <definedName name="t">#REF!</definedName>
    <definedName name="TABLE2">#REF!</definedName>
    <definedName name="tar">#REF!</definedName>
    <definedName name="tax">#REF!</definedName>
    <definedName name="template">#REF!</definedName>
    <definedName name="ticker">#REF!</definedName>
    <definedName name="TickerCell">#REF!</definedName>
    <definedName name="title">#REF!</definedName>
    <definedName name="tmp_333" hidden="1">#REF!</definedName>
    <definedName name="tmp_758" hidden="1">#REF!</definedName>
    <definedName name="tmp_787" hidden="1">#REF!</definedName>
    <definedName name="tmp_839" hidden="1">#REF!</definedName>
    <definedName name="tmpLoadSedol" hidden="1">#REF!</definedName>
    <definedName name="tot_debt">#REF!</definedName>
    <definedName name="Total_Assets">#REF!</definedName>
    <definedName name="Total_Company_Size__Employees">#REF!</definedName>
    <definedName name="Total_current_assets">#REF!</definedName>
    <definedName name="Total_current_liabilities">#REF!</definedName>
    <definedName name="TOTAL_REVENUE">#REF!</definedName>
    <definedName name="Total_revenues">#REF!</definedName>
    <definedName name="Total_stockholders_equity">#REF!</definedName>
    <definedName name="TotalPVs">#REF!</definedName>
    <definedName name="totdebt">#REF!</definedName>
    <definedName name="TPshares">#REF!</definedName>
    <definedName name="TradingIncome">#REF!</definedName>
    <definedName name="trailing_revs">#REF!</definedName>
    <definedName name="TRANSLATE">#REF!</definedName>
    <definedName name="transltm">#REF!</definedName>
    <definedName name="trc_BkVal">#REF!</definedName>
    <definedName name="trc_BloombergCode">#REF!</definedName>
    <definedName name="trc_BurnRate">#REF!</definedName>
    <definedName name="trc_Cash">#REF!</definedName>
    <definedName name="trc_CompanyName">#REF!</definedName>
    <definedName name="trc_CountryName">#REF!</definedName>
    <definedName name="trc_Currency">#REF!</definedName>
    <definedName name="trc_CurrentPrice">#REF!</definedName>
    <definedName name="trc_DebtbyEBITDA">#REF!</definedName>
    <definedName name="trc_dividendAmt">#REF!</definedName>
    <definedName name="trc_EBITDAbyShrOO">#REF!</definedName>
    <definedName name="trc_EPS5YrHistGrowth">#REF!</definedName>
    <definedName name="trc_EPS5YrProjGrowth">#REF!</definedName>
    <definedName name="trc_EVbyEBITDAOO">#REF!</definedName>
    <definedName name="trc_EVInvCap">#REF!</definedName>
    <definedName name="trc_FreeFloat">#REF!</definedName>
    <definedName name="trc_FreeTxt1">#REF!</definedName>
    <definedName name="trc_FreeTxt2">#REF!</definedName>
    <definedName name="trc_FreeTxt3">#REF!</definedName>
    <definedName name="trc_FreeTxt4">#REF!</definedName>
    <definedName name="trc_InterestCov">#REF!</definedName>
    <definedName name="trc_ISIN">#REF!</definedName>
    <definedName name="trc_LTDebtCap">#REF!</definedName>
    <definedName name="trc_Net_Cash">#REF!</definedName>
    <definedName name="trc_NetCashAdr">#REF!</definedName>
    <definedName name="trc_NetDebtCap">#REF!</definedName>
    <definedName name="trc_OperMargin">#REF!</definedName>
    <definedName name="trc_Pacings">#REF!</definedName>
    <definedName name="trc_PriceEstNAV">#REF!</definedName>
    <definedName name="trc_priceTarget">#REF!</definedName>
    <definedName name="trc_ProfitMargin">#REF!</definedName>
    <definedName name="trc_RIC">#REF!</definedName>
    <definedName name="trc_ROA">#REF!</definedName>
    <definedName name="trc_ROAA">#REF!</definedName>
    <definedName name="trc_ROAE">#REF!</definedName>
    <definedName name="trc_ROCE">#REF!</definedName>
    <definedName name="trc_ROE">#REF!</definedName>
    <definedName name="trc_ROIC">#REF!</definedName>
    <definedName name="trc_Sedol">#REF!</definedName>
    <definedName name="trc_Sedol2">#REF!</definedName>
    <definedName name="trc_Sedol3">#REF!</definedName>
    <definedName name="trc_sharesout">#REF!</definedName>
    <definedName name="trc_SSBCF">#REF!</definedName>
    <definedName name="trc_SSRev">#REF!</definedName>
    <definedName name="trc_Tot_Debt">#REF!</definedName>
    <definedName name="trc_TotDebtCap">#REF!</definedName>
    <definedName name="trc_TotDebtMktCap">#REF!</definedName>
    <definedName name="trc_XLS_DATASHEET_ProtectDate">36815.6470486111</definedName>
    <definedName name="trc_y1">#REF!</definedName>
    <definedName name="trc_Y1Accruals">#REF!</definedName>
    <definedName name="trc_Y1AcquisDisp">#REF!</definedName>
    <definedName name="trc_Y1AcquisGW">#REF!</definedName>
    <definedName name="trc_Y1AmortGW">#REF!</definedName>
    <definedName name="trc_Y1AmortGWAftTax">#REF!</definedName>
    <definedName name="Trc_Y1AmortGWFA">#REF!</definedName>
    <definedName name="trc_Y1AmortOth">#REF!</definedName>
    <definedName name="trc_Y1AnnounceDate">#REF!</definedName>
    <definedName name="trc_Y1ARPU">#REF!</definedName>
    <definedName name="trc_Y1ASP">#REF!</definedName>
    <definedName name="trc_Y1AssDisp">#REF!</definedName>
    <definedName name="trc_Y1AssetMngmnt">#REF!</definedName>
    <definedName name="trc_Y1AssocAftTax">#REF!</definedName>
    <definedName name="trc_Y1AssocB4Tax">#REF!</definedName>
    <definedName name="trc_Y1AssocCoCEM">#REF!</definedName>
    <definedName name="Trc_Y1AssOth">#REF!</definedName>
    <definedName name="Trc_Y1AssTotNet">#REF!</definedName>
    <definedName name="trc_Y1BadDebCharge">#REF!</definedName>
    <definedName name="trc_Y1BoANetProfit">#REF!</definedName>
    <definedName name="trc_Y1BoANormEPS">#REF!</definedName>
    <definedName name="trc_Y1BoANormPTP">#REF!</definedName>
    <definedName name="trc_Y1BookValue">#REF!</definedName>
    <definedName name="trc_Y1CapExp">#REF!</definedName>
    <definedName name="trc_Y1CapitalGains">#REF!</definedName>
    <definedName name="Trc_Y1CashB4Finance">#REF!</definedName>
    <definedName name="trc_Y1CashDebtCh">#REF!</definedName>
    <definedName name="trc_Y1CASHEPS_CY">#REF!</definedName>
    <definedName name="trc_Y1CashEqChange">#REF!</definedName>
    <definedName name="trc_Y1CashFlowFDTo">#REF!</definedName>
    <definedName name="trc_Y1CashNear">#REF!</definedName>
    <definedName name="trc_Y1CashPS">#REF!</definedName>
    <definedName name="trc_Y1CogsRep">#REF!</definedName>
    <definedName name="trc_Y1CommitOther">#REF!</definedName>
    <definedName name="trc_Y1CorpsLarge">#REF!</definedName>
    <definedName name="Trc_Y1CreditorChange">#REF!</definedName>
    <definedName name="Trc_Y1CurrAssNet">#REF!</definedName>
    <definedName name="trc_Y1CurrAssOth">#REF!</definedName>
    <definedName name="trc_Y1CurrAssTot">#REF!</definedName>
    <definedName name="trc_Y1CurrInvest">#REF!</definedName>
    <definedName name="Trc_Y1CurrLiabOth">#REF!</definedName>
    <definedName name="Trc_Y1CurrLiabTot">#REF!</definedName>
    <definedName name="trc_Y1CurrTax">#REF!</definedName>
    <definedName name="Trc_Y1Debt">#REF!</definedName>
    <definedName name="Trc_Y1DebtAdjCflow">#REF!</definedName>
    <definedName name="Trc_Y1DebtorsChange">#REF!</definedName>
    <definedName name="trc_Y1DebtOth">#REF!</definedName>
    <definedName name="trc_Y1DebtTot">#REF!</definedName>
    <definedName name="trc_Y1DefLiabOth">#REF!</definedName>
    <definedName name="trc_Y1DefTax">#REF!</definedName>
    <definedName name="trc_Y1Deposits">#REF!</definedName>
    <definedName name="trc_Y1DeprecAmort">#REF!</definedName>
    <definedName name="trc_Y1Depreciation">#REF!</definedName>
    <definedName name="Trc_Y1DepreciationFA">#REF!</definedName>
    <definedName name="trc_Y1DevCostsNet">#REF!</definedName>
    <definedName name="trc_Y1DiffRevenues">#REF!</definedName>
    <definedName name="trc_Y1DiscOper">#REF!</definedName>
    <definedName name="Trc_Y1DiscOperNC">#REF!</definedName>
    <definedName name="Trc_Y1Div2Equity">#REF!</definedName>
    <definedName name="trc_Y1Dividend">#REF!</definedName>
    <definedName name="Trc_Y1Dividends">#REF!</definedName>
    <definedName name="Trc_Y1DivOth">#REF!</definedName>
    <definedName name="trc_Y1Domestic">#REF!</definedName>
    <definedName name="trc_Y1DPSGross">#REF!</definedName>
    <definedName name="trc_Y1DPSGrossAdj">#REF!</definedName>
    <definedName name="trc_Y1DPSNet">#REF!</definedName>
    <definedName name="trc_Y1DPSNetAdj">#REF!</definedName>
    <definedName name="trc_Y1DSO">#REF!</definedName>
    <definedName name="trc_Y1EBIT">#REF!</definedName>
    <definedName name="trc_Y1EBITAG">#REF!</definedName>
    <definedName name="trc_Y1EBITDa">#REF!</definedName>
    <definedName name="trc_Y1EBITDAAM">#REF!</definedName>
    <definedName name="trc_Y1EBITDABYYR">#REF!</definedName>
    <definedName name="trc_Y1Employees">#REF!</definedName>
    <definedName name="trc_y1eps_cy">#REF!</definedName>
    <definedName name="trc_Y1EpsAdj">#REF!</definedName>
    <definedName name="trc_Y1EPSDil">#REF!</definedName>
    <definedName name="trc_Y1EPSRep">#REF!</definedName>
    <definedName name="trc_Y1EquityCost">#REF!</definedName>
    <definedName name="trc_Y1EquityExc">#REF!</definedName>
    <definedName name="Trc_Y1EquityTot">#REF!</definedName>
    <definedName name="trc_Y1EVBYEBITDA">#REF!</definedName>
    <definedName name="trc_Y1EVBYREV">#REF!</definedName>
    <definedName name="trc_Y1ExceptItem">#REF!</definedName>
    <definedName name="trc_Y1Exploration">#REF!</definedName>
    <definedName name="trc_Y1ExtraordItem">#REF!</definedName>
    <definedName name="trc_Y1ExtraordOth">#REF!</definedName>
    <definedName name="trc_Y1FeeInc">#REF!</definedName>
    <definedName name="trc_Y1FinanceCharge">#REF!</definedName>
    <definedName name="trc_Y1FinAssOth">#REF!</definedName>
    <definedName name="trc_Y1FinAssTot">#REF!</definedName>
    <definedName name="trc_Y1FinInflowTot">#REF!</definedName>
    <definedName name="trc_Y1FixAssTotNet">#REF!</definedName>
    <definedName name="trc_Y1FixAssUncl">#REF!</definedName>
    <definedName name="Trc_Y1FreeCashFlow">#REF!</definedName>
    <definedName name="trc_Y1FreeFloat">#REF!</definedName>
    <definedName name="trc_Y1FyEndDate">#REF!</definedName>
    <definedName name="trc_Y1GenAdmin">#REF!</definedName>
    <definedName name="trc_Y1GrossProfit">#REF!</definedName>
    <definedName name="trc_Y1HeldAssResale">#REF!</definedName>
    <definedName name="trc_Y1HoldInd">#REF!</definedName>
    <definedName name="Trc_Y1IIRChange">#REF!</definedName>
    <definedName name="Trc_Y1InflowOperCash">#REF!</definedName>
    <definedName name="Trc_Y1InflowOth">#REF!</definedName>
    <definedName name="Trc_Y1InflowOthFI">#REF!</definedName>
    <definedName name="Trc_Y1IntAssChange">#REF!</definedName>
    <definedName name="trc_Y1IntAssOth">#REF!</definedName>
    <definedName name="Trc_Y1IntDivOth">#REF!</definedName>
    <definedName name="trc_Y1InterestExp">#REF!</definedName>
    <definedName name="trc_Y1InterestIncome">#REF!</definedName>
    <definedName name="trc_Y1IntFixAssTotNe">#REF!</definedName>
    <definedName name="trc_Y1InvBanking">#REF!</definedName>
    <definedName name="trc_Y1InvestIncome">#REF!</definedName>
    <definedName name="trc_Y1InvestTotal">#REF!</definedName>
    <definedName name="Trc_Y1InvOthChange">#REF!</definedName>
    <definedName name="trc_Y1LiabTotNet">#REF!</definedName>
    <definedName name="trc_Y1LifeIns">#REF!</definedName>
    <definedName name="Trc_Y1LiqFundMove">#REF!</definedName>
    <definedName name="trc_Y1Loans">#REF!</definedName>
    <definedName name="trc_Y1LoansIG">#REF!</definedName>
    <definedName name="trc_Y1LoansLT">#REF!</definedName>
    <definedName name="trc_Y1LoansST">#REF!</definedName>
    <definedName name="trc_Y1LTDebtors">#REF!</definedName>
    <definedName name="trc_Y1LTLiabOth">#REF!</definedName>
    <definedName name="trc_Y1ManLiqResFin">#REF!</definedName>
    <definedName name="trc_Y1MarketDev">#REF!</definedName>
    <definedName name="trc_Y1MarketEmerg">#REF!</definedName>
    <definedName name="trc_Y1MinorityIntBS">#REF!</definedName>
    <definedName name="trc_Y1MinorityIntPL">#REF!</definedName>
    <definedName name="trc_Y1MisPriceCur">#REF!</definedName>
    <definedName name="trc_Y1NAVPS">#REF!</definedName>
    <definedName name="trc_Y1NetAssets">#REF!</definedName>
    <definedName name="trc_Y1NetDebtBS">#REF!</definedName>
    <definedName name="Trc_Y1NetDebtMove">#REF!</definedName>
    <definedName name="trc_Y1NetFinancial">#REF!</definedName>
    <definedName name="trc_Y1NetGW">#REF!</definedName>
    <definedName name="trc_Y1NetIntInc">#REF!</definedName>
    <definedName name="Trc_Y1NonCashAdjTot">#REF!</definedName>
    <definedName name="Trc_Y1NonCashOth">#REF!</definedName>
    <definedName name="trc_Y1NonLifeIns">#REF!</definedName>
    <definedName name="trc_Y1NormNetPft">#REF!</definedName>
    <definedName name="trc_Y1NormPftAftTax">#REF!</definedName>
    <definedName name="trc_Y1NormTax">#REF!</definedName>
    <definedName name="trc_Y1OperCostOther">#REF!</definedName>
    <definedName name="trc_Y1OperCostXDA">#REF!</definedName>
    <definedName name="trc_Y1OperIncOther">#REF!</definedName>
    <definedName name="trc_Y1OtherAftTax">#REF!</definedName>
    <definedName name="trc_Y1OtherCharges">#REF!</definedName>
    <definedName name="trc_Y1OtherGW">#REF!</definedName>
    <definedName name="trc_Y1OtherIncome">#REF!</definedName>
    <definedName name="trc_Y1OtherInvest">#REF!</definedName>
    <definedName name="trc_Y1OthPretaxAdj">#REF!</definedName>
    <definedName name="trc_Y1OthTax">#REF!</definedName>
    <definedName name="trc_Y1OtTotPreTaxI">#REF!</definedName>
    <definedName name="Trc_Y1PbtAsia">#REF!</definedName>
    <definedName name="Trc_Y1PbtByMarket">#REF!</definedName>
    <definedName name="Trc_Y1PbtEurope">#REF!</definedName>
    <definedName name="Trc_Y1PbtHM">#REF!</definedName>
    <definedName name="Trc_Y1PbtIntraGroup">#REF!</definedName>
    <definedName name="Trc_Y1PbtJapan">#REF!</definedName>
    <definedName name="Trc_Y1PbtMideast">#REF!</definedName>
    <definedName name="Trc_Y1PbtNAM">#REF!</definedName>
    <definedName name="Trc_Y1PbtRestWorld">#REF!</definedName>
    <definedName name="Trc_Y1PbtSoEast">#REF!</definedName>
    <definedName name="trc_Y1PBVFair">#REF!</definedName>
    <definedName name="trc_Y1PensIncom">#REF!</definedName>
    <definedName name="trc_Y1PensProv">#REF!</definedName>
    <definedName name="trc_Y1PPDebtors">#REF!</definedName>
    <definedName name="trc_Y1PrefDiv">#REF!</definedName>
    <definedName name="trc_Y1PreTaxAdj">#REF!</definedName>
    <definedName name="trc_Y1PriceFair">#REF!</definedName>
    <definedName name="trc_Y1ProfitAftTax">#REF!</definedName>
    <definedName name="Trc_Y1ProfitCashFlow">#REF!</definedName>
    <definedName name="trc_Y1ProfitNet">#REF!</definedName>
    <definedName name="trc_Y1ProfitPreTax">#REF!</definedName>
    <definedName name="trc_Y1ProfitRet">#REF!</definedName>
    <definedName name="trc_Y1PropertyNet">#REF!</definedName>
    <definedName name="trc_Y1Provisions">#REF!</definedName>
    <definedName name="trc_Y1ProvisionsST">#REF!</definedName>
    <definedName name="trc_Y1PVdivs">#REF!</definedName>
    <definedName name="trc_Y1PVNAV">#REF!</definedName>
    <definedName name="trc_y1q1s1">#REF!</definedName>
    <definedName name="trc_y1q1s2">#REF!</definedName>
    <definedName name="trc_y1q2s1">#REF!</definedName>
    <definedName name="trc_y1q2s2">#REF!</definedName>
    <definedName name="trc_y1q3s1">#REF!</definedName>
    <definedName name="trc_y1q3s2">#REF!</definedName>
    <definedName name="trc_y1q4s1">#REF!</definedName>
    <definedName name="trc_y1q4s2">#REF!</definedName>
    <definedName name="trc_Y1RD">#REF!</definedName>
    <definedName name="trc_Y1Reinsurance">#REF!</definedName>
    <definedName name="Trc_Y1ReserveEqOth">#REF!</definedName>
    <definedName name="Trc_Y1ReserveGW">#REF!</definedName>
    <definedName name="Trc_Y1ReserveLegal">#REF!</definedName>
    <definedName name="Trc_Y1ReserveMGR">#REF!</definedName>
    <definedName name="trc_Y1Retail">#REF!</definedName>
    <definedName name="trc_Y1Revenue">#REF!</definedName>
    <definedName name="trc_Y1REVENUE_CY">#REF!</definedName>
    <definedName name="trc_Y1ROEAdj">#REF!</definedName>
    <definedName name="trc_Y1ROENormal">#REF!</definedName>
    <definedName name="trc_y1s1total">#REF!</definedName>
    <definedName name="trc_y1s2total">#REF!</definedName>
    <definedName name="trc_Y1SGA">#REF!</definedName>
    <definedName name="Trc_Y1ShareCapital">#REF!</definedName>
    <definedName name="trc_Y1SharesDilYE">#REF!</definedName>
    <definedName name="trc_Y1SharesOrd">#REF!</definedName>
    <definedName name="Trc_Y1SharesOthEq">#REF!</definedName>
    <definedName name="trc_Y1SharesOutBAL">#REF!</definedName>
    <definedName name="trc_Y1SharesOutDIL">#REF!</definedName>
    <definedName name="trc_Y1SharesOutWA">#REF!</definedName>
    <definedName name="Trc_Y1SharesOwn">#REF!</definedName>
    <definedName name="Trc_Y1SharesPref">#REF!</definedName>
    <definedName name="Trc_Y1SharesPremium">#REF!</definedName>
    <definedName name="Trc_Y1SharesTotCap">#REF!</definedName>
    <definedName name="Trc_Y1SlsAsia">#REF!</definedName>
    <definedName name="Trc_Y1SlsByMarket">#REF!</definedName>
    <definedName name="Trc_Y1SlsEurope">#REF!</definedName>
    <definedName name="Trc_Y1SlsHM">#REF!</definedName>
    <definedName name="Trc_Y1SlsIntraGroup">#REF!</definedName>
    <definedName name="Trc_Y1SlsJapan">#REF!</definedName>
    <definedName name="Trc_Y1SlsMideast">#REF!</definedName>
    <definedName name="Trc_Y1SlsNAM">#REF!</definedName>
    <definedName name="Trc_Y1SlsOthEur">#REF!</definedName>
    <definedName name="Trc_Y1SlsOthEurope">#REF!</definedName>
    <definedName name="Trc_Y1SlsRestWorld">#REF!</definedName>
    <definedName name="Trc_Y1SlsSoEast">#REF!</definedName>
    <definedName name="trc_Y1StaffCost">#REF!</definedName>
    <definedName name="Trc_Y1Stocks">#REF!</definedName>
    <definedName name="Trc_Y1StocksChangeNC">#REF!</definedName>
    <definedName name="trc_Y1Subscribers">#REF!</definedName>
    <definedName name="Trc_Y1TanAssChange">#REF!</definedName>
    <definedName name="trc_Y1TanAssLeased">#REF!</definedName>
    <definedName name="trc_Y1TanFixAssOthGr">#REF!</definedName>
    <definedName name="trc_Y1TanFixAssOthNe">#REF!</definedName>
    <definedName name="trc_Y1TanFixAssTotNe">#REF!</definedName>
    <definedName name="trc_Y1TargetPriceFin">#REF!</definedName>
    <definedName name="trc_Y1TargetRtrn">#REF!</definedName>
    <definedName name="trc_Y1Tax">#REF!</definedName>
    <definedName name="Trc_Y1TaxCL">#REF!</definedName>
    <definedName name="Trc_Y1TaxFD">#REF!</definedName>
    <definedName name="trc_Y1TotAftTaxI">#REF!</definedName>
    <definedName name="trc_Y1TotalAssets">#REF!</definedName>
    <definedName name="trc_Y1TotalBM">#REF!</definedName>
    <definedName name="trc_Y1TotalDeprAM">#REF!</definedName>
    <definedName name="trc_Y1TotalFinExp">#REF!</definedName>
    <definedName name="trc_Y1TotalFinInc">#REF!</definedName>
    <definedName name="trc_Y1TotalGM">#REF!</definedName>
    <definedName name="trc_Y1TotDefLTLiab">#REF!</definedName>
    <definedName name="trc_Y1TotDividends">#REF!</definedName>
    <definedName name="trc_Y1TradeCreditors">#REF!</definedName>
    <definedName name="trc_Y1TradeInv">#REF!</definedName>
    <definedName name="trc_Y1TradingInc">#REF!</definedName>
    <definedName name="Trc_Y1WCAdjOth">#REF!</definedName>
    <definedName name="trc_y1Year">#REF!</definedName>
    <definedName name="trc_Y2Accruals">#REF!</definedName>
    <definedName name="Trc_Y2AcquisDisp">#REF!</definedName>
    <definedName name="trc_Y2AcquisGW">#REF!</definedName>
    <definedName name="trc_Y2AmortGW">#REF!</definedName>
    <definedName name="trc_Y2AmortGWAftTax">#REF!</definedName>
    <definedName name="Trc_Y2AmortGWFA">#REF!</definedName>
    <definedName name="trc_Y2AmortOth">#REF!</definedName>
    <definedName name="trc_Y2AnnounceDate">#REF!</definedName>
    <definedName name="trc_Y2ARPU">#REF!</definedName>
    <definedName name="trc_Y2ASP">#REF!</definedName>
    <definedName name="Trc_Y2AssDisp">#REF!</definedName>
    <definedName name="trc_Y2AssetMngmnt">#REF!</definedName>
    <definedName name="trc_Y2AssocAftTax">#REF!</definedName>
    <definedName name="trc_Y2AssocB4Tax">#REF!</definedName>
    <definedName name="trc_Y2AssocCoCEM">#REF!</definedName>
    <definedName name="Trc_Y2AssOth">#REF!</definedName>
    <definedName name="Trc_Y2AssTotNet">#REF!</definedName>
    <definedName name="trc_Y2BadDebCharge">#REF!</definedName>
    <definedName name="trc_Y2BoANetProfit">#REF!</definedName>
    <definedName name="trc_Y2BoANormEPS">#REF!</definedName>
    <definedName name="trc_Y2BoANormPTP">#REF!</definedName>
    <definedName name="trc_Y2BookValue">#REF!</definedName>
    <definedName name="trc_Y2CapExp">#REF!</definedName>
    <definedName name="trc_Y2CapitalGains">#REF!</definedName>
    <definedName name="Trc_Y2CashB4Finance">#REF!</definedName>
    <definedName name="trc_Y2CashDebtCh">#REF!</definedName>
    <definedName name="trc_Y2CASHEPS_CY">#REF!</definedName>
    <definedName name="trc_Y2CashEqChange">#REF!</definedName>
    <definedName name="trc_Y2CashFlowFDTo">#REF!</definedName>
    <definedName name="trc_Y2CashNear">#REF!</definedName>
    <definedName name="trc_Y2CashPS">#REF!</definedName>
    <definedName name="trc_Y2CogsRep">#REF!</definedName>
    <definedName name="trc_Y2CommitOther">#REF!</definedName>
    <definedName name="trc_Y2CorpsLarge">#REF!</definedName>
    <definedName name="Trc_Y2CreditorChange">#REF!</definedName>
    <definedName name="Trc_Y2CurrAssNet">#REF!</definedName>
    <definedName name="trc_Y2CurrAssOth">#REF!</definedName>
    <definedName name="trc_Y2CurrAssTot">#REF!</definedName>
    <definedName name="trc_Y2CurrInvest">#REF!</definedName>
    <definedName name="Trc_Y2CurrLiabOth">#REF!</definedName>
    <definedName name="Trc_Y2CurrLiabTot">#REF!</definedName>
    <definedName name="trc_Y2CurrTax">#REF!</definedName>
    <definedName name="Trc_Y2Debt">#REF!</definedName>
    <definedName name="Trc_Y2DebtAdjCflow">#REF!</definedName>
    <definedName name="Trc_Y2DebtorsChange">#REF!</definedName>
    <definedName name="trc_Y2DebtOth">#REF!</definedName>
    <definedName name="trc_Y2DebtTot">#REF!</definedName>
    <definedName name="trc_Y2DefLiabOth">#REF!</definedName>
    <definedName name="trc_Y2DefTax">#REF!</definedName>
    <definedName name="trc_Y2Deposits">#REF!</definedName>
    <definedName name="Trc_Y2DeprecAmort">#REF!</definedName>
    <definedName name="trc_Y2Depreciation">#REF!</definedName>
    <definedName name="Trc_Y2DepreciationFA">#REF!</definedName>
    <definedName name="trc_Y2DevCostsNet">#REF!</definedName>
    <definedName name="trc_Y2DiffRevenues">#REF!</definedName>
    <definedName name="trc_Y2DiscOper">#REF!</definedName>
    <definedName name="Trc_Y2DiscOperNC">#REF!</definedName>
    <definedName name="Trc_Y2Div2Equity">#REF!</definedName>
    <definedName name="trc_Y2Dividend">#REF!</definedName>
    <definedName name="Trc_Y2Dividends">#REF!</definedName>
    <definedName name="Trc_Y2DivOth">#REF!</definedName>
    <definedName name="trc_Y2Domestic">#REF!</definedName>
    <definedName name="trc_Y2DPSGross">#REF!</definedName>
    <definedName name="trc_Y2DPSGrossAdj">#REF!</definedName>
    <definedName name="trc_Y2DPSNet">#REF!</definedName>
    <definedName name="trc_Y2DPSNetAdj">#REF!</definedName>
    <definedName name="trc_Y2DSO">#REF!</definedName>
    <definedName name="trc_Y2EBIT">#REF!</definedName>
    <definedName name="trc_Y2EBITAG">#REF!</definedName>
    <definedName name="trc_Y2EBITDa">#REF!</definedName>
    <definedName name="trc_Y2EBITDAAM">#REF!</definedName>
    <definedName name="trc_Y2EBITDABYYR">#REF!</definedName>
    <definedName name="trc_Y2Employees">#REF!</definedName>
    <definedName name="trc_y2eps_cy">#REF!</definedName>
    <definedName name="trc_Y2EpsAdj">#REF!</definedName>
    <definedName name="trc_Y2EPSDil">#REF!</definedName>
    <definedName name="trc_Y2EPSRep">#REF!</definedName>
    <definedName name="trc_Y2EquityCost">#REF!</definedName>
    <definedName name="trc_Y2EquityExc">#REF!</definedName>
    <definedName name="Trc_Y2EquityTot">#REF!</definedName>
    <definedName name="trc_Y2EVBYEBITDA">#REF!</definedName>
    <definedName name="trc_Y2EVBYREV">#REF!</definedName>
    <definedName name="trc_Y2ExceptItem">#REF!</definedName>
    <definedName name="trc_Y2Exploration">#REF!</definedName>
    <definedName name="trc_Y2ExtraordItem">#REF!</definedName>
    <definedName name="trc_Y2ExtraordOth">#REF!</definedName>
    <definedName name="trc_Y2FeeInc">#REF!</definedName>
    <definedName name="trc_Y2FinanceCharge">#REF!</definedName>
    <definedName name="trc_Y2FinAssOth">#REF!</definedName>
    <definedName name="trc_Y2FinAssTot">#REF!</definedName>
    <definedName name="trc_Y2FinInflowTot">#REF!</definedName>
    <definedName name="trc_Y2FixAssTotNet">#REF!</definedName>
    <definedName name="trc_Y2FixAssUncl">#REF!</definedName>
    <definedName name="Trc_Y2FreeCashFlow">#REF!</definedName>
    <definedName name="trc_Y2FreeFloat">#REF!</definedName>
    <definedName name="trc_Y2FyEndDate">#REF!</definedName>
    <definedName name="trc_Y2GenAdmin">#REF!</definedName>
    <definedName name="trc_Y2GrossProfit">#REF!</definedName>
    <definedName name="trc_Y2HeldAssResale">#REF!</definedName>
    <definedName name="trc_Y2HoldInd">#REF!</definedName>
    <definedName name="Trc_Y2IIRChange">#REF!</definedName>
    <definedName name="Trc_Y2InflowOperCash">#REF!</definedName>
    <definedName name="Trc_Y2InflowOth">#REF!</definedName>
    <definedName name="Trc_Y2InflowOthFI">#REF!</definedName>
    <definedName name="Trc_Y2IntAssChange">#REF!</definedName>
    <definedName name="trc_Y2IntAssOth">#REF!</definedName>
    <definedName name="Trc_Y2IntDivOth">#REF!</definedName>
    <definedName name="trc_Y2InterestExp">#REF!</definedName>
    <definedName name="trc_Y2InterestIncome">#REF!</definedName>
    <definedName name="trc_Y2IntFixAssTotNe">#REF!</definedName>
    <definedName name="trc_Y2InvBanking">#REF!</definedName>
    <definedName name="trc_Y2InvestIncome">#REF!</definedName>
    <definedName name="trc_Y2InvestTotal">#REF!</definedName>
    <definedName name="Trc_Y2InvOthChange">#REF!</definedName>
    <definedName name="trc_Y2LiabTotNet">#REF!</definedName>
    <definedName name="trc_Y2LifeIns">#REF!</definedName>
    <definedName name="Trc_Y2LiqFundMove">#REF!</definedName>
    <definedName name="trc_Y2Loans">#REF!</definedName>
    <definedName name="trc_Y2LoansIG">#REF!</definedName>
    <definedName name="trc_Y2LoansLT">#REF!</definedName>
    <definedName name="trc_Y2LoansST">#REF!</definedName>
    <definedName name="trc_Y2LTDebtors">#REF!</definedName>
    <definedName name="trc_Y2LTLiabOth">#REF!</definedName>
    <definedName name="trc_Y2ManLiqResFin">#REF!</definedName>
    <definedName name="trc_Y2MarketDev">#REF!</definedName>
    <definedName name="trc_Y2MarketEmerg">#REF!</definedName>
    <definedName name="trc_Y2MinorityIntBS">#REF!</definedName>
    <definedName name="trc_Y2MinorityIntPL">#REF!</definedName>
    <definedName name="trc_Y2MisPriceCur">#REF!</definedName>
    <definedName name="trc_Y2NAVPS">#REF!</definedName>
    <definedName name="trc_Y2NetAssets">#REF!</definedName>
    <definedName name="trc_Y2NetDebtBS">#REF!</definedName>
    <definedName name="Trc_Y2NetDebtMove">#REF!</definedName>
    <definedName name="trc_Y2NetFinancial">#REF!</definedName>
    <definedName name="trc_Y2NetGW">#REF!</definedName>
    <definedName name="trc_Y2NetIntInc">#REF!</definedName>
    <definedName name="Trc_Y2NonCashAdjTot">#REF!</definedName>
    <definedName name="Trc_Y2NonCashOth">#REF!</definedName>
    <definedName name="trc_Y2NonLifeIns">#REF!</definedName>
    <definedName name="trc_Y2NormNetPft">#REF!</definedName>
    <definedName name="trc_Y2NormPftAftTax">#REF!</definedName>
    <definedName name="trc_Y2NormTax">#REF!</definedName>
    <definedName name="trc_Y2OperCostOther">#REF!</definedName>
    <definedName name="trc_Y2OperCostXDA">#REF!</definedName>
    <definedName name="trc_Y2OperIncOther">#REF!</definedName>
    <definedName name="trc_Y2OtherAftTax">#REF!</definedName>
    <definedName name="trc_Y2OtherCharges">#REF!</definedName>
    <definedName name="trc_Y2OtherGW">#REF!</definedName>
    <definedName name="trc_Y2OtherIncome">#REF!</definedName>
    <definedName name="trc_Y2OtherInvest">#REF!</definedName>
    <definedName name="trc_Y2OthPretaxAdj">#REF!</definedName>
    <definedName name="trc_Y2OthTax">#REF!</definedName>
    <definedName name="trc_Y2OtTotPreTaxI">#REF!</definedName>
    <definedName name="Trc_Y2PbtAsia">#REF!</definedName>
    <definedName name="Trc_Y2PbtByMarket">#REF!</definedName>
    <definedName name="Trc_Y2PbtEurope">#REF!</definedName>
    <definedName name="Trc_Y2PbtHM">#REF!</definedName>
    <definedName name="Trc_Y2PbtIntraGroup">#REF!</definedName>
    <definedName name="Trc_Y2PbtJapan">#REF!</definedName>
    <definedName name="Trc_Y2PbtMideast">#REF!</definedName>
    <definedName name="Trc_Y2PbtNAM">#REF!</definedName>
    <definedName name="Trc_Y2PbtRestWorld">#REF!</definedName>
    <definedName name="Trc_Y2PbtSoEast">#REF!</definedName>
    <definedName name="trc_Y2PBVFair">#REF!</definedName>
    <definedName name="trc_Y2PensIncom">#REF!</definedName>
    <definedName name="trc_Y2PensProv">#REF!</definedName>
    <definedName name="trc_Y2PPDebtors">#REF!</definedName>
    <definedName name="trc_Y2PrefDiv">#REF!</definedName>
    <definedName name="trc_Y2PreTaxAdj">#REF!</definedName>
    <definedName name="trc_Y2PriceFair">#REF!</definedName>
    <definedName name="trc_Y2ProfitAftTax">#REF!</definedName>
    <definedName name="Trc_Y2ProfitCashFlow">#REF!</definedName>
    <definedName name="trc_Y2ProfitNet">#REF!</definedName>
    <definedName name="trc_Y2ProfitPreTax">#REF!</definedName>
    <definedName name="trc_Y2ProfitRet">#REF!</definedName>
    <definedName name="trc_Y2PropertyNet">#REF!</definedName>
    <definedName name="trc_Y2Provisions">#REF!</definedName>
    <definedName name="trc_Y2ProvisionsST">#REF!</definedName>
    <definedName name="trc_Y2PVdivs">#REF!</definedName>
    <definedName name="trc_Y2PVNAV">#REF!</definedName>
    <definedName name="trc_y2q1s1">#REF!</definedName>
    <definedName name="trc_y2q1s2">#REF!</definedName>
    <definedName name="trc_y2q2s1">#REF!</definedName>
    <definedName name="trc_y2q2s2">#REF!</definedName>
    <definedName name="trc_y2q3s1">#REF!</definedName>
    <definedName name="trc_y2q3s2">#REF!</definedName>
    <definedName name="trc_y2q4s1">#REF!</definedName>
    <definedName name="trc_y2q4s2">#REF!</definedName>
    <definedName name="trc_Y2RD">#REF!</definedName>
    <definedName name="trc_Y2Reinsurance">#REF!</definedName>
    <definedName name="Trc_Y2ReserveEqOth">#REF!</definedName>
    <definedName name="Trc_Y2ReserveGW">#REF!</definedName>
    <definedName name="Trc_Y2ReserveLegal">#REF!</definedName>
    <definedName name="Trc_Y2ReserveMGR">#REF!</definedName>
    <definedName name="trc_Y2Retail">#REF!</definedName>
    <definedName name="trc_Y2Revenue">#REF!</definedName>
    <definedName name="trc_Y2REVENUE_CY">#REF!</definedName>
    <definedName name="trc_Y2ROEAdj">#REF!</definedName>
    <definedName name="trc_Y2ROENormal">#REF!</definedName>
    <definedName name="trc_y2s1total">#REF!</definedName>
    <definedName name="trc_y2s2total">#REF!</definedName>
    <definedName name="trc_Y2SGA">#REF!</definedName>
    <definedName name="Trc_Y2ShareCapital">#REF!</definedName>
    <definedName name="trc_Y2SharesDilYE">#REF!</definedName>
    <definedName name="trc_Y2SharesOrd">#REF!</definedName>
    <definedName name="Trc_Y2SharesOthEq">#REF!</definedName>
    <definedName name="trc_Y2SharesOutBAL">#REF!</definedName>
    <definedName name="trc_Y2SharesOutDIL">#REF!</definedName>
    <definedName name="trc_Y2SharesOutWA">#REF!</definedName>
    <definedName name="Trc_Y2SharesOwn">#REF!</definedName>
    <definedName name="Trc_Y2SharesPref">#REF!</definedName>
    <definedName name="Trc_Y2SharesPremium">#REF!</definedName>
    <definedName name="Trc_Y2SharesTotCap">#REF!</definedName>
    <definedName name="Trc_Y2SlsAsia">#REF!</definedName>
    <definedName name="Trc_Y2SlsByMarket">#REF!</definedName>
    <definedName name="Trc_Y2SlsEurope">#REF!</definedName>
    <definedName name="Trc_Y2SlsHM">#REF!</definedName>
    <definedName name="Trc_Y2SlsIntraGroup">#REF!</definedName>
    <definedName name="Trc_Y2SlsJapan">#REF!</definedName>
    <definedName name="Trc_Y2SlsMideast">#REF!</definedName>
    <definedName name="Trc_Y2SlsNAM">#REF!</definedName>
    <definedName name="Trc_Y2SlsRestWorld">#REF!</definedName>
    <definedName name="Trc_Y2SlsSoEast">#REF!</definedName>
    <definedName name="trc_Y2StaffCost">#REF!</definedName>
    <definedName name="Trc_Y2Stocks">#REF!</definedName>
    <definedName name="Trc_Y2StocksChangeNC">#REF!</definedName>
    <definedName name="trc_Y2Subscribers">#REF!</definedName>
    <definedName name="Trc_Y2TanAssChange">#REF!</definedName>
    <definedName name="trc_Y2TanAssLeased">#REF!</definedName>
    <definedName name="trc_Y2TanFixAssOthGr">#REF!</definedName>
    <definedName name="trc_Y2TanFixAssOthNe">#REF!</definedName>
    <definedName name="trc_Y2TanFixAssTotNe">#REF!</definedName>
    <definedName name="trc_Y2TargetPriceFin">#REF!</definedName>
    <definedName name="trc_Y2TargetRtrn">#REF!</definedName>
    <definedName name="trc_Y2Tax">#REF!</definedName>
    <definedName name="Trc_Y2TaxCL">#REF!</definedName>
    <definedName name="Trc_Y2TaxFD">#REF!</definedName>
    <definedName name="trc_Y2TotAftTaxI">#REF!</definedName>
    <definedName name="trc_Y2TotalAssets">#REF!</definedName>
    <definedName name="trc_Y2TotalBM">#REF!</definedName>
    <definedName name="trc_Y2TotalDeprAM">#REF!</definedName>
    <definedName name="trc_Y2TotalFinExp">#REF!</definedName>
    <definedName name="trc_Y2TotalFinInc">#REF!</definedName>
    <definedName name="trc_Y2TotalGM">#REF!</definedName>
    <definedName name="trc_Y2TotDefLTLiab">#REF!</definedName>
    <definedName name="trc_Y2TotDividends">#REF!</definedName>
    <definedName name="trc_Y2TradeCreditors">#REF!</definedName>
    <definedName name="trc_Y2TradeInv">#REF!</definedName>
    <definedName name="trc_Y2TradingInc">#REF!</definedName>
    <definedName name="Trc_Y2WCAdjOth">#REF!</definedName>
    <definedName name="trc_y2Year">#REF!</definedName>
    <definedName name="trc_Y3Accruals">#REF!</definedName>
    <definedName name="Trc_Y3AcquisDisp">#REF!</definedName>
    <definedName name="trc_Y3AcquisGW">#REF!</definedName>
    <definedName name="trc_Y3AmortGW">#REF!</definedName>
    <definedName name="trc_Y3AmortGWAftTax">#REF!</definedName>
    <definedName name="Trc_Y3AmortGWFA">#REF!</definedName>
    <definedName name="trc_Y3AmortOth">#REF!</definedName>
    <definedName name="trc_Y3AnnounceDate">#REF!</definedName>
    <definedName name="trc_Y3ARPU">#REF!</definedName>
    <definedName name="trc_Y3ASP">#REF!</definedName>
    <definedName name="Trc_Y3AssDisp">#REF!</definedName>
    <definedName name="trc_Y3AssetMngmnt">#REF!</definedName>
    <definedName name="trc_Y3AssocAftTax">#REF!</definedName>
    <definedName name="trc_Y3AssocB4Tax">#REF!</definedName>
    <definedName name="trc_Y3AssocCoCEM">#REF!</definedName>
    <definedName name="Trc_Y3AssOth">#REF!</definedName>
    <definedName name="Trc_Y3AssTotNet">#REF!</definedName>
    <definedName name="trc_Y3BadDebCharge">#REF!</definedName>
    <definedName name="trc_Y3BoANetProfit">#REF!</definedName>
    <definedName name="trc_Y3BoANormEPS">#REF!</definedName>
    <definedName name="trc_Y3BoANormPTP">#REF!</definedName>
    <definedName name="trc_Y3BookValue">#REF!</definedName>
    <definedName name="trc_Y3CapExp">#REF!</definedName>
    <definedName name="trc_Y3CapitalGains">#REF!</definedName>
    <definedName name="Trc_Y3CashB4Finance">#REF!</definedName>
    <definedName name="trc_Y3CashDebtCh">#REF!</definedName>
    <definedName name="trc_Y3CASHEPS_CY">#REF!</definedName>
    <definedName name="trc_Y3CashEqChange">#REF!</definedName>
    <definedName name="trc_Y3CashFlowFDTo">#REF!</definedName>
    <definedName name="trc_Y3CashNear">#REF!</definedName>
    <definedName name="trc_Y3CashPS">#REF!</definedName>
    <definedName name="trc_Y3CogsRep">#REF!</definedName>
    <definedName name="trc_Y3CommitOther">#REF!</definedName>
    <definedName name="trc_Y3CorpsLarge">#REF!</definedName>
    <definedName name="Trc_Y3CreditorChange">#REF!</definedName>
    <definedName name="Trc_Y3CurrAssNet">#REF!</definedName>
    <definedName name="trc_Y3CurrAssOth">#REF!</definedName>
    <definedName name="trc_Y3CurrAssTot">#REF!</definedName>
    <definedName name="trc_Y3CurrInvest">#REF!</definedName>
    <definedName name="Trc_Y3CurrLiabOth">#REF!</definedName>
    <definedName name="Trc_Y3CurrLiabTot">#REF!</definedName>
    <definedName name="trc_Y3CurrTax">#REF!</definedName>
    <definedName name="Trc_Y3Debt">#REF!</definedName>
    <definedName name="Trc_Y3DebtAdjCflow">#REF!</definedName>
    <definedName name="Trc_Y3DebtorsChange">#REF!</definedName>
    <definedName name="trc_Y3DebtOth">#REF!</definedName>
    <definedName name="trc_Y3DebtTot">#REF!</definedName>
    <definedName name="trc_Y3DefLiabOth">#REF!</definedName>
    <definedName name="trc_Y3DefTax">#REF!</definedName>
    <definedName name="trc_Y3Deposits">#REF!</definedName>
    <definedName name="Trc_Y3DeprecAmort">#REF!</definedName>
    <definedName name="trc_Y3Depreciation">#REF!</definedName>
    <definedName name="Trc_Y3DepreciationFA">#REF!</definedName>
    <definedName name="trc_Y3DevCostsNet">#REF!</definedName>
    <definedName name="trc_Y3DiffRevenues">#REF!</definedName>
    <definedName name="trc_Y3DiscOper">#REF!</definedName>
    <definedName name="Trc_Y3DiscOperNC">#REF!</definedName>
    <definedName name="Trc_Y3Div2Equity">#REF!</definedName>
    <definedName name="trc_Y3Dividend">#REF!</definedName>
    <definedName name="Trc_Y3Dividends">#REF!</definedName>
    <definedName name="Trc_Y3DivOth">#REF!</definedName>
    <definedName name="trc_Y3Domestic">#REF!</definedName>
    <definedName name="trc_Y3DPSGross">#REF!</definedName>
    <definedName name="trc_Y3DPSGrossAdj">#REF!</definedName>
    <definedName name="trc_Y3DPSNet">#REF!</definedName>
    <definedName name="trc_Y3DPSNetAdj">#REF!</definedName>
    <definedName name="trc_Y3DSO">#REF!</definedName>
    <definedName name="trc_Y3EBIT">#REF!</definedName>
    <definedName name="trc_Y3EBITAG">#REF!</definedName>
    <definedName name="trc_Y3EBITDa">#REF!</definedName>
    <definedName name="trc_Y3EBITDAAM">#REF!</definedName>
    <definedName name="trc_Y3EBITDABYYR">#REF!</definedName>
    <definedName name="trc_Y3Employees">#REF!</definedName>
    <definedName name="trc_y3eps_cy">#REF!</definedName>
    <definedName name="trc_Y3EpsAdj">#REF!</definedName>
    <definedName name="trc_Y3EPSDil">#REF!</definedName>
    <definedName name="trc_Y3EPSRep">#REF!</definedName>
    <definedName name="trc_Y3EquityCost">#REF!</definedName>
    <definedName name="trc_Y3EquityExc">#REF!</definedName>
    <definedName name="Trc_Y3EquityTot">#REF!</definedName>
    <definedName name="trc_Y3EVBYEBITDA">#REF!</definedName>
    <definedName name="trc_Y3EVBYREV">#REF!</definedName>
    <definedName name="trc_Y3ExceptItem">#REF!</definedName>
    <definedName name="trc_Y3Exploration">#REF!</definedName>
    <definedName name="trc_Y3ExtraordItem">#REF!</definedName>
    <definedName name="trc_Y3ExtraordOth">#REF!</definedName>
    <definedName name="trc_Y3FeeInc">#REF!</definedName>
    <definedName name="trc_Y3FinanceCharge">#REF!</definedName>
    <definedName name="trc_Y3FinAssOth">#REF!</definedName>
    <definedName name="trc_Y3FinAssTot">#REF!</definedName>
    <definedName name="trc_Y3FinInflowTot">#REF!</definedName>
    <definedName name="trc_Y3FixAssTotNet">#REF!</definedName>
    <definedName name="trc_Y3FixAssUncl">#REF!</definedName>
    <definedName name="Trc_Y3FreeCashFlow">#REF!</definedName>
    <definedName name="trc_Y3FreeFloat">#REF!</definedName>
    <definedName name="trc_Y3FyEndDate">#REF!</definedName>
    <definedName name="trc_Y3GenAdmin">#REF!</definedName>
    <definedName name="trc_Y3GrossProfit">#REF!</definedName>
    <definedName name="trc_Y3HeldAssResale">#REF!</definedName>
    <definedName name="trc_Y3HoldInd">#REF!</definedName>
    <definedName name="Trc_Y3IIRChange">#REF!</definedName>
    <definedName name="Trc_Y3InflowOperCash">#REF!</definedName>
    <definedName name="Trc_Y3InflowOth">#REF!</definedName>
    <definedName name="Trc_Y3InflowOthFI">#REF!</definedName>
    <definedName name="Trc_Y3IntAssChange">#REF!</definedName>
    <definedName name="trc_Y3IntAssOth">#REF!</definedName>
    <definedName name="Trc_Y3IntDivOth">#REF!</definedName>
    <definedName name="trc_Y3InterestExp">#REF!</definedName>
    <definedName name="trc_Y3InterestIncome">#REF!</definedName>
    <definedName name="trc_Y3IntFixAssTotNe">#REF!</definedName>
    <definedName name="trc_Y3InvBanking">#REF!</definedName>
    <definedName name="trc_Y3InvestIncome">#REF!</definedName>
    <definedName name="trc_Y3InvestTotal">#REF!</definedName>
    <definedName name="Trc_Y3InvOthChange">#REF!</definedName>
    <definedName name="trc_Y3LiabTotNet">#REF!</definedName>
    <definedName name="trc_Y3LifeIns">#REF!</definedName>
    <definedName name="Trc_Y3LiqFundMove">#REF!</definedName>
    <definedName name="trc_Y3Loans">#REF!</definedName>
    <definedName name="trc_Y3LoansIG">#REF!</definedName>
    <definedName name="trc_Y3LoansLT">#REF!</definedName>
    <definedName name="trc_Y3LoansST">#REF!</definedName>
    <definedName name="trc_Y3LTDebtors">#REF!</definedName>
    <definedName name="trc_Y3LTLiabOth">#REF!</definedName>
    <definedName name="trc_Y3ManLiqResFin">#REF!</definedName>
    <definedName name="trc_Y3MarketDev">#REF!</definedName>
    <definedName name="trc_Y3MarketEmerg">#REF!</definedName>
    <definedName name="trc_Y3MinorityIntBS">#REF!</definedName>
    <definedName name="trc_Y3MinorityIntPL">#REF!</definedName>
    <definedName name="trc_Y3MisPriceCur">#REF!</definedName>
    <definedName name="trc_Y3NAVPS">#REF!</definedName>
    <definedName name="trc_Y3NetAssets">#REF!</definedName>
    <definedName name="trc_Y3NetDebtBS">#REF!</definedName>
    <definedName name="Trc_Y3NetDebtMove">#REF!</definedName>
    <definedName name="trc_Y3NetFinancial">#REF!</definedName>
    <definedName name="trc_Y3NetGW">#REF!</definedName>
    <definedName name="trc_Y3NetIntInc">#REF!</definedName>
    <definedName name="Trc_Y3NonCashAdjTot">#REF!</definedName>
    <definedName name="Trc_Y3NonCashOth">#REF!</definedName>
    <definedName name="trc_Y3NonLifeIns">#REF!</definedName>
    <definedName name="trc_Y3NormNetPft">#REF!</definedName>
    <definedName name="trc_Y3NormPftAftTax">#REF!</definedName>
    <definedName name="trc_Y3NormTax">#REF!</definedName>
    <definedName name="trc_Y3OperCostOther">#REF!</definedName>
    <definedName name="trc_Y3OperCostXDA">#REF!</definedName>
    <definedName name="trc_Y3OperIncOther">#REF!</definedName>
    <definedName name="trc_Y3OtherAftTax">#REF!</definedName>
    <definedName name="trc_Y3OtherCharges">#REF!</definedName>
    <definedName name="trc_Y3OtherGW">#REF!</definedName>
    <definedName name="trc_Y3OtherIncome">#REF!</definedName>
    <definedName name="trc_Y3OtherInvest">#REF!</definedName>
    <definedName name="trc_Y3OthPretaxAdj">#REF!</definedName>
    <definedName name="trc_Y3OthTax">#REF!</definedName>
    <definedName name="trc_Y3OtTotPreTaxI">#REF!</definedName>
    <definedName name="Trc_Y3PbtAsia">#REF!</definedName>
    <definedName name="Trc_Y3PbtByMarket">#REF!</definedName>
    <definedName name="Trc_Y3PbtEurope">#REF!</definedName>
    <definedName name="Trc_Y3PbtHM">#REF!</definedName>
    <definedName name="Trc_Y3PbtIntraGroup">#REF!</definedName>
    <definedName name="Trc_Y3PbtJapan">#REF!</definedName>
    <definedName name="Trc_Y3PbtMideast">#REF!</definedName>
    <definedName name="Trc_Y3PbtNAM">#REF!</definedName>
    <definedName name="Trc_Y3PbtRestWorld">#REF!</definedName>
    <definedName name="Trc_Y3PbtSoEast">#REF!</definedName>
    <definedName name="trc_Y3PBVFair">#REF!</definedName>
    <definedName name="trc_Y3PensIncom">#REF!</definedName>
    <definedName name="trc_Y3PensProv">#REF!</definedName>
    <definedName name="trc_Y3PPDebtors">#REF!</definedName>
    <definedName name="trc_Y3PrefDiv">#REF!</definedName>
    <definedName name="trc_Y3PreTaxAdj">#REF!</definedName>
    <definedName name="trc_Y3PriceFair">#REF!</definedName>
    <definedName name="trc_Y3ProfitAftTax">#REF!</definedName>
    <definedName name="Trc_Y3ProfitCashFlow">#REF!</definedName>
    <definedName name="trc_Y3ProfitNet">#REF!</definedName>
    <definedName name="trc_Y3ProfitPreTax">#REF!</definedName>
    <definedName name="trc_Y3ProfitRet">#REF!</definedName>
    <definedName name="trc_Y3PropertyNet">#REF!</definedName>
    <definedName name="trc_Y3Provisions">#REF!</definedName>
    <definedName name="trc_Y3ProvisionsST">#REF!</definedName>
    <definedName name="trc_Y3PVdivs">#REF!</definedName>
    <definedName name="trc_Y3PVNAV">#REF!</definedName>
    <definedName name="trc_y3q1s1">#REF!</definedName>
    <definedName name="trc_y3q1s2">#REF!</definedName>
    <definedName name="trc_y3q2s1">#REF!</definedName>
    <definedName name="trc_y3q2s2">#REF!</definedName>
    <definedName name="trc_y3q3s1">#REF!</definedName>
    <definedName name="trc_y3q3s2">#REF!</definedName>
    <definedName name="trc_y3q4s1">#REF!</definedName>
    <definedName name="trc_y3q4s2">#REF!</definedName>
    <definedName name="trc_Y3RD">#REF!</definedName>
    <definedName name="trc_Y3Reinsurance">#REF!</definedName>
    <definedName name="Trc_Y3ReserveEqOth">#REF!</definedName>
    <definedName name="Trc_Y3ReserveGW">#REF!</definedName>
    <definedName name="Trc_Y3ReserveLegal">#REF!</definedName>
    <definedName name="Trc_Y3ReserveMGR">#REF!</definedName>
    <definedName name="trc_Y3Retail">#REF!</definedName>
    <definedName name="trc_Y3Revenue">#REF!</definedName>
    <definedName name="trc_Y3REVENUE_CY">#REF!</definedName>
    <definedName name="trc_Y3ROEAdj">#REF!</definedName>
    <definedName name="trc_Y3ROENormal">#REF!</definedName>
    <definedName name="trc_y3s1total">#REF!</definedName>
    <definedName name="trc_y3s2total">#REF!</definedName>
    <definedName name="trc_Y3SGA">#REF!</definedName>
    <definedName name="Trc_Y3ShareCapital">#REF!</definedName>
    <definedName name="trc_Y3SharesDilYE">#REF!</definedName>
    <definedName name="trc_Y3SharesOrd">#REF!</definedName>
    <definedName name="Trc_Y3SharesOthEq">#REF!</definedName>
    <definedName name="trc_Y3SharesOutBAL">#REF!</definedName>
    <definedName name="trc_Y3SharesOutDIL">#REF!</definedName>
    <definedName name="trc_Y3SharesOutWA">#REF!</definedName>
    <definedName name="Trc_Y3SharesOwn">#REF!</definedName>
    <definedName name="Trc_Y3SharesPref">#REF!</definedName>
    <definedName name="Trc_Y3SharesPremium">#REF!</definedName>
    <definedName name="Trc_Y3SharesTotCap">#REF!</definedName>
    <definedName name="Trc_Y3SlsAsia">#REF!</definedName>
    <definedName name="Trc_Y3SlsByMarket">#REF!</definedName>
    <definedName name="Trc_Y3SlsEurope">#REF!</definedName>
    <definedName name="Trc_Y3SlsHM">#REF!</definedName>
    <definedName name="Trc_Y3SlsIntraGroup">#REF!</definedName>
    <definedName name="Trc_Y3SlsJapan">#REF!</definedName>
    <definedName name="Trc_Y3SlsMideast">#REF!</definedName>
    <definedName name="Trc_Y3SlsNAM">#REF!</definedName>
    <definedName name="Trc_Y3SlsRestWorld">#REF!</definedName>
    <definedName name="Trc_Y3SlsSoEast">#REF!</definedName>
    <definedName name="trc_Y3StaffCost">#REF!</definedName>
    <definedName name="Trc_Y3Stocks">#REF!</definedName>
    <definedName name="Trc_Y3StocksChangeNC">#REF!</definedName>
    <definedName name="trc_Y3Subscribers">#REF!</definedName>
    <definedName name="Trc_Y3TanAssChange">#REF!</definedName>
    <definedName name="trc_Y3TanAssLeased">#REF!</definedName>
    <definedName name="trc_Y3TanFixAssOthGr">#REF!</definedName>
    <definedName name="trc_Y3TanFixAssOthNe">#REF!</definedName>
    <definedName name="trc_Y3TanFixAssTotNe">#REF!</definedName>
    <definedName name="trc_Y3TargetPriceFin">#REF!</definedName>
    <definedName name="trc_Y3TargetRtrn">#REF!</definedName>
    <definedName name="trc_Y3Tax">#REF!</definedName>
    <definedName name="Trc_Y3TaxCL">#REF!</definedName>
    <definedName name="Trc_Y3TaxFD">#REF!</definedName>
    <definedName name="trc_Y3TotAftTaxI">#REF!</definedName>
    <definedName name="trc_Y3TotalAssets">#REF!</definedName>
    <definedName name="trc_Y3TotalBM">#REF!</definedName>
    <definedName name="trc_Y3TotalDeprAM">#REF!</definedName>
    <definedName name="trc_Y3TotalFinExp">#REF!</definedName>
    <definedName name="trc_Y3TotalFinInc">#REF!</definedName>
    <definedName name="trc_Y3TotalGM">#REF!</definedName>
    <definedName name="trc_Y3TotDefLTLiab">#REF!</definedName>
    <definedName name="trc_Y3TotDividends">#REF!</definedName>
    <definedName name="trc_Y3TradeCreditors">#REF!</definedName>
    <definedName name="trc_Y3TradeInv">#REF!</definedName>
    <definedName name="trc_Y3TradingInc">#REF!</definedName>
    <definedName name="Trc_Y3WCAdjOth">#REF!</definedName>
    <definedName name="trc_y3Year">#REF!</definedName>
    <definedName name="trc_Y4Accruals">#REF!</definedName>
    <definedName name="Trc_Y4AcquisDisp">#REF!</definedName>
    <definedName name="trc_Y4AcquisGW">#REF!</definedName>
    <definedName name="trc_Y4AmortGW">#REF!</definedName>
    <definedName name="trc_Y4AmortGWAftTax">#REF!</definedName>
    <definedName name="Trc_Y4AmortGWFA">#REF!</definedName>
    <definedName name="trc_Y4AmortOth">#REF!</definedName>
    <definedName name="trc_Y4AnnounceDate">#REF!</definedName>
    <definedName name="trc_Y4ARPU">#REF!</definedName>
    <definedName name="trc_Y4ASP">#REF!</definedName>
    <definedName name="Trc_Y4AssDisp">#REF!</definedName>
    <definedName name="trc_Y4AssetMngmnt">#REF!</definedName>
    <definedName name="trc_Y4AssocAftTax">#REF!</definedName>
    <definedName name="trc_Y4AssocB4Tax">#REF!</definedName>
    <definedName name="trc_Y4AssocCoCEM">#REF!</definedName>
    <definedName name="Trc_Y4AssOth">#REF!</definedName>
    <definedName name="Trc_Y4AssTotNet">#REF!</definedName>
    <definedName name="trc_Y4BadDebCharge">#REF!</definedName>
    <definedName name="trc_Y4BoANetProfit">#REF!</definedName>
    <definedName name="trc_Y4BoANormEPS">#REF!</definedName>
    <definedName name="trc_Y4BoANormPTP">#REF!</definedName>
    <definedName name="trc_Y4BookValue">#REF!</definedName>
    <definedName name="trc_Y4CapExp">#REF!</definedName>
    <definedName name="trc_Y4CapitalGains">#REF!</definedName>
    <definedName name="Trc_Y4CashB4Finance">#REF!</definedName>
    <definedName name="trc_Y4CashDebtCh">#REF!</definedName>
    <definedName name="trc_Y4CashEqChange">#REF!</definedName>
    <definedName name="trc_Y4CashFlowFDTo">#REF!</definedName>
    <definedName name="trc_Y4CashNear">#REF!</definedName>
    <definedName name="trc_Y4CashPS">#REF!</definedName>
    <definedName name="trc_Y4CogsRep">#REF!</definedName>
    <definedName name="trc_Y4CommitOther">#REF!</definedName>
    <definedName name="trc_Y4CorpsLarge">#REF!</definedName>
    <definedName name="Trc_Y4CreditorChange">#REF!</definedName>
    <definedName name="Trc_Y4CurrAssNet">#REF!</definedName>
    <definedName name="trc_Y4CurrAssOth">#REF!</definedName>
    <definedName name="trc_Y4CurrAssTot">#REF!</definedName>
    <definedName name="trc_Y4CurrInvest">#REF!</definedName>
    <definedName name="Trc_Y4CurrLiabOth">#REF!</definedName>
    <definedName name="Trc_Y4CurrLiabTot">#REF!</definedName>
    <definedName name="trc_Y4CurrTax">#REF!</definedName>
    <definedName name="Trc_Y4Debt">#REF!</definedName>
    <definedName name="Trc_Y4DebtAdjCflow">#REF!</definedName>
    <definedName name="Trc_Y4DebtorsChange">#REF!</definedName>
    <definedName name="trc_Y4DebtOth">#REF!</definedName>
    <definedName name="trc_Y4DebtTot">#REF!</definedName>
    <definedName name="trc_Y4DefLiabOth">#REF!</definedName>
    <definedName name="trc_Y4DefTax">#REF!</definedName>
    <definedName name="trc_Y4Deposits">#REF!</definedName>
    <definedName name="Trc_Y4DeprecAmort">#REF!</definedName>
    <definedName name="trc_Y4Depreciation">#REF!</definedName>
    <definedName name="Trc_Y4DepreciationFA">#REF!</definedName>
    <definedName name="trc_Y4DevCostsNet">#REF!</definedName>
    <definedName name="trc_Y4DiffRevenues">#REF!</definedName>
    <definedName name="trc_Y4DiscOper">#REF!</definedName>
    <definedName name="Trc_Y4DiscOperNC">#REF!</definedName>
    <definedName name="Trc_Y4Div2Equity">#REF!</definedName>
    <definedName name="trc_Y4Dividend">#REF!</definedName>
    <definedName name="Trc_Y4Dividends">#REF!</definedName>
    <definedName name="Trc_Y4DivOth">#REF!</definedName>
    <definedName name="trc_Y4Domestic">#REF!</definedName>
    <definedName name="trc_Y4DPSGross">#REF!</definedName>
    <definedName name="trc_Y4DPSGrossAdj">#REF!</definedName>
    <definedName name="trc_Y4DPSNet">#REF!</definedName>
    <definedName name="trc_Y4DPSNetAdj">#REF!</definedName>
    <definedName name="trc_Y4DSO">#REF!</definedName>
    <definedName name="trc_Y4EBIT">#REF!</definedName>
    <definedName name="trc_Y4EBITAG">#REF!</definedName>
    <definedName name="trc_Y4EBITDa">#REF!</definedName>
    <definedName name="trc_Y4EBITDAAM">#REF!</definedName>
    <definedName name="trc_Y4Employees">#REF!</definedName>
    <definedName name="trc_Y4EpsAdj">#REF!</definedName>
    <definedName name="trc_Y4EPSDil">#REF!</definedName>
    <definedName name="trc_Y4EPSRep">#REF!</definedName>
    <definedName name="trc_Y4EquityCost">#REF!</definedName>
    <definedName name="trc_Y4EquityExc">#REF!</definedName>
    <definedName name="Trc_Y4EquityTot">#REF!</definedName>
    <definedName name="trc_Y4ExceptItem">#REF!</definedName>
    <definedName name="trc_Y4Exploration">#REF!</definedName>
    <definedName name="trc_Y4ExtraordItem">#REF!</definedName>
    <definedName name="trc_Y4ExtraordOth">#REF!</definedName>
    <definedName name="trc_Y4FeeInc">#REF!</definedName>
    <definedName name="trc_Y4FinanceCharge">#REF!</definedName>
    <definedName name="trc_Y4FinAssOth">#REF!</definedName>
    <definedName name="trc_Y4FinAssTot">#REF!</definedName>
    <definedName name="trc_Y4FinInflowTot">#REF!</definedName>
    <definedName name="trc_Y4FixAssTotNet">#REF!</definedName>
    <definedName name="trc_Y4FixAssUncl">#REF!</definedName>
    <definedName name="Trc_Y4FreeCashFlow">#REF!</definedName>
    <definedName name="trc_Y4FreeFloat">#REF!</definedName>
    <definedName name="trc_Y4FyEndDate">#REF!</definedName>
    <definedName name="trc_Y4GenAdmin">#REF!</definedName>
    <definedName name="trc_Y4GrossProfit">#REF!</definedName>
    <definedName name="trc_Y4HeldAssResale">#REF!</definedName>
    <definedName name="trc_Y4HoldInd">#REF!</definedName>
    <definedName name="Trc_Y4IIRChange">#REF!</definedName>
    <definedName name="Trc_Y4InflowOperCash">#REF!</definedName>
    <definedName name="Trc_Y4InflowOth">#REF!</definedName>
    <definedName name="Trc_Y4InflowOthFI">#REF!</definedName>
    <definedName name="Trc_Y4IntAssChange">#REF!</definedName>
    <definedName name="trc_Y4IntAssOth">#REF!</definedName>
    <definedName name="Trc_Y4IntDivOth">#REF!</definedName>
    <definedName name="trc_Y4InterestExp">#REF!</definedName>
    <definedName name="trc_Y4InterestIncome">#REF!</definedName>
    <definedName name="trc_Y4IntFixAssTotNe">#REF!</definedName>
    <definedName name="trc_Y4InvBanking">#REF!</definedName>
    <definedName name="trc_Y4InvestIncome">#REF!</definedName>
    <definedName name="trc_Y4InvestTotal">#REF!</definedName>
    <definedName name="Trc_Y4InvOthChange">#REF!</definedName>
    <definedName name="trc_Y4LiabTotNet">#REF!</definedName>
    <definedName name="trc_Y4LifeIns">#REF!</definedName>
    <definedName name="Trc_Y4LiqFundMove">#REF!</definedName>
    <definedName name="trc_Y4Loans">#REF!</definedName>
    <definedName name="trc_Y4LoansIG">#REF!</definedName>
    <definedName name="trc_Y4LoansLT">#REF!</definedName>
    <definedName name="trc_Y4LoansST">#REF!</definedName>
    <definedName name="trc_Y4LTDebtors">#REF!</definedName>
    <definedName name="trc_Y4LTLiabOth">#REF!</definedName>
    <definedName name="trc_Y4ManLiqResFin">#REF!</definedName>
    <definedName name="trc_Y4MarketDev">#REF!</definedName>
    <definedName name="trc_Y4MarketEmerg">#REF!</definedName>
    <definedName name="trc_Y4MinorityIntBS">#REF!</definedName>
    <definedName name="trc_Y4MinorityIntPL">#REF!</definedName>
    <definedName name="trc_Y4MisPriceCur">#REF!</definedName>
    <definedName name="trc_Y4NAVPS">#REF!</definedName>
    <definedName name="trc_Y4NetAssets">#REF!</definedName>
    <definedName name="trc_Y4NetDebtBS">#REF!</definedName>
    <definedName name="Trc_Y4NetDebtMove">#REF!</definedName>
    <definedName name="trc_Y4NetFinancial">#REF!</definedName>
    <definedName name="trc_Y4NetGW">#REF!</definedName>
    <definedName name="trc_Y4NetIntInc">#REF!</definedName>
    <definedName name="Trc_Y4NonCashAdjTot">#REF!</definedName>
    <definedName name="Trc_Y4NonCashOth">#REF!</definedName>
    <definedName name="trc_Y4NonLifeIns">#REF!</definedName>
    <definedName name="trc_Y4NormNetPft">#REF!</definedName>
    <definedName name="trc_Y4NormPftAftTax">#REF!</definedName>
    <definedName name="trc_Y4NormTax">#REF!</definedName>
    <definedName name="trc_Y4OperCostOther">#REF!</definedName>
    <definedName name="trc_Y4OperCostXDA">#REF!</definedName>
    <definedName name="trc_Y4OperIncOther">#REF!</definedName>
    <definedName name="trc_Y4OtherAftTax">#REF!</definedName>
    <definedName name="trc_Y4OtherCharges">#REF!</definedName>
    <definedName name="trc_Y4OtherGW">#REF!</definedName>
    <definedName name="trc_Y4OtherIncome">#REF!</definedName>
    <definedName name="trc_Y4OtherInvest">#REF!</definedName>
    <definedName name="trc_Y4OthPretaxAdj">#REF!</definedName>
    <definedName name="trc_Y4OthTax">#REF!</definedName>
    <definedName name="trc_Y4OtTotPreTaxI">#REF!</definedName>
    <definedName name="Trc_Y4PbtAsia">#REF!</definedName>
    <definedName name="Trc_Y4PbtByMarket">#REF!</definedName>
    <definedName name="Trc_Y4PbtEurope">#REF!</definedName>
    <definedName name="Trc_Y4PbtHM">#REF!</definedName>
    <definedName name="Trc_Y4PbtIntraGroup">#REF!</definedName>
    <definedName name="Trc_Y4PbtJapan">#REF!</definedName>
    <definedName name="Trc_Y4PbtMideast">#REF!</definedName>
    <definedName name="Trc_Y4PbtNAM">#REF!</definedName>
    <definedName name="Trc_Y4PbtRestWorld">#REF!</definedName>
    <definedName name="Trc_Y4PbtSoEast">#REF!</definedName>
    <definedName name="trc_Y4PBVFair">#REF!</definedName>
    <definedName name="trc_Y4PensIncom">#REF!</definedName>
    <definedName name="trc_Y4PensProv">#REF!</definedName>
    <definedName name="trc_Y4PPDebtors">#REF!</definedName>
    <definedName name="trc_Y4PrefDiv">#REF!</definedName>
    <definedName name="trc_Y4PreTaxAdj">#REF!</definedName>
    <definedName name="trc_Y4PriceFair">#REF!</definedName>
    <definedName name="trc_Y4ProfitAftTax">#REF!</definedName>
    <definedName name="Trc_Y4ProfitCashFlow">#REF!</definedName>
    <definedName name="trc_Y4ProfitNet">#REF!</definedName>
    <definedName name="trc_Y4ProfitPreTax">#REF!</definedName>
    <definedName name="trc_Y4ProfitRet">#REF!</definedName>
    <definedName name="trc_Y4PropertyNet">#REF!</definedName>
    <definedName name="trc_Y4Provisions">#REF!</definedName>
    <definedName name="trc_Y4ProvisionsST">#REF!</definedName>
    <definedName name="trc_Y4PVdivs">#REF!</definedName>
    <definedName name="trc_Y4PVNAV">#REF!</definedName>
    <definedName name="trc_Y4RD">#REF!</definedName>
    <definedName name="trc_Y4Reinsurance">#REF!</definedName>
    <definedName name="Trc_Y4ReserveEqOth">#REF!</definedName>
    <definedName name="Trc_Y4ReserveGW">#REF!</definedName>
    <definedName name="Trc_Y4ReserveLegal">#REF!</definedName>
    <definedName name="Trc_Y4ReserveMGR">#REF!</definedName>
    <definedName name="trc_Y4Retail">#REF!</definedName>
    <definedName name="trc_Y4Revenue">#REF!</definedName>
    <definedName name="trc_Y4ROEAdj">#REF!</definedName>
    <definedName name="trc_Y4ROENormal">#REF!</definedName>
    <definedName name="trc_Y4SGA">#REF!</definedName>
    <definedName name="Trc_Y4ShareCapital">#REF!</definedName>
    <definedName name="trc_Y4SharesDilYE">#REF!</definedName>
    <definedName name="trc_Y4SharesOrd">#REF!</definedName>
    <definedName name="Trc_Y4SharesOthEq">#REF!</definedName>
    <definedName name="trc_Y4SharesOutBAL">#REF!</definedName>
    <definedName name="trc_Y4SharesOutDIL">#REF!</definedName>
    <definedName name="trc_Y4SharesOutWA">#REF!</definedName>
    <definedName name="Trc_Y4SharesOwn">#REF!</definedName>
    <definedName name="Trc_Y4SharesPref">#REF!</definedName>
    <definedName name="Trc_Y4SharesPremium">#REF!</definedName>
    <definedName name="Trc_Y4SharesTotCap">#REF!</definedName>
    <definedName name="Trc_Y4SlsAsia">#REF!</definedName>
    <definedName name="Trc_Y4SlsByMarket">#REF!</definedName>
    <definedName name="Trc_Y4SlsEurope">#REF!</definedName>
    <definedName name="Trc_Y4SlsHM">#REF!</definedName>
    <definedName name="Trc_Y4SlsIntraGroup">#REF!</definedName>
    <definedName name="Trc_Y4SlsJapan">#REF!</definedName>
    <definedName name="Trc_Y4SlsMideast">#REF!</definedName>
    <definedName name="Trc_Y4SlsNAM">#REF!</definedName>
    <definedName name="Trc_Y4SlsRestWorld">#REF!</definedName>
    <definedName name="Trc_Y4SlsSoEast">#REF!</definedName>
    <definedName name="trc_Y4StaffCost">#REF!</definedName>
    <definedName name="Trc_Y4Stocks">#REF!</definedName>
    <definedName name="Trc_Y4StocksChangeNC">#REF!</definedName>
    <definedName name="trc_Y4Subscribers">#REF!</definedName>
    <definedName name="Trc_Y4TanAssChange">#REF!</definedName>
    <definedName name="trc_Y4TanAssLeased">#REF!</definedName>
    <definedName name="trc_Y4TanFixAssOthGr">#REF!</definedName>
    <definedName name="trc_Y4TanFixAssOthNe">#REF!</definedName>
    <definedName name="trc_Y4TanFixAssTotNe">#REF!</definedName>
    <definedName name="trc_Y4TargetPriceFin">#REF!</definedName>
    <definedName name="trc_Y4TargetRtrn">#REF!</definedName>
    <definedName name="trc_Y4Tax">#REF!</definedName>
    <definedName name="Trc_Y4TaxCL">#REF!</definedName>
    <definedName name="Trc_Y4TaxFD">#REF!</definedName>
    <definedName name="trc_Y4TotAftTaxI">#REF!</definedName>
    <definedName name="trc_Y4TotalAssets">#REF!</definedName>
    <definedName name="trc_Y4TotalBM">#REF!</definedName>
    <definedName name="trc_Y4TotalDeprAM">#REF!</definedName>
    <definedName name="trc_Y4TotalFinExp">#REF!</definedName>
    <definedName name="trc_Y4TotalFinInc">#REF!</definedName>
    <definedName name="trc_Y4TotalGM">#REF!</definedName>
    <definedName name="trc_Y4TotDefLTLiab">#REF!</definedName>
    <definedName name="trc_Y4TotDividends">#REF!</definedName>
    <definedName name="trc_Y4TradeCreditors">#REF!</definedName>
    <definedName name="trc_Y4TradeInv">#REF!</definedName>
    <definedName name="trc_Y4TradingInc">#REF!</definedName>
    <definedName name="Trc_Y4WCAdjOth">#REF!</definedName>
    <definedName name="trc_y4Year">#REF!</definedName>
    <definedName name="trc_Y5Accruals">#REF!</definedName>
    <definedName name="Trc_Y5AcquisDisp">#REF!</definedName>
    <definedName name="trc_Y5AcquisGW">#REF!</definedName>
    <definedName name="trc_Y5AmortGW">#REF!</definedName>
    <definedName name="trc_Y5AmortGWAftTax">#REF!</definedName>
    <definedName name="Trc_Y5AmortGWFA">#REF!</definedName>
    <definedName name="trc_Y5AmortOth">#REF!</definedName>
    <definedName name="trc_Y5AnnounceDate">#REF!</definedName>
    <definedName name="trc_Y5ARPU">#REF!</definedName>
    <definedName name="trc_Y5ASP">#REF!</definedName>
    <definedName name="Trc_Y5AssDisp">#REF!</definedName>
    <definedName name="trc_Y5AssetMngmnt">#REF!</definedName>
    <definedName name="trc_Y5AssocAftTax">#REF!</definedName>
    <definedName name="trc_Y5AssocB4Tax">#REF!</definedName>
    <definedName name="trc_Y5AssocCoCEM">#REF!</definedName>
    <definedName name="Trc_Y5AssOth">#REF!</definedName>
    <definedName name="Trc_Y5AssTotNet">#REF!</definedName>
    <definedName name="trc_Y5BadDebCharge">#REF!</definedName>
    <definedName name="trc_Y5BoANetProfit">#REF!</definedName>
    <definedName name="trc_Y5BoANormEPS">#REF!</definedName>
    <definedName name="trc_Y5BoANormPTP">#REF!</definedName>
    <definedName name="trc_Y5BookValue">#REF!</definedName>
    <definedName name="trc_Y5CapExp">#REF!</definedName>
    <definedName name="trc_Y5CapitalGains">#REF!</definedName>
    <definedName name="Trc_Y5CashB4Finance">#REF!</definedName>
    <definedName name="trc_Y5CashDebtCh">#REF!</definedName>
    <definedName name="trc_Y5CashEqChange">#REF!</definedName>
    <definedName name="trc_Y5CashFlowFDTo">#REF!</definedName>
    <definedName name="trc_Y5CashNear">#REF!</definedName>
    <definedName name="trc_Y5CashPS">#REF!</definedName>
    <definedName name="trc_Y5CogsRep">#REF!</definedName>
    <definedName name="trc_Y5CommitOther">#REF!</definedName>
    <definedName name="trc_Y5CorpsLarge">#REF!</definedName>
    <definedName name="Trc_Y5CreditorChange">#REF!</definedName>
    <definedName name="Trc_Y5CurrAssNet">#REF!</definedName>
    <definedName name="trc_Y5CurrAssOth">#REF!</definedName>
    <definedName name="trc_Y5CurrAssTot">#REF!</definedName>
    <definedName name="trc_Y5CurrInvest">#REF!</definedName>
    <definedName name="Trc_Y5CurrLiabOth">#REF!</definedName>
    <definedName name="Trc_Y5CurrLiabTot">#REF!</definedName>
    <definedName name="trc_Y5CurrTax">#REF!</definedName>
    <definedName name="Trc_Y5Debt">#REF!</definedName>
    <definedName name="Trc_Y5DebtAdjCflow">#REF!</definedName>
    <definedName name="Trc_Y5DebtorsChange">#REF!</definedName>
    <definedName name="trc_Y5DebtOth">#REF!</definedName>
    <definedName name="trc_Y5DebtTot">#REF!</definedName>
    <definedName name="trc_Y5DefLiabOth">#REF!</definedName>
    <definedName name="trc_Y5DefTax">#REF!</definedName>
    <definedName name="trc_Y5Deposits">#REF!</definedName>
    <definedName name="Trc_Y5DeprecAmort">#REF!</definedName>
    <definedName name="trc_Y5Depreciation">#REF!</definedName>
    <definedName name="Trc_Y5DepreciationFA">#REF!</definedName>
    <definedName name="trc_Y5DevCostsNet">#REF!</definedName>
    <definedName name="trc_Y5DiffRevenues">#REF!</definedName>
    <definedName name="trc_Y5DiscOper">#REF!</definedName>
    <definedName name="Trc_Y5DiscOperNC">#REF!</definedName>
    <definedName name="Trc_Y5Div2Equity">#REF!</definedName>
    <definedName name="trc_Y5Dividend">#REF!</definedName>
    <definedName name="Trc_Y5Dividends">#REF!</definedName>
    <definedName name="Trc_Y5DivOth">#REF!</definedName>
    <definedName name="trc_Y5Domestic">#REF!</definedName>
    <definedName name="trc_Y5DPSGross">#REF!</definedName>
    <definedName name="trc_Y5DPSGrossAdj">#REF!</definedName>
    <definedName name="trc_Y5DPSNet">#REF!</definedName>
    <definedName name="trc_Y5DPSNetAdj">#REF!</definedName>
    <definedName name="trc_Y5DSO">#REF!</definedName>
    <definedName name="trc_Y5EBIT">#REF!</definedName>
    <definedName name="trc_Y5EBITAG">#REF!</definedName>
    <definedName name="trc_Y5EBITDA">#REF!</definedName>
    <definedName name="trc_Y5EBITDAAM">#REF!</definedName>
    <definedName name="trc_Y5Employees">#REF!</definedName>
    <definedName name="trc_Y5EpsAdj">#REF!</definedName>
    <definedName name="trc_Y5EPSDil">#REF!</definedName>
    <definedName name="trc_Y5EPSRep">#REF!</definedName>
    <definedName name="trc_Y5EquityCost">#REF!</definedName>
    <definedName name="trc_Y5EquityExc">#REF!</definedName>
    <definedName name="Trc_Y5EquityTot">#REF!</definedName>
    <definedName name="trc_Y5ExceptItem">#REF!</definedName>
    <definedName name="trc_Y5Exploration">#REF!</definedName>
    <definedName name="trc_Y5ExtraordItem">#REF!</definedName>
    <definedName name="trc_Y5ExtraordOth">#REF!</definedName>
    <definedName name="trc_Y5FeeInc">#REF!</definedName>
    <definedName name="trc_Y5FinanceCharge">#REF!</definedName>
    <definedName name="trc_Y5FinAssOth">#REF!</definedName>
    <definedName name="trc_Y5FinAssTot">#REF!</definedName>
    <definedName name="trc_Y5FinInflowTot">#REF!</definedName>
    <definedName name="trc_Y5FixAssTotNet">#REF!</definedName>
    <definedName name="trc_Y5FixAssUncl">#REF!</definedName>
    <definedName name="Trc_Y5FreeCashFlow">#REF!</definedName>
    <definedName name="trc_Y5FreeFloat">#REF!</definedName>
    <definedName name="trc_Y5FyEndDate">#REF!</definedName>
    <definedName name="trc_Y5GenAdmin">#REF!</definedName>
    <definedName name="trc_Y5GrossProfit">#REF!</definedName>
    <definedName name="trc_Y5HeldAssResale">#REF!</definedName>
    <definedName name="trc_Y5HoldInd">#REF!</definedName>
    <definedName name="Trc_Y5IIRChange">#REF!</definedName>
    <definedName name="Trc_Y5InflowOperCash">#REF!</definedName>
    <definedName name="Trc_Y5InflowOth">#REF!</definedName>
    <definedName name="Trc_Y5InflowOthFI">#REF!</definedName>
    <definedName name="Trc_Y5IntAssChange">#REF!</definedName>
    <definedName name="trc_Y5IntAssOth">#REF!</definedName>
    <definedName name="Trc_Y5IntDivOth">#REF!</definedName>
    <definedName name="trc_Y5InterestExp">#REF!</definedName>
    <definedName name="trc_Y5InterestIncome">#REF!</definedName>
    <definedName name="trc_Y5IntFixAssTotNe">#REF!</definedName>
    <definedName name="trc_Y5InvBanking">#REF!</definedName>
    <definedName name="trc_Y5InvestIncome">#REF!</definedName>
    <definedName name="trc_Y5InvestTotal">#REF!</definedName>
    <definedName name="Trc_Y5InvOthChange">#REF!</definedName>
    <definedName name="trc_Y5LiabTotNet">#REF!</definedName>
    <definedName name="trc_Y5LifeIns">#REF!</definedName>
    <definedName name="Trc_Y5LiqFundMove">#REF!</definedName>
    <definedName name="trc_Y5Loans">#REF!</definedName>
    <definedName name="trc_Y5LoansIG">#REF!</definedName>
    <definedName name="trc_Y5LoansLT">#REF!</definedName>
    <definedName name="trc_Y5LoansST">#REF!</definedName>
    <definedName name="trc_Y5LTDebtors">#REF!</definedName>
    <definedName name="trc_Y5LTLiabOth">#REF!</definedName>
    <definedName name="trc_Y5ManLiqResFin">#REF!</definedName>
    <definedName name="trc_Y5MarketDev">#REF!</definedName>
    <definedName name="trc_Y5MarketEmerg">#REF!</definedName>
    <definedName name="trc_Y5MinorityIntBS">#REF!</definedName>
    <definedName name="trc_Y5MinorityIntPL">#REF!</definedName>
    <definedName name="trc_Y5MisPriceCur">#REF!</definedName>
    <definedName name="trc_Y5NAVPS">#REF!</definedName>
    <definedName name="trc_Y5NetAssets">#REF!</definedName>
    <definedName name="trc_Y5NetDebtBS">#REF!</definedName>
    <definedName name="Trc_Y5NetDebtMove">#REF!</definedName>
    <definedName name="trc_Y5NetFinancial">#REF!</definedName>
    <definedName name="trc_Y5NetGW">#REF!</definedName>
    <definedName name="trc_Y5NetIntInc">#REF!</definedName>
    <definedName name="Trc_Y5NonCashAdjTot">#REF!</definedName>
    <definedName name="Trc_Y5NonCashOth">#REF!</definedName>
    <definedName name="trc_Y5NonLifeIns">#REF!</definedName>
    <definedName name="trc_Y5NormNetPft">#REF!</definedName>
    <definedName name="trc_Y5NormPftAftTax">#REF!</definedName>
    <definedName name="trc_Y5NormTax">#REF!</definedName>
    <definedName name="trc_Y5OperCostOther">#REF!</definedName>
    <definedName name="trc_Y5OperCostXDA">#REF!</definedName>
    <definedName name="trc_Y5OperIncOther">#REF!</definedName>
    <definedName name="trc_Y5OtherAftTax">#REF!</definedName>
    <definedName name="trc_Y5OtherCharges">#REF!</definedName>
    <definedName name="trc_Y5OtherGW">#REF!</definedName>
    <definedName name="trc_Y5OtherIncome">#REF!</definedName>
    <definedName name="trc_Y5OtherInvest">#REF!</definedName>
    <definedName name="trc_Y5OthPretaxAdj">#REF!</definedName>
    <definedName name="trc_Y5OthTax">#REF!</definedName>
    <definedName name="trc_Y5OtTotPreTaxI">#REF!</definedName>
    <definedName name="Trc_Y5PbtAsia">#REF!</definedName>
    <definedName name="Trc_Y5PbtByMarket">#REF!</definedName>
    <definedName name="Trc_Y5PbtEurope">#REF!</definedName>
    <definedName name="Trc_Y5PbtHM">#REF!</definedName>
    <definedName name="Trc_Y5PbtIntraGroup">#REF!</definedName>
    <definedName name="Trc_Y5PbtJapan">#REF!</definedName>
    <definedName name="Trc_Y5PbtMideast">#REF!</definedName>
    <definedName name="Trc_Y5PbtNAM">#REF!</definedName>
    <definedName name="Trc_Y5PbtRestWorld">#REF!</definedName>
    <definedName name="Trc_Y5PbtSoEast">#REF!</definedName>
    <definedName name="trc_Y5PBVFair">#REF!</definedName>
    <definedName name="trc_Y5PensIncom">#REF!</definedName>
    <definedName name="trc_Y5PensProv">#REF!</definedName>
    <definedName name="trc_Y5PPDebtors">#REF!</definedName>
    <definedName name="trc_Y5PrefDiv">#REF!</definedName>
    <definedName name="trc_Y5PreTaxAdj">#REF!</definedName>
    <definedName name="trc_Y5PriceFair">#REF!</definedName>
    <definedName name="trc_Y5ProfitAftTax">#REF!</definedName>
    <definedName name="Trc_Y5ProfitCashFlow">#REF!</definedName>
    <definedName name="trc_Y5ProfitNet">#REF!</definedName>
    <definedName name="trc_Y5ProfitPreTax">#REF!</definedName>
    <definedName name="trc_Y5ProfitRet">#REF!</definedName>
    <definedName name="trc_Y5PropertyNet">#REF!</definedName>
    <definedName name="trc_Y5Provisions">#REF!</definedName>
    <definedName name="trc_Y5ProvisionsST">#REF!</definedName>
    <definedName name="trc_Y5PVdivs">#REF!</definedName>
    <definedName name="trc_Y5PVNAV">#REF!</definedName>
    <definedName name="trc_Y5RD">#REF!</definedName>
    <definedName name="trc_Y5Reinsurance">#REF!</definedName>
    <definedName name="Trc_Y5ReserveEqOth">#REF!</definedName>
    <definedName name="Trc_Y5ReserveGW">#REF!</definedName>
    <definedName name="Trc_Y5ReserveLegal">#REF!</definedName>
    <definedName name="Trc_Y5ReserveMGR">#REF!</definedName>
    <definedName name="trc_Y5Retail">#REF!</definedName>
    <definedName name="trc_Y5Revenue">#REF!</definedName>
    <definedName name="trc_Y5ROEAdj">#REF!</definedName>
    <definedName name="trc_Y5ROENormal">#REF!</definedName>
    <definedName name="trc_Y5SGA">#REF!</definedName>
    <definedName name="Trc_Y5ShareCapital">#REF!</definedName>
    <definedName name="trc_Y5SharesDilYE">#REF!</definedName>
    <definedName name="trc_Y5SharesOrd">#REF!</definedName>
    <definedName name="Trc_Y5SharesOthEq">#REF!</definedName>
    <definedName name="trc_Y5SharesOutBAL">#REF!</definedName>
    <definedName name="trc_Y5SharesOutDIL">#REF!</definedName>
    <definedName name="trc_Y5SharesOutWA">#REF!</definedName>
    <definedName name="Trc_Y5SharesOwn">#REF!</definedName>
    <definedName name="Trc_Y5SharesPref">#REF!</definedName>
    <definedName name="Trc_Y5SharesPremium">#REF!</definedName>
    <definedName name="Trc_Y5SharesTotCap">#REF!</definedName>
    <definedName name="Trc_Y5SlsAsia">#REF!</definedName>
    <definedName name="Trc_Y5SlsByMarket">#REF!</definedName>
    <definedName name="Trc_Y5SlsEurope">#REF!</definedName>
    <definedName name="Trc_Y5SlsHM">#REF!</definedName>
    <definedName name="Trc_Y5SlsIntraGroup">#REF!</definedName>
    <definedName name="Trc_Y5SlsJapan">#REF!</definedName>
    <definedName name="Trc_Y5SlsMideast">#REF!</definedName>
    <definedName name="Trc_Y5SlsNAM">#REF!</definedName>
    <definedName name="Trc_Y5SlsRestWorld">#REF!</definedName>
    <definedName name="Trc_Y5SlsSoEast">#REF!</definedName>
    <definedName name="trc_Y5StaffCost">#REF!</definedName>
    <definedName name="Trc_Y5Stocks">#REF!</definedName>
    <definedName name="Trc_Y5StocksChangeNC">#REF!</definedName>
    <definedName name="trc_Y5Subscribers">#REF!</definedName>
    <definedName name="Trc_Y5TanAssChange">#REF!</definedName>
    <definedName name="trc_Y5TanAssLeased">#REF!</definedName>
    <definedName name="trc_Y5TanFixAssOthGr">#REF!</definedName>
    <definedName name="trc_Y5TanFixAssOthNe">#REF!</definedName>
    <definedName name="trc_Y5TanFixAssTotNe">#REF!</definedName>
    <definedName name="trc_Y5TargetPriceFin">#REF!</definedName>
    <definedName name="trc_Y5TargetRtrn">#REF!</definedName>
    <definedName name="trc_Y5Tax">#REF!</definedName>
    <definedName name="Trc_Y5TaxCL">#REF!</definedName>
    <definedName name="Trc_Y5TaxFD">#REF!</definedName>
    <definedName name="trc_Y5TotAftTaxI">#REF!</definedName>
    <definedName name="trc_Y5TotalAssets">#REF!</definedName>
    <definedName name="trc_Y5TotalBM">#REF!</definedName>
    <definedName name="trc_Y5TotalDeprAM">#REF!</definedName>
    <definedName name="trc_Y5TotalFinExp">#REF!</definedName>
    <definedName name="trc_Y5TotalFinInc">#REF!</definedName>
    <definedName name="trc_Y5TotalGM">#REF!</definedName>
    <definedName name="trc_Y5TotDefLTLiab">#REF!</definedName>
    <definedName name="trc_Y5TotDividends">#REF!</definedName>
    <definedName name="trc_Y5TradeCreditors">#REF!</definedName>
    <definedName name="trc_Y5TradeInv">#REF!</definedName>
    <definedName name="trc_Y5TradingInc">#REF!</definedName>
    <definedName name="Trc_Y5WCAdjOth">#REF!</definedName>
    <definedName name="trc_y5Year">#REF!</definedName>
    <definedName name="trc_Y6Accruals">#REF!</definedName>
    <definedName name="Trc_Y6AcquisDisp">#REF!</definedName>
    <definedName name="trc_Y6AcquisGW">#REF!</definedName>
    <definedName name="trc_Y6AmortGW">#REF!</definedName>
    <definedName name="trc_Y6AmortGWAftTax">#REF!</definedName>
    <definedName name="Trc_Y6AmortGWFA">#REF!</definedName>
    <definedName name="trc_Y6AmortOth">#REF!</definedName>
    <definedName name="trc_Y6AnnounceDate">#REF!</definedName>
    <definedName name="trc_Y6ARPU">#REF!</definedName>
    <definedName name="trc_Y6ASP">#REF!</definedName>
    <definedName name="Trc_Y6AssDisp">#REF!</definedName>
    <definedName name="trc_Y6AssetMngmnt">#REF!</definedName>
    <definedName name="trc_Y6AssocAftTax">#REF!</definedName>
    <definedName name="trc_Y6AssocB4Tax">#REF!</definedName>
    <definedName name="trc_Y6AssocCoCEM">#REF!</definedName>
    <definedName name="Trc_Y6AssOth">#REF!</definedName>
    <definedName name="Trc_Y6AssTotNet">#REF!</definedName>
    <definedName name="trc_Y6BadDebCharge">#REF!</definedName>
    <definedName name="trc_Y6BoANetProfit">#REF!</definedName>
    <definedName name="trc_Y6BoANormEPS">#REF!</definedName>
    <definedName name="trc_Y6BoANormPTP">#REF!</definedName>
    <definedName name="trc_Y6BookValue">#REF!</definedName>
    <definedName name="trc_Y6CapExp">#REF!</definedName>
    <definedName name="trc_Y6CapitalGains">#REF!</definedName>
    <definedName name="Trc_Y6CashB4Finance">#REF!</definedName>
    <definedName name="trc_Y6CashDebtCh">#REF!</definedName>
    <definedName name="trc_Y6CashEqChange">#REF!</definedName>
    <definedName name="trc_Y6CashFlowFDTo">#REF!</definedName>
    <definedName name="trc_Y6CashNear">#REF!</definedName>
    <definedName name="trc_Y6CashPS">#REF!</definedName>
    <definedName name="trc_Y6CogsRep">#REF!</definedName>
    <definedName name="trc_Y6CommitOther">#REF!</definedName>
    <definedName name="trc_Y6CorpsLarge">#REF!</definedName>
    <definedName name="Trc_Y6CreditorChange">#REF!</definedName>
    <definedName name="Trc_Y6CurrAssNet">#REF!</definedName>
    <definedName name="trc_Y6CurrAssOth">#REF!</definedName>
    <definedName name="trc_Y6CurrAssTot">#REF!</definedName>
    <definedName name="trc_Y6CurrInvest">#REF!</definedName>
    <definedName name="Trc_Y6CurrLiabOth">#REF!</definedName>
    <definedName name="Trc_Y6CurrLiabTot">#REF!</definedName>
    <definedName name="trc_Y6CurrTax">#REF!</definedName>
    <definedName name="Trc_Y6Debt">#REF!</definedName>
    <definedName name="Trc_Y6DebtAdjCflow">#REF!</definedName>
    <definedName name="Trc_Y6DebtorsChange">#REF!</definedName>
    <definedName name="trc_Y6DebtOth">#REF!</definedName>
    <definedName name="trc_Y6DebtTot">#REF!</definedName>
    <definedName name="trc_Y6DefLiabOth">#REF!</definedName>
    <definedName name="trc_Y6DefTax">#REF!</definedName>
    <definedName name="trc_Y6Deposits">#REF!</definedName>
    <definedName name="Trc_Y6DeprecAmort">#REF!</definedName>
    <definedName name="trc_Y6Depreciation">#REF!</definedName>
    <definedName name="Trc_Y6DepreciationFA">#REF!</definedName>
    <definedName name="trc_Y6DevCostsNet">#REF!</definedName>
    <definedName name="trc_Y6DiffRevenues">#REF!</definedName>
    <definedName name="trc_Y6DiscOper">#REF!</definedName>
    <definedName name="Trc_Y6DiscOperNC">#REF!</definedName>
    <definedName name="Trc_Y6Div2Equity">#REF!</definedName>
    <definedName name="trc_Y6Dividend">#REF!</definedName>
    <definedName name="Trc_Y6Dividends">#REF!</definedName>
    <definedName name="Trc_Y6DivOth">#REF!</definedName>
    <definedName name="trc_Y6Domestic">#REF!</definedName>
    <definedName name="trc_Y6DPSGross">#REF!</definedName>
    <definedName name="trc_Y6DPSGrossAdj">#REF!</definedName>
    <definedName name="trc_Y6DPSNet">#REF!</definedName>
    <definedName name="trc_Y6DPSNetAdj">#REF!</definedName>
    <definedName name="trc_Y6DSO">#REF!</definedName>
    <definedName name="trc_Y6EBIT">#REF!</definedName>
    <definedName name="trc_Y6EBITAG">#REF!</definedName>
    <definedName name="trc_Y6EBITDa">#REF!</definedName>
    <definedName name="trc_Y6EBITDAAM">#REF!</definedName>
    <definedName name="trc_Y6Employees">#REF!</definedName>
    <definedName name="trc_Y6EpsAdj">#REF!</definedName>
    <definedName name="trc_Y6EPSDil">#REF!</definedName>
    <definedName name="trc_Y6EPSRep">#REF!</definedName>
    <definedName name="trc_Y6EquityCost">#REF!</definedName>
    <definedName name="trc_Y6EquityExc">#REF!</definedName>
    <definedName name="Trc_Y6EquityTot">#REF!</definedName>
    <definedName name="trc_Y6ExceptItem">#REF!</definedName>
    <definedName name="trc_Y6Exploration">#REF!</definedName>
    <definedName name="trc_Y6ExtraordItem">#REF!</definedName>
    <definedName name="trc_Y6ExtraordOth">#REF!</definedName>
    <definedName name="trc_Y6FeeInc">#REF!</definedName>
    <definedName name="trc_Y6FinanceCharge">#REF!</definedName>
    <definedName name="trc_Y6FinAssOth">#REF!</definedName>
    <definedName name="trc_Y6FinAssTot">#REF!</definedName>
    <definedName name="trc_Y6FinInflowTot">#REF!</definedName>
    <definedName name="trc_Y6FixAssTotNet">#REF!</definedName>
    <definedName name="trc_Y6FixAssUncl">#REF!</definedName>
    <definedName name="Trc_Y6FreeCashFlow">#REF!</definedName>
    <definedName name="trc_Y6FreeFloat">#REF!</definedName>
    <definedName name="trc_Y6FyEndDate">#REF!</definedName>
    <definedName name="trc_Y6GenAdmin">#REF!</definedName>
    <definedName name="trc_Y6GrossProfit">#REF!</definedName>
    <definedName name="trc_Y6HeldAssResale">#REF!</definedName>
    <definedName name="trc_Y6HoldInd">#REF!</definedName>
    <definedName name="Trc_Y6IIRChange">#REF!</definedName>
    <definedName name="Trc_Y6InflowOperCash">#REF!</definedName>
    <definedName name="Trc_Y6InflowOth">#REF!</definedName>
    <definedName name="Trc_Y6InflowOthFI">#REF!</definedName>
    <definedName name="Trc_Y6IntAssChange">#REF!</definedName>
    <definedName name="trc_Y6IntAssOth">#REF!</definedName>
    <definedName name="Trc_Y6IntDivOth">#REF!</definedName>
    <definedName name="trc_Y6InterestExp">#REF!</definedName>
    <definedName name="trc_Y6InterestIncome">#REF!</definedName>
    <definedName name="trc_Y6IntFixAssTotNe">#REF!</definedName>
    <definedName name="trc_Y6InvBanking">#REF!</definedName>
    <definedName name="trc_Y6InvestIncome">#REF!</definedName>
    <definedName name="trc_Y6InvestTotal">#REF!</definedName>
    <definedName name="Trc_Y6InvOthChange">#REF!</definedName>
    <definedName name="trc_Y6LiabTotNet">#REF!</definedName>
    <definedName name="trc_Y6LifeIns">#REF!</definedName>
    <definedName name="Trc_Y6LiqFundMove">#REF!</definedName>
    <definedName name="trc_Y6Loans">#REF!</definedName>
    <definedName name="trc_Y6LoansIG">#REF!</definedName>
    <definedName name="trc_Y6LoansLT">#REF!</definedName>
    <definedName name="trc_Y6LoansST">#REF!</definedName>
    <definedName name="trc_Y6LTDebtors">#REF!</definedName>
    <definedName name="trc_Y6LTLiabOth">#REF!</definedName>
    <definedName name="trc_Y6ManLiqResFin">#REF!</definedName>
    <definedName name="trc_Y6MarketDev">#REF!</definedName>
    <definedName name="trc_Y6MarketEmerg">#REF!</definedName>
    <definedName name="trc_Y6MinorityIntBS">#REF!</definedName>
    <definedName name="trc_Y6MinorityIntPL">#REF!</definedName>
    <definedName name="trc_Y6MisPriceCur">#REF!</definedName>
    <definedName name="trc_Y6NAVPS">#REF!</definedName>
    <definedName name="trc_Y6NetAssets">#REF!</definedName>
    <definedName name="trc_Y6NetDebtBS">#REF!</definedName>
    <definedName name="Trc_Y6NetDebtMove">#REF!</definedName>
    <definedName name="trc_Y6NetFinancial">#REF!</definedName>
    <definedName name="trc_Y6NetGW">#REF!</definedName>
    <definedName name="trc_Y6NetIntInc">#REF!</definedName>
    <definedName name="Trc_Y6NonCashAdjTot">#REF!</definedName>
    <definedName name="Trc_Y6NonCashOth">#REF!</definedName>
    <definedName name="trc_Y6NonLifeIns">#REF!</definedName>
    <definedName name="trc_Y6NormNetPft">#REF!</definedName>
    <definedName name="trc_Y6NormPftAftTax">#REF!</definedName>
    <definedName name="trc_Y6NormTax">#REF!</definedName>
    <definedName name="trc_Y6OperCostOther">#REF!</definedName>
    <definedName name="trc_Y6OperCostXDA">#REF!</definedName>
    <definedName name="trc_Y6OperIncOther">#REF!</definedName>
    <definedName name="trc_Y6OtherAftTax">#REF!</definedName>
    <definedName name="trc_Y6OtherCharges">#REF!</definedName>
    <definedName name="trc_Y6OtherGW">#REF!</definedName>
    <definedName name="trc_Y6OtherIncome">#REF!</definedName>
    <definedName name="trc_Y6OtherInvest">#REF!</definedName>
    <definedName name="trc_Y6OthPretaxAdj">#REF!</definedName>
    <definedName name="trc_Y6OthTax">#REF!</definedName>
    <definedName name="trc_Y6OtTotPreTaxI">#REF!</definedName>
    <definedName name="Trc_Y6PbtAsia">#REF!</definedName>
    <definedName name="Trc_Y6PbtByMarket">#REF!</definedName>
    <definedName name="Trc_Y6PbtEurope">#REF!</definedName>
    <definedName name="Trc_Y6PbtHM">#REF!</definedName>
    <definedName name="Trc_Y6PbtIntraGroup">#REF!</definedName>
    <definedName name="Trc_Y6PbtJapan">#REF!</definedName>
    <definedName name="Trc_Y6PbtMideast">#REF!</definedName>
    <definedName name="Trc_Y6PbtNAM">#REF!</definedName>
    <definedName name="Trc_Y6PbtRestWorld">#REF!</definedName>
    <definedName name="Trc_Y6PbtSoEast">#REF!</definedName>
    <definedName name="trc_Y6PBVFair">#REF!</definedName>
    <definedName name="trc_Y6PensIncom">#REF!</definedName>
    <definedName name="trc_Y6PensProv">#REF!</definedName>
    <definedName name="trc_Y6PPDebtors">#REF!</definedName>
    <definedName name="trc_Y6PrefDiv">#REF!</definedName>
    <definedName name="trc_Y6PreTaxAdj">#REF!</definedName>
    <definedName name="trc_Y6PriceFair">#REF!</definedName>
    <definedName name="trc_Y6ProfitAftTax">#REF!</definedName>
    <definedName name="Trc_Y6ProfitCashFlow">#REF!</definedName>
    <definedName name="trc_Y6ProfitNet">#REF!</definedName>
    <definedName name="trc_Y6ProfitPreTax">#REF!</definedName>
    <definedName name="trc_Y6ProfitRet">#REF!</definedName>
    <definedName name="trc_Y6PropertyNet">#REF!</definedName>
    <definedName name="trc_Y6Provisions">#REF!</definedName>
    <definedName name="trc_Y6ProvisionsST">#REF!</definedName>
    <definedName name="trc_Y6PVdivs">#REF!</definedName>
    <definedName name="trc_Y6PVNAV">#REF!</definedName>
    <definedName name="trc_Y6RD">#REF!</definedName>
    <definedName name="trc_Y6Reinsurance">#REF!</definedName>
    <definedName name="Trc_Y6ReserveEqOth">#REF!</definedName>
    <definedName name="Trc_Y6ReserveGW">#REF!</definedName>
    <definedName name="Trc_Y6ReserveLegal">#REF!</definedName>
    <definedName name="Trc_Y6ReserveMGR">#REF!</definedName>
    <definedName name="trc_Y6Retail">#REF!</definedName>
    <definedName name="trc_Y6Revenue">#REF!</definedName>
    <definedName name="trc_Y6ROEAdj">#REF!</definedName>
    <definedName name="trc_Y6ROENormal">#REF!</definedName>
    <definedName name="trc_Y6SGA">#REF!</definedName>
    <definedName name="Trc_Y6ShareCapital">#REF!</definedName>
    <definedName name="trc_Y6SharesDilYE">#REF!</definedName>
    <definedName name="trc_Y6SharesOrd">#REF!</definedName>
    <definedName name="Trc_Y6SharesOthEq">#REF!</definedName>
    <definedName name="trc_Y6SharesOutBAL">#REF!</definedName>
    <definedName name="trc_Y6SharesOutDIL">#REF!</definedName>
    <definedName name="trc_Y6SharesOutWA">#REF!</definedName>
    <definedName name="Trc_Y6SharesOwn">#REF!</definedName>
    <definedName name="Trc_Y6SharesPref">#REF!</definedName>
    <definedName name="Trc_Y6SharesPremium">#REF!</definedName>
    <definedName name="Trc_Y6SharesTotCap">#REF!</definedName>
    <definedName name="Trc_Y6SlsAsia">#REF!</definedName>
    <definedName name="Trc_Y6SlsByMarket">#REF!</definedName>
    <definedName name="Trc_Y6SlsEurope">#REF!</definedName>
    <definedName name="Trc_Y6SlsHM">#REF!</definedName>
    <definedName name="Trc_Y6SlsIntraGroup">#REF!</definedName>
    <definedName name="Trc_Y6SlsJapan">#REF!</definedName>
    <definedName name="Trc_Y6SlsMideast">#REF!</definedName>
    <definedName name="Trc_Y6SlsNAM">#REF!</definedName>
    <definedName name="Trc_Y6SlsRestWorld">#REF!</definedName>
    <definedName name="Trc_Y6SlsSoEast">#REF!</definedName>
    <definedName name="trc_Y6StaffCost">#REF!</definedName>
    <definedName name="Trc_Y6Stocks">#REF!</definedName>
    <definedName name="Trc_Y6StocksChangeNC">#REF!</definedName>
    <definedName name="trc_Y6Subscribers">#REF!</definedName>
    <definedName name="Trc_Y6TanAssChange">#REF!</definedName>
    <definedName name="trc_Y6TanAssLeased">#REF!</definedName>
    <definedName name="trc_Y6TanFixAssOthGr">#REF!</definedName>
    <definedName name="trc_Y6TanFixAssOthNe">#REF!</definedName>
    <definedName name="trc_Y6TanFixAssTotNe">#REF!</definedName>
    <definedName name="trc_Y6TargetPriceFin">#REF!</definedName>
    <definedName name="trc_Y6TargetRtrn">#REF!</definedName>
    <definedName name="trc_Y6Tax">#REF!</definedName>
    <definedName name="Trc_Y6TaxCL">#REF!</definedName>
    <definedName name="Trc_Y6TaxFD">#REF!</definedName>
    <definedName name="trc_Y6TotAftTaxI">#REF!</definedName>
    <definedName name="trc_Y6TotalAssets">#REF!</definedName>
    <definedName name="trc_Y6TotalBM">#REF!</definedName>
    <definedName name="trc_Y6TotalDeprAM">#REF!</definedName>
    <definedName name="trc_Y6TotalFinExp">#REF!</definedName>
    <definedName name="trc_Y6TotalFinInc">#REF!</definedName>
    <definedName name="trc_Y6TotalGM">#REF!</definedName>
    <definedName name="trc_Y6TotDefLTLiab">#REF!</definedName>
    <definedName name="trc_Y6TotDividends">#REF!</definedName>
    <definedName name="trc_Y6TradeCreditors">#REF!</definedName>
    <definedName name="trc_Y6TradeInv">#REF!</definedName>
    <definedName name="trc_Y6TradingInc">#REF!</definedName>
    <definedName name="Trc_Y6WCAdjOth">#REF!</definedName>
    <definedName name="trc_y6Year">#REF!</definedName>
    <definedName name="trc_Y7Accruals">#REF!</definedName>
    <definedName name="Trc_Y7AcquisDisp">#REF!</definedName>
    <definedName name="trc_Y7AcquisGW">#REF!</definedName>
    <definedName name="trc_Y7AmortGW">#REF!</definedName>
    <definedName name="trc_Y7AmortGWAftTax">#REF!</definedName>
    <definedName name="Trc_Y7AmortGWFA">#REF!</definedName>
    <definedName name="trc_Y7AmortOth">#REF!</definedName>
    <definedName name="trc_Y7AnnounceDate">#REF!</definedName>
    <definedName name="trc_Y7ARPU">#REF!</definedName>
    <definedName name="trc_Y7ASP">#REF!</definedName>
    <definedName name="Trc_Y7AssDisp">#REF!</definedName>
    <definedName name="trc_Y7AssetMngmnt">#REF!</definedName>
    <definedName name="trc_Y7AssocAftTax">#REF!</definedName>
    <definedName name="trc_Y7AssocB4Tax">#REF!</definedName>
    <definedName name="trc_Y7AssocCoCEM">#REF!</definedName>
    <definedName name="Trc_Y7AssOth">#REF!</definedName>
    <definedName name="Trc_Y7AssTotNet">#REF!</definedName>
    <definedName name="trc_Y7BadDebCharge">#REF!</definedName>
    <definedName name="trc_Y7BoANetProfit">#REF!</definedName>
    <definedName name="trc_Y7BoANormEPS">#REF!</definedName>
    <definedName name="trc_Y7BoANormPTP">#REF!</definedName>
    <definedName name="trc_Y7BookValue">#REF!</definedName>
    <definedName name="trc_Y7CapExp">#REF!</definedName>
    <definedName name="trc_Y7CapitalGains">#REF!</definedName>
    <definedName name="Trc_Y7CashB4Finance">#REF!</definedName>
    <definedName name="trc_Y7CashDebtCh">#REF!</definedName>
    <definedName name="trc_Y7CashEqChange">#REF!</definedName>
    <definedName name="trc_Y7CashFlowFDTo">#REF!</definedName>
    <definedName name="trc_Y7CashNear">#REF!</definedName>
    <definedName name="trc_Y7CashPS">#REF!</definedName>
    <definedName name="trc_Y7CogsRep">#REF!</definedName>
    <definedName name="trc_Y7CommitOther">#REF!</definedName>
    <definedName name="trc_Y7CorpsLarge">#REF!</definedName>
    <definedName name="Trc_Y7CreditorChange">#REF!</definedName>
    <definedName name="Trc_Y7CurrAssNet">#REF!</definedName>
    <definedName name="trc_Y7CurrAssOth">#REF!</definedName>
    <definedName name="trc_Y7CurrAssTot">#REF!</definedName>
    <definedName name="trc_Y7CurrInvest">#REF!</definedName>
    <definedName name="Trc_Y7CurrLiabOth">#REF!</definedName>
    <definedName name="Trc_Y7CurrLiabTot">#REF!</definedName>
    <definedName name="trc_Y7CurrTax">#REF!</definedName>
    <definedName name="Trc_Y7Debt">#REF!</definedName>
    <definedName name="Trc_Y7DebtAdjCflow">#REF!</definedName>
    <definedName name="Trc_Y7DebtorsChange">#REF!</definedName>
    <definedName name="trc_Y7DebtOth">#REF!</definedName>
    <definedName name="trc_Y7DebtTot">#REF!</definedName>
    <definedName name="trc_Y7DefLiabOth">#REF!</definedName>
    <definedName name="trc_Y7DefTax">#REF!</definedName>
    <definedName name="trc_Y7Deposits">#REF!</definedName>
    <definedName name="Trc_Y7DeprecAmort">#REF!</definedName>
    <definedName name="trc_Y7Depreciation">#REF!</definedName>
    <definedName name="Trc_Y7DepreciationFA">#REF!</definedName>
    <definedName name="trc_Y7DevCostsNet">#REF!</definedName>
    <definedName name="trc_Y7DiffRevenues">#REF!</definedName>
    <definedName name="trc_Y7DiscOper">#REF!</definedName>
    <definedName name="Trc_Y7DiscOperNC">#REF!</definedName>
    <definedName name="Trc_Y7Div2Equity">#REF!</definedName>
    <definedName name="trc_Y7Dividend">#REF!</definedName>
    <definedName name="Trc_Y7Dividends">#REF!</definedName>
    <definedName name="Trc_Y7DivOth">#REF!</definedName>
    <definedName name="trc_Y7Domestic">#REF!</definedName>
    <definedName name="trc_Y7DPSGross">#REF!</definedName>
    <definedName name="trc_Y7DPSGrossAdj">#REF!</definedName>
    <definedName name="trc_Y7DPSNet">#REF!</definedName>
    <definedName name="trc_Y7DPSNetAdj">#REF!</definedName>
    <definedName name="trc_Y7DSO">#REF!</definedName>
    <definedName name="trc_Y7EBIT">#REF!</definedName>
    <definedName name="trc_Y7EBITAG">#REF!</definedName>
    <definedName name="trc_Y7EBITDA">#REF!</definedName>
    <definedName name="trc_Y7EBITDAAM">#REF!</definedName>
    <definedName name="trc_Y7Employees">#REF!</definedName>
    <definedName name="trc_Y7EpsAdj">#REF!</definedName>
    <definedName name="trc_Y7EPSDil">#REF!</definedName>
    <definedName name="trc_Y7EPSRep">#REF!</definedName>
    <definedName name="trc_Y7EquityCost">#REF!</definedName>
    <definedName name="trc_Y7EquityExc">#REF!</definedName>
    <definedName name="Trc_Y7EquityTot">#REF!</definedName>
    <definedName name="trc_Y7ExceptItem">#REF!</definedName>
    <definedName name="trc_Y7Exploration">#REF!</definedName>
    <definedName name="trc_Y7ExtraordItem">#REF!</definedName>
    <definedName name="trc_Y7ExtraordOth">#REF!</definedName>
    <definedName name="trc_Y7FeeInc">#REF!</definedName>
    <definedName name="trc_Y7FinanceCharge">#REF!</definedName>
    <definedName name="trc_Y7FinAssOth">#REF!</definedName>
    <definedName name="trc_Y7FinAssTot">#REF!</definedName>
    <definedName name="trc_Y7FinInflowTot">#REF!</definedName>
    <definedName name="trc_Y7FixAssTotNet">#REF!</definedName>
    <definedName name="trc_Y7FixAssUncl">#REF!</definedName>
    <definedName name="Trc_Y7FreeCashFlow">#REF!</definedName>
    <definedName name="trc_Y7FreeFloat">#REF!</definedName>
    <definedName name="trc_Y7FyEndDate">#REF!</definedName>
    <definedName name="trc_Y7GenAdmin">#REF!</definedName>
    <definedName name="trc_Y7GrossProfit">#REF!</definedName>
    <definedName name="trc_Y7HeldAssResale">#REF!</definedName>
    <definedName name="trc_Y7HoldInd">#REF!</definedName>
    <definedName name="Trc_Y7IIRChange">#REF!</definedName>
    <definedName name="Trc_Y7InflowOperCash">#REF!</definedName>
    <definedName name="Trc_Y7InflowOth">#REF!</definedName>
    <definedName name="Trc_Y7InflowOthFI">#REF!</definedName>
    <definedName name="Trc_Y7IntAssChange">#REF!</definedName>
    <definedName name="trc_Y7IntAssOth">#REF!</definedName>
    <definedName name="Trc_Y7IntDivOth">#REF!</definedName>
    <definedName name="trc_Y7InterestExp">#REF!</definedName>
    <definedName name="trc_Y7InterestIncome">#REF!</definedName>
    <definedName name="trc_Y7IntFixAssTotNe">#REF!</definedName>
    <definedName name="trc_Y7InvBanking">#REF!</definedName>
    <definedName name="trc_Y7InvestIncome">#REF!</definedName>
    <definedName name="trc_Y7InvestTotal">#REF!</definedName>
    <definedName name="Trc_Y7InvOthChange">#REF!</definedName>
    <definedName name="trc_Y7LiabTotNet">#REF!</definedName>
    <definedName name="trc_Y7LifeIns">#REF!</definedName>
    <definedName name="Trc_Y7LiqFundMove">#REF!</definedName>
    <definedName name="trc_Y7Loans">#REF!</definedName>
    <definedName name="trc_Y7LoansIG">#REF!</definedName>
    <definedName name="trc_Y7LoansLT">#REF!</definedName>
    <definedName name="trc_Y7LoansST">#REF!</definedName>
    <definedName name="trc_Y7LTDebtors">#REF!</definedName>
    <definedName name="trc_Y7LTLiabOth">#REF!</definedName>
    <definedName name="trc_Y7ManLiqResFin">#REF!</definedName>
    <definedName name="trc_Y7MarketDev">#REF!</definedName>
    <definedName name="trc_Y7MarketEmerg">#REF!</definedName>
    <definedName name="trc_Y7MinorityIntBS">#REF!</definedName>
    <definedName name="trc_Y7MinorityIntPL">#REF!</definedName>
    <definedName name="trc_Y7MisPriceCur">#REF!</definedName>
    <definedName name="trc_Y7NAVPS">#REF!</definedName>
    <definedName name="trc_Y7NetAssets">#REF!</definedName>
    <definedName name="trc_Y7NetDebtBS">#REF!</definedName>
    <definedName name="Trc_Y7NetDebtMove">#REF!</definedName>
    <definedName name="trc_Y7NetFinancial">#REF!</definedName>
    <definedName name="trc_Y7NetGW">#REF!</definedName>
    <definedName name="trc_Y7NetIntInc">#REF!</definedName>
    <definedName name="Trc_Y7NonCashAdjTot">#REF!</definedName>
    <definedName name="Trc_Y7NonCashOth">#REF!</definedName>
    <definedName name="trc_Y7NonLifeIns">#REF!</definedName>
    <definedName name="trc_Y7NormNetPft">#REF!</definedName>
    <definedName name="trc_Y7NormPftAftTax">#REF!</definedName>
    <definedName name="trc_Y7NormTax">#REF!</definedName>
    <definedName name="trc_Y7OperCostOther">#REF!</definedName>
    <definedName name="trc_Y7OperCostXDA">#REF!</definedName>
    <definedName name="trc_Y7OperIncOther">#REF!</definedName>
    <definedName name="trc_Y7OtherAftTax">#REF!</definedName>
    <definedName name="trc_Y7OtherCharges">#REF!</definedName>
    <definedName name="trc_Y7OtherGW">#REF!</definedName>
    <definedName name="trc_Y7OtherIncome">#REF!</definedName>
    <definedName name="trc_Y7OtherInvest">#REF!</definedName>
    <definedName name="trc_Y7OthPretaxAdj">#REF!</definedName>
    <definedName name="trc_Y7OthTax">#REF!</definedName>
    <definedName name="trc_Y7OtTotPreTaxI">#REF!</definedName>
    <definedName name="Trc_Y7PbtAsia">#REF!</definedName>
    <definedName name="Trc_Y7PbtByMarket">#REF!</definedName>
    <definedName name="Trc_Y7PbtEurope">#REF!</definedName>
    <definedName name="Trc_Y7PbtHM">#REF!</definedName>
    <definedName name="Trc_Y7PbtIntraGroup">#REF!</definedName>
    <definedName name="Trc_Y7PbtJapan">#REF!</definedName>
    <definedName name="Trc_Y7PbtMideast">#REF!</definedName>
    <definedName name="Trc_Y7PbtNAM">#REF!</definedName>
    <definedName name="Trc_Y7PbtRestWorld">#REF!</definedName>
    <definedName name="Trc_Y7PbtSoEast">#REF!</definedName>
    <definedName name="trc_Y7PBVFair">#REF!</definedName>
    <definedName name="trc_Y7PensIncom">#REF!</definedName>
    <definedName name="trc_Y7PensProv">#REF!</definedName>
    <definedName name="trc_Y7PPDebtors">#REF!</definedName>
    <definedName name="trc_Y7PrefDiv">#REF!</definedName>
    <definedName name="trc_Y7PreTaxAdj">#REF!</definedName>
    <definedName name="trc_Y7PriceFair">#REF!</definedName>
    <definedName name="trc_Y7ProfitAftTax">#REF!</definedName>
    <definedName name="Trc_Y7ProfitCashFlow">#REF!</definedName>
    <definedName name="trc_Y7ProfitNet">#REF!</definedName>
    <definedName name="trc_Y7ProfitPreTax">#REF!</definedName>
    <definedName name="trc_Y7ProfitRet">#REF!</definedName>
    <definedName name="trc_Y7PropertyNet">#REF!</definedName>
    <definedName name="trc_Y7Provisions">#REF!</definedName>
    <definedName name="trc_Y7ProvisionsST">#REF!</definedName>
    <definedName name="trc_Y7PVdivs">#REF!</definedName>
    <definedName name="trc_Y7PVNAV">#REF!</definedName>
    <definedName name="trc_Y7RD">#REF!</definedName>
    <definedName name="trc_Y7Reinsurance">#REF!</definedName>
    <definedName name="Trc_Y7ReserveEqOth">#REF!</definedName>
    <definedName name="Trc_Y7ReserveGW">#REF!</definedName>
    <definedName name="Trc_Y7ReserveLegal">#REF!</definedName>
    <definedName name="Trc_Y7ReserveMGR">#REF!</definedName>
    <definedName name="trc_Y7Retail">#REF!</definedName>
    <definedName name="trc_Y7Revenue">#REF!</definedName>
    <definedName name="trc_Y7ROEAdj">#REF!</definedName>
    <definedName name="trc_Y7ROENormal">#REF!</definedName>
    <definedName name="trc_Y7SGA">#REF!</definedName>
    <definedName name="Trc_Y7ShareCapital">#REF!</definedName>
    <definedName name="trc_Y7SharesDilYE">#REF!</definedName>
    <definedName name="trc_Y7SharesOrd">#REF!</definedName>
    <definedName name="Trc_Y7SharesOthEq">#REF!</definedName>
    <definedName name="trc_Y7SharesOutBAL">#REF!</definedName>
    <definedName name="trc_Y7SharesOutDIL">#REF!</definedName>
    <definedName name="trc_Y7SharesOutWA">#REF!</definedName>
    <definedName name="Trc_Y7SharesOwn">#REF!</definedName>
    <definedName name="Trc_Y7SharesPref">#REF!</definedName>
    <definedName name="Trc_Y7SharesPremium">#REF!</definedName>
    <definedName name="Trc_Y7SharesTotCap">#REF!</definedName>
    <definedName name="Trc_Y7SlsAsia">#REF!</definedName>
    <definedName name="Trc_Y7SlsByMarket">#REF!</definedName>
    <definedName name="Trc_Y7SlsEurope">#REF!</definedName>
    <definedName name="Trc_Y7SlsHM">#REF!</definedName>
    <definedName name="Trc_Y7SlsIntraGroup">#REF!</definedName>
    <definedName name="Trc_Y7SlsJapan">#REF!</definedName>
    <definedName name="Trc_Y7SlsMideast">#REF!</definedName>
    <definedName name="Trc_Y7SlsNAM">#REF!</definedName>
    <definedName name="Trc_Y7SlsRestWorld">#REF!</definedName>
    <definedName name="Trc_Y7SlsSoEast">#REF!</definedName>
    <definedName name="trc_Y7StaffCost">#REF!</definedName>
    <definedName name="Trc_Y7Stocks">#REF!</definedName>
    <definedName name="Trc_Y7StocksChangeNC">#REF!</definedName>
    <definedName name="trc_Y7Subscribers">#REF!</definedName>
    <definedName name="Trc_Y7TanAssChange">#REF!</definedName>
    <definedName name="trc_Y7TanAssLeased">#REF!</definedName>
    <definedName name="trc_Y7TanFixAssOthGr">#REF!</definedName>
    <definedName name="trc_Y7TanFixAssOthNe">#REF!</definedName>
    <definedName name="trc_Y7TanFixAssTotNe">#REF!</definedName>
    <definedName name="trc_Y7TargetPriceFin">#REF!</definedName>
    <definedName name="trc_Y7TargetRtrn">#REF!</definedName>
    <definedName name="trc_Y7Tax">#REF!</definedName>
    <definedName name="Trc_Y7TaxCL">#REF!</definedName>
    <definedName name="Trc_Y7TaxFD">#REF!</definedName>
    <definedName name="trc_Y7TotAftTaxI">#REF!</definedName>
    <definedName name="trc_Y7TotalAssets">#REF!</definedName>
    <definedName name="trc_Y7TotalBM">#REF!</definedName>
    <definedName name="trc_Y7TotalDeprAM">#REF!</definedName>
    <definedName name="trc_Y7TotalFinExp">#REF!</definedName>
    <definedName name="trc_Y7TotalFinInc">#REF!</definedName>
    <definedName name="trc_Y7TotalGM">#REF!</definedName>
    <definedName name="trc_Y7TotDefLTLiab">#REF!</definedName>
    <definedName name="trc_Y7TotDividends">#REF!</definedName>
    <definedName name="trc_Y7TradeCreditors">#REF!</definedName>
    <definedName name="trc_Y7TradeInv">#REF!</definedName>
    <definedName name="trc_Y7TradingInc">#REF!</definedName>
    <definedName name="Trc_Y7WCAdjOth">#REF!</definedName>
    <definedName name="trc_y7Year">#REF!</definedName>
    <definedName name="trc_Y8Accruals">#REF!</definedName>
    <definedName name="Trc_Y8AcquisDisp">#REF!</definedName>
    <definedName name="trc_Y8AcquisGW">#REF!</definedName>
    <definedName name="trc_Y8AmortGW">#REF!</definedName>
    <definedName name="trc_Y8AmortGWAftTax">#REF!</definedName>
    <definedName name="Trc_Y8AmortGWFA">#REF!</definedName>
    <definedName name="trc_Y8AmortOth">#REF!</definedName>
    <definedName name="trc_Y8AnnounceDate">#REF!</definedName>
    <definedName name="trc_Y8ARPU">#REF!</definedName>
    <definedName name="trc_Y8ASP">#REF!</definedName>
    <definedName name="Trc_Y8AssDisp">#REF!</definedName>
    <definedName name="trc_Y8AssetMngmnt">#REF!</definedName>
    <definedName name="trc_Y8AssocAftTax">#REF!</definedName>
    <definedName name="trc_Y8AssocB4Tax">#REF!</definedName>
    <definedName name="trc_Y8AssocCoCEM">#REF!</definedName>
    <definedName name="Trc_Y8AssOth">#REF!</definedName>
    <definedName name="Trc_Y8AssTotNet">#REF!</definedName>
    <definedName name="trc_Y8BadDebCharge">#REF!</definedName>
    <definedName name="trc_Y8BoANetProfit">#REF!</definedName>
    <definedName name="trc_Y8BoANormEPS">#REF!</definedName>
    <definedName name="trc_Y8BoANormPTP">#REF!</definedName>
    <definedName name="trc_Y8BookValue">#REF!</definedName>
    <definedName name="trc_Y8CapExp">#REF!</definedName>
    <definedName name="trc_Y8CapitalGains">#REF!</definedName>
    <definedName name="Trc_Y8CashB4Finance">#REF!</definedName>
    <definedName name="trc_Y8CashDebtCh">#REF!</definedName>
    <definedName name="trc_Y8CashEqChange">#REF!</definedName>
    <definedName name="trc_Y8CashFlowFDTo">#REF!</definedName>
    <definedName name="trc_Y8CashNear">#REF!</definedName>
    <definedName name="trc_Y8CashPS">#REF!</definedName>
    <definedName name="trc_Y8CogsRep">#REF!</definedName>
    <definedName name="trc_Y8CommitOther">#REF!</definedName>
    <definedName name="trc_Y8CorpsLarge">#REF!</definedName>
    <definedName name="Trc_Y8CreditorChange">#REF!</definedName>
    <definedName name="Trc_Y8CurrAssNet">#REF!</definedName>
    <definedName name="trc_Y8CurrAssOth">#REF!</definedName>
    <definedName name="trc_Y8CurrAssTot">#REF!</definedName>
    <definedName name="trc_Y8CurrInvest">#REF!</definedName>
    <definedName name="Trc_Y8CurrLiabOth">#REF!</definedName>
    <definedName name="Trc_Y8CurrLiabTot">#REF!</definedName>
    <definedName name="trc_Y8CurrTax">#REF!</definedName>
    <definedName name="Trc_Y8Debt">#REF!</definedName>
    <definedName name="Trc_Y8DebtAdjCflow">#REF!</definedName>
    <definedName name="Trc_Y8DebtorsChange">#REF!</definedName>
    <definedName name="trc_Y8DebtOth">#REF!</definedName>
    <definedName name="trc_Y8DebtTot">#REF!</definedName>
    <definedName name="trc_Y8DefLiabOth">#REF!</definedName>
    <definedName name="trc_Y8DefTax">#REF!</definedName>
    <definedName name="trc_Y8Deposits">#REF!</definedName>
    <definedName name="Trc_Y8DeprecAmort">#REF!</definedName>
    <definedName name="trc_Y8Depreciation">#REF!</definedName>
    <definedName name="Trc_Y8DepreciationFA">#REF!</definedName>
    <definedName name="trc_Y8DevCostsNet">#REF!</definedName>
    <definedName name="trc_Y8DiffRevenues">#REF!</definedName>
    <definedName name="trc_Y8DiscOper">#REF!</definedName>
    <definedName name="Trc_Y8DiscOperNC">#REF!</definedName>
    <definedName name="Trc_Y8Div2Equity">#REF!</definedName>
    <definedName name="trc_Y8Dividend">#REF!</definedName>
    <definedName name="Trc_Y8Dividends">#REF!</definedName>
    <definedName name="Trc_Y8DivOth">#REF!</definedName>
    <definedName name="trc_Y8Domestic">#REF!</definedName>
    <definedName name="trc_Y8DPSGross">#REF!</definedName>
    <definedName name="trc_Y8DPSGrossAdj">#REF!</definedName>
    <definedName name="trc_Y8DPSNet">#REF!</definedName>
    <definedName name="trc_Y8DPSNetAdj">#REF!</definedName>
    <definedName name="trc_Y8DSO">#REF!</definedName>
    <definedName name="trc_Y8EBIT">#REF!</definedName>
    <definedName name="trc_Y8EBITAG">#REF!</definedName>
    <definedName name="trc_Y8EBITDA">#REF!</definedName>
    <definedName name="trc_Y8EBITDAAM">#REF!</definedName>
    <definedName name="trc_Y8Employees">#REF!</definedName>
    <definedName name="trc_Y8EpsAdj">#REF!</definedName>
    <definedName name="trc_Y8EPSDil">#REF!</definedName>
    <definedName name="trc_Y8EPSRep">#REF!</definedName>
    <definedName name="trc_Y8EquityCost">#REF!</definedName>
    <definedName name="trc_Y8EquityExc">#REF!</definedName>
    <definedName name="Trc_Y8EquityTot">#REF!</definedName>
    <definedName name="trc_Y8ExceptItem">#REF!</definedName>
    <definedName name="trc_Y8Exploration">#REF!</definedName>
    <definedName name="trc_Y8ExtraordItem">#REF!</definedName>
    <definedName name="trc_Y8ExtraordOth">#REF!</definedName>
    <definedName name="trc_Y8FeeInc">#REF!</definedName>
    <definedName name="trc_Y8FinanceCharge">#REF!</definedName>
    <definedName name="trc_Y8FinAssOth">#REF!</definedName>
    <definedName name="trc_Y8FinAssTot">#REF!</definedName>
    <definedName name="trc_Y8FinInflowTot">#REF!</definedName>
    <definedName name="trc_Y8FixAssTotNet">#REF!</definedName>
    <definedName name="trc_Y8FixAssUncl">#REF!</definedName>
    <definedName name="Trc_Y8FreeCashFlow">#REF!</definedName>
    <definedName name="trc_Y8FreeFloat">#REF!</definedName>
    <definedName name="trc_Y8FyEndDate">#REF!</definedName>
    <definedName name="trc_Y8GenAdmin">#REF!</definedName>
    <definedName name="trc_Y8GrossProfit">#REF!</definedName>
    <definedName name="trc_Y8HeldAssResale">#REF!</definedName>
    <definedName name="trc_Y8HoldInd">#REF!</definedName>
    <definedName name="Trc_Y8IIRChange">#REF!</definedName>
    <definedName name="Trc_Y8InflowOperCash">#REF!</definedName>
    <definedName name="Trc_Y8InflowOth">#REF!</definedName>
    <definedName name="Trc_Y8InflowOthFI">#REF!</definedName>
    <definedName name="Trc_Y8IntAssChange">#REF!</definedName>
    <definedName name="trc_Y8IntAssOth">#REF!</definedName>
    <definedName name="Trc_Y8IntDivOth">#REF!</definedName>
    <definedName name="trc_Y8InterestExp">#REF!</definedName>
    <definedName name="trc_Y8InterestIncome">#REF!</definedName>
    <definedName name="trc_Y8IntFixAssTotNe">#REF!</definedName>
    <definedName name="trc_Y8InvBanking">#REF!</definedName>
    <definedName name="trc_Y8InvestIncome">#REF!</definedName>
    <definedName name="trc_Y8InvestTotal">#REF!</definedName>
    <definedName name="Trc_Y8InvOthChange">#REF!</definedName>
    <definedName name="trc_Y8LiabTotNet">#REF!</definedName>
    <definedName name="trc_Y8LifeIns">#REF!</definedName>
    <definedName name="Trc_Y8LiqFundMove">#REF!</definedName>
    <definedName name="trc_Y8Loans">#REF!</definedName>
    <definedName name="trc_Y8LoansIG">#REF!</definedName>
    <definedName name="trc_Y8LoansLT">#REF!</definedName>
    <definedName name="trc_Y8LoansST">#REF!</definedName>
    <definedName name="trc_Y8LTDebtors">#REF!</definedName>
    <definedName name="trc_Y8LTLiabOth">#REF!</definedName>
    <definedName name="trc_Y8ManLiqResFin">#REF!</definedName>
    <definedName name="trc_Y8MarketDev">#REF!</definedName>
    <definedName name="trc_Y8MarketEmerg">#REF!</definedName>
    <definedName name="trc_Y8MinorityIntBS">#REF!</definedName>
    <definedName name="trc_Y8MinorityIntPL">#REF!</definedName>
    <definedName name="trc_Y8MisPriceCur">#REF!</definedName>
    <definedName name="trc_Y8NAVPS">#REF!</definedName>
    <definedName name="trc_Y8NetAssets">#REF!</definedName>
    <definedName name="trc_Y8NetDebtBS">#REF!</definedName>
    <definedName name="Trc_Y8NetDebtMove">#REF!</definedName>
    <definedName name="trc_Y8NetFinancial">#REF!</definedName>
    <definedName name="trc_Y8NetGW">#REF!</definedName>
    <definedName name="trc_Y8NetIntInc">#REF!</definedName>
    <definedName name="Trc_Y8NonCashAdjTot">#REF!</definedName>
    <definedName name="Trc_Y8NonCashOth">#REF!</definedName>
    <definedName name="trc_Y8NonLifeIns">#REF!</definedName>
    <definedName name="trc_Y8NormNetPft">#REF!</definedName>
    <definedName name="trc_Y8NormPftAftTax">#REF!</definedName>
    <definedName name="trc_Y8NormTax">#REF!</definedName>
    <definedName name="trc_Y8OperCostOther">#REF!</definedName>
    <definedName name="trc_Y8OperCostXDA">#REF!</definedName>
    <definedName name="trc_Y8OperIncOther">#REF!</definedName>
    <definedName name="trc_Y8OtherAftTax">#REF!</definedName>
    <definedName name="trc_Y8OtherCharges">#REF!</definedName>
    <definedName name="trc_Y8OtherGW">#REF!</definedName>
    <definedName name="trc_Y8OtherIncome">#REF!</definedName>
    <definedName name="trc_Y8OtherInvest">#REF!</definedName>
    <definedName name="trc_Y8OthPretaxAdj">#REF!</definedName>
    <definedName name="trc_Y8OthTax">#REF!</definedName>
    <definedName name="trc_Y8OtTotPreTaxI">#REF!</definedName>
    <definedName name="Trc_Y8PbtAsia">#REF!</definedName>
    <definedName name="Trc_Y8PbtByMarket">#REF!</definedName>
    <definedName name="Trc_Y8PbtEurope">#REF!</definedName>
    <definedName name="Trc_Y8PbtHM">#REF!</definedName>
    <definedName name="Trc_Y8PbtIntraGroup">#REF!</definedName>
    <definedName name="Trc_Y8PbtJapan">#REF!</definedName>
    <definedName name="Trc_Y8PbtMideast">#REF!</definedName>
    <definedName name="Trc_Y8PbtNAM">#REF!</definedName>
    <definedName name="Trc_Y8PbtRestWorld">#REF!</definedName>
    <definedName name="Trc_Y8PbtSoEast">#REF!</definedName>
    <definedName name="trc_Y8PBVFair">#REF!</definedName>
    <definedName name="trc_Y8PensIncom">#REF!</definedName>
    <definedName name="trc_Y8PensProv">#REF!</definedName>
    <definedName name="trc_Y8PPDebtors">#REF!</definedName>
    <definedName name="trc_Y8PrefDiv">#REF!</definedName>
    <definedName name="trc_Y8PreTaxAdj">#REF!</definedName>
    <definedName name="trc_Y8PriceFair">#REF!</definedName>
    <definedName name="trc_Y8ProfitAftTax">#REF!</definedName>
    <definedName name="Trc_Y8ProfitCashFlow">#REF!</definedName>
    <definedName name="trc_Y8ProfitNet">#REF!</definedName>
    <definedName name="trc_Y8ProfitPreTax">#REF!</definedName>
    <definedName name="trc_Y8ProfitRet">#REF!</definedName>
    <definedName name="trc_Y8PropertyNet">#REF!</definedName>
    <definedName name="trc_Y8Provisions">#REF!</definedName>
    <definedName name="trc_Y8ProvisionsST">#REF!</definedName>
    <definedName name="trc_Y8PVdivs">#REF!</definedName>
    <definedName name="trc_Y8PVNAV">#REF!</definedName>
    <definedName name="trc_Y8RD">#REF!</definedName>
    <definedName name="trc_Y8Reinsurance">#REF!</definedName>
    <definedName name="Trc_Y8ReserveEqOth">#REF!</definedName>
    <definedName name="Trc_Y8ReserveGW">#REF!</definedName>
    <definedName name="Trc_Y8ReserveLegal">#REF!</definedName>
    <definedName name="Trc_Y8ReserveMGR">#REF!</definedName>
    <definedName name="trc_Y8Retail">#REF!</definedName>
    <definedName name="trc_Y8Revenue">#REF!</definedName>
    <definedName name="trc_Y8ROEAdj">#REF!</definedName>
    <definedName name="trc_Y8ROENormal">#REF!</definedName>
    <definedName name="trc_Y8SGA">#REF!</definedName>
    <definedName name="Trc_Y8ShareCapital">#REF!</definedName>
    <definedName name="trc_Y8SharesDilYE">#REF!</definedName>
    <definedName name="trc_Y8SharesOrd">#REF!</definedName>
    <definedName name="Trc_Y8SharesOthEq">#REF!</definedName>
    <definedName name="trc_Y8SharesOutBAL">#REF!</definedName>
    <definedName name="trc_Y8SharesOutDIL">#REF!</definedName>
    <definedName name="trc_Y8SharesOutWA">#REF!</definedName>
    <definedName name="Trc_Y8SharesOwn">#REF!</definedName>
    <definedName name="Trc_Y8SharesPref">#REF!</definedName>
    <definedName name="Trc_Y8SharesPremium">#REF!</definedName>
    <definedName name="Trc_Y8SharesTotCap">#REF!</definedName>
    <definedName name="Trc_Y8SlsAsia">#REF!</definedName>
    <definedName name="Trc_Y8SlsByMarket">#REF!</definedName>
    <definedName name="Trc_Y8SlsEurope">#REF!</definedName>
    <definedName name="Trc_Y8SlsHM">#REF!</definedName>
    <definedName name="Trc_Y8SlsIntraGroup">#REF!</definedName>
    <definedName name="Trc_Y8SlsJapan">#REF!</definedName>
    <definedName name="Trc_Y8SlsMideast">#REF!</definedName>
    <definedName name="Trc_Y8SlsNAM">#REF!</definedName>
    <definedName name="Trc_Y8SlsRestWorld">#REF!</definedName>
    <definedName name="Trc_Y8SlsSoEast">#REF!</definedName>
    <definedName name="trc_Y8StaffCost">#REF!</definedName>
    <definedName name="Trc_Y8Stocks">#REF!</definedName>
    <definedName name="Trc_Y8StocksChangeNC">#REF!</definedName>
    <definedName name="trc_Y8Subscribers">#REF!</definedName>
    <definedName name="Trc_Y8TanAssChange">#REF!</definedName>
    <definedName name="trc_Y8TanAssLeased">#REF!</definedName>
    <definedName name="trc_Y8TanFixAssOthGr">#REF!</definedName>
    <definedName name="trc_Y8TanFixAssOthNe">#REF!</definedName>
    <definedName name="trc_Y8TanFixAssTotNe">#REF!</definedName>
    <definedName name="trc_Y8TargetPriceFin">#REF!</definedName>
    <definedName name="trc_Y8TargetRtrn">#REF!</definedName>
    <definedName name="trc_Y8Tax">#REF!</definedName>
    <definedName name="Trc_Y8TaxCL">#REF!</definedName>
    <definedName name="Trc_Y8TaxFD">#REF!</definedName>
    <definedName name="trc_Y8TotAftTaxI">#REF!</definedName>
    <definedName name="trc_Y8TotalAssets">#REF!</definedName>
    <definedName name="trc_Y8TotalBM">#REF!</definedName>
    <definedName name="trc_Y8TotalDeprAM">#REF!</definedName>
    <definedName name="trc_Y8TotalFinExp">#REF!</definedName>
    <definedName name="trc_Y8TotalFinInc">#REF!</definedName>
    <definedName name="trc_Y8TotalGM">#REF!</definedName>
    <definedName name="trc_Y8TotDefLTLiab">#REF!</definedName>
    <definedName name="trc_Y8TotDividends">#REF!</definedName>
    <definedName name="trc_Y8TradeCreditors">#REF!</definedName>
    <definedName name="trc_Y8TradeInv">#REF!</definedName>
    <definedName name="trc_Y8TradingInc">#REF!</definedName>
    <definedName name="Trc_Y8WCAdjOth">#REF!</definedName>
    <definedName name="trc_y8Year">#REF!</definedName>
    <definedName name="trc_YrsOfCash">#REF!</definedName>
    <definedName name="ud06r.GroupNums">#REF!</definedName>
    <definedName name="Ulcer_Market">#REF!</definedName>
    <definedName name="UniqueRange_1">#REF!</definedName>
    <definedName name="UniqueRange_2">#REF!</definedName>
    <definedName name="UniqueRange_3">#REF!</definedName>
    <definedName name="Upcoming_Events">#REF!</definedName>
    <definedName name="upper_left1">#REF!</definedName>
    <definedName name="upper_left2">#REF!</definedName>
    <definedName name="USNat" localSheetId="0">#REF!</definedName>
    <definedName name="USNat">#REF!</definedName>
    <definedName name="value_ROCE">#REF!</definedName>
    <definedName name="Value_to_TargetPrice_at_9mult">#REF!</definedName>
    <definedName name="ver1.0" hidden="1">#REF!</definedName>
    <definedName name="ver1.01" hidden="1">#REF!</definedName>
    <definedName name="ver1.1" hidden="1">#REF!</definedName>
    <definedName name="VOL">#REF!</definedName>
    <definedName name="VolumeCell">#REF!</definedName>
    <definedName name="WACC1">#REF!</definedName>
    <definedName name="wbh01m.BLinks">INDIRECT("FDSWMMA.XLM!mfs20.BHandler")</definedName>
    <definedName name="WIZARD_3YRATCF">#REF!</definedName>
    <definedName name="WIZARD_3YREBITDA">#REF!</definedName>
    <definedName name="WIZARD_3YRSECGROWTH">#REF!</definedName>
    <definedName name="WIZARD_AVERAGETRADINGVOLUME">#REF!</definedName>
    <definedName name="WIZARD_AVGTRADINGVOLUME">#REF!</definedName>
    <definedName name="WIZARD_BKVALSHR">#REF!</definedName>
    <definedName name="WIZARD_BOOKVALUEPERSHARE">#REF!</definedName>
    <definedName name="WIZARD_BURNRATE">#REF!</definedName>
    <definedName name="WIZARD_CASH">#REF!</definedName>
    <definedName name="WIZARD_CURRENTRATING">#REF!</definedName>
    <definedName name="WIZARD_DATEOFSUBMISSION">#REF!</definedName>
    <definedName name="WIZARD_DEBTEBITDA">#REF!</definedName>
    <definedName name="WIZARD_DIVYIELD">#REF!</definedName>
    <definedName name="WIZARD_EARNINGS">#REF!</definedName>
    <definedName name="WIZARD_EBITDABYSHROO">#REF!</definedName>
    <definedName name="WIZARD_EVBYEBITDAOO">#REF!</definedName>
    <definedName name="WIZARD_EVINVCAP">#REF!</definedName>
    <definedName name="WIZARD_INTCOVERAGE">#REF!</definedName>
    <definedName name="WIZARD_LTDEBT">#REF!</definedName>
    <definedName name="WIZARD_MARKETCAP">#REF!</definedName>
    <definedName name="WIZARD_NETCASHPERSHARE">#REF!</definedName>
    <definedName name="WIZARD_NETCASHSHR">#REF!</definedName>
    <definedName name="WIZARD_NETDEBTCAP">#REF!</definedName>
    <definedName name="WIZARD_OPERMARGIN">#REF!</definedName>
    <definedName name="WIZARD_PACINGS">#REF!</definedName>
    <definedName name="WIZARD_PRICEESTNAV">#REF!</definedName>
    <definedName name="WIZARD_RATING">#REF!</definedName>
    <definedName name="WIZARD_REVENUES">#REF!</definedName>
    <definedName name="WIZARD_ROAA">#REF!</definedName>
    <definedName name="WIZARD_ROAE">#REF!</definedName>
    <definedName name="WIZARD_ROE">#REF!</definedName>
    <definedName name="WIZARD_ROIC">#REF!</definedName>
    <definedName name="WIZARD_SECULARGROWTHRATE">#REF!</definedName>
    <definedName name="WIZARD_SHARESOUT">#REF!</definedName>
    <definedName name="WIZARD_SHARESOUTSTANDING">#REF!</definedName>
    <definedName name="WIZARD_STATIONBCF">#REF!</definedName>
    <definedName name="WIZARD_STATIONREV">#REF!</definedName>
    <definedName name="WIZARD_TICKER">#REF!</definedName>
    <definedName name="WIZARD_TOTDEBTCAP">#REF!</definedName>
    <definedName name="WIZARD_Y1CAPREVR">#REF!</definedName>
    <definedName name="WIZARD_Y1CAPREVS2">#REF!</definedName>
    <definedName name="WIZARD_Y1CASHCYEPSS1">#REF!</definedName>
    <definedName name="WIZARD_Y1CASHCYPES1">#REF!</definedName>
    <definedName name="WIZARD_Y1CYE">#REF!</definedName>
    <definedName name="WIZARD_Y1CYPEE">#REF!</definedName>
    <definedName name="WIZARD_Y1CYPES1">#REF!</definedName>
    <definedName name="WIZARD_Y1CYREVS2">#REF!</definedName>
    <definedName name="WIZARD_Y1CYS1">#REF!</definedName>
    <definedName name="WIZARD_Y1E">#REF!</definedName>
    <definedName name="WIZARD_Y1EBITDAYRS2">#REF!</definedName>
    <definedName name="WIZARD_Y1EMVBYREV">#REF!</definedName>
    <definedName name="WIZARD_Y1EVEBITDAS2">#REF!</definedName>
    <definedName name="WIZARD_Y1PEE">#REF!</definedName>
    <definedName name="WIZARD_Y1PES1">#REF!</definedName>
    <definedName name="WIZARD_Y1Q1E">#REF!</definedName>
    <definedName name="WIZARD_Y1Q1R">#REF!</definedName>
    <definedName name="WIZARD_Y1Q1S1">#REF!</definedName>
    <definedName name="WIZARD_Y1Q1S2">#REF!</definedName>
    <definedName name="WIZARD_Y1Q2E">#REF!</definedName>
    <definedName name="WIZARD_Y1Q2R">#REF!</definedName>
    <definedName name="WIZARD_Y1Q2S1">#REF!</definedName>
    <definedName name="WIZARD_Y1Q2S2">#REF!</definedName>
    <definedName name="WIZARD_Y1Q3E">#REF!</definedName>
    <definedName name="WIZARD_Y1Q3R">#REF!</definedName>
    <definedName name="WIZARD_Y1Q3S1">#REF!</definedName>
    <definedName name="WIZARD_Y1Q3S2">#REF!</definedName>
    <definedName name="WIZARD_Y1Q4E">#REF!</definedName>
    <definedName name="WIZARD_Y1Q4R">#REF!</definedName>
    <definedName name="WIZARD_Y1Q4S1">#REF!</definedName>
    <definedName name="WIZARD_Y1Q4S2">#REF!</definedName>
    <definedName name="WIZARD_Y1R">#REF!</definedName>
    <definedName name="WIZARD_Y1S1">#REF!</definedName>
    <definedName name="WIZARD_Y1S2">#REF!</definedName>
    <definedName name="WIZARD_Y1YEARE">#REF!</definedName>
    <definedName name="WIZARD_Y1YEARR">#REF!</definedName>
    <definedName name="WIZARD_Y1YEARS1">#REF!</definedName>
    <definedName name="WIZARD_Y1YEARS2">#REF!</definedName>
    <definedName name="WIZARD_Y2CAPREVR">#REF!</definedName>
    <definedName name="WIZARD_Y2E">#REF!</definedName>
    <definedName name="WIZARD_Y2EMVBYREV">#REF!</definedName>
    <definedName name="WIZARD_Y2PEE">#REF!</definedName>
    <definedName name="WIZARD_Y2PES1">#REF!</definedName>
    <definedName name="WIZARD_Y2Q1E">#REF!</definedName>
    <definedName name="WIZARD_Y2Q1R">#REF!</definedName>
    <definedName name="WIZARD_Y2Q1S1">#REF!</definedName>
    <definedName name="WIZARD_Y2Q1S2">#REF!</definedName>
    <definedName name="WIZARD_Y2Q2E">#REF!</definedName>
    <definedName name="WIZARD_Y2Q2R">#REF!</definedName>
    <definedName name="WIZARD_Y2Q2S1">#REF!</definedName>
    <definedName name="WIZARD_Y2Q2S2">#REF!</definedName>
    <definedName name="WIZARD_Y2Q3E">#REF!</definedName>
    <definedName name="WIZARD_Y2Q3R">#REF!</definedName>
    <definedName name="WIZARD_Y2Q3S1">#REF!</definedName>
    <definedName name="WIZARD_Y2Q3S2">#REF!</definedName>
    <definedName name="WIZARD_Y2Q4E">#REF!</definedName>
    <definedName name="WIZARD_Y2Q4R">#REF!</definedName>
    <definedName name="WIZARD_Y2Q4S1">#REF!</definedName>
    <definedName name="WIZARD_Y2Q4S2">#REF!</definedName>
    <definedName name="WIZARD_Y2R">#REF!</definedName>
    <definedName name="WIZARD_Y2S1">#REF!</definedName>
    <definedName name="WIZARD_Y2S2">#REF!</definedName>
    <definedName name="WIZARD_Y2YEARE">#REF!</definedName>
    <definedName name="WIZARD_Y2YEARR">#REF!</definedName>
    <definedName name="WIZARD_Y2YEARS2">#REF!</definedName>
    <definedName name="WIZARD_Y3CAPREVR">#REF!</definedName>
    <definedName name="WIZARD_Y3E">#REF!</definedName>
    <definedName name="WIZARD_Y3EMVBYREV">#REF!</definedName>
    <definedName name="WIZARD_Y3PEE">#REF!</definedName>
    <definedName name="WIZARD_Y3PES1">#REF!</definedName>
    <definedName name="WIZARD_Y3Q1E">#REF!</definedName>
    <definedName name="WIZARD_Y3Q1R">#REF!</definedName>
    <definedName name="WIZARD_Y3Q1S1">#REF!</definedName>
    <definedName name="WIZARD_Y3Q1S2">#REF!</definedName>
    <definedName name="WIZARD_Y3Q2E">#REF!</definedName>
    <definedName name="WIZARD_Y3Q2R">#REF!</definedName>
    <definedName name="WIZARD_Y3Q2S1">#REF!</definedName>
    <definedName name="WIZARD_Y3Q2S2">#REF!</definedName>
    <definedName name="WIZARD_Y3Q3E">#REF!</definedName>
    <definedName name="WIZARD_Y3Q3R">#REF!</definedName>
    <definedName name="WIZARD_Y3Q3S1">#REF!</definedName>
    <definedName name="WIZARD_Y3Q3S2">#REF!</definedName>
    <definedName name="WIZARD_Y3Q4E">#REF!</definedName>
    <definedName name="WIZARD_Y3Q4R">#REF!</definedName>
    <definedName name="WIZARD_Y3Q4S1">#REF!</definedName>
    <definedName name="WIZARD_Y3Q4S2">#REF!</definedName>
    <definedName name="WIZARD_Y3R">#REF!</definedName>
    <definedName name="WIZARD_Y3S1">#REF!</definedName>
    <definedName name="WIZARD_Y3S2">#REF!</definedName>
    <definedName name="WIZARD_Y3YEARE">#REF!</definedName>
    <definedName name="WIZARD_Y3YEARR">#REF!</definedName>
    <definedName name="WIZARD_Y3YEARS2">#REF!</definedName>
    <definedName name="WIZARD_YEARSOFCASH">#REF!</definedName>
    <definedName name="workcap">#REF!</definedName>
    <definedName name="workcapmanagement">#REF!</definedName>
    <definedName name="wrn.aba." localSheetId="0" hidden="1">{"ww",#N/A,FALSE,"Hospital Products";"us",#N/A,FALSE,"Hospital Products";"in",#N/A,FALSE,"Hospital Products"}</definedName>
    <definedName name="wrn.aba." hidden="1">{"ww",#N/A,FALSE,"Hospital Products";"us",#N/A,FALSE,"Hospital Products";"in",#N/A,FALSE,"Hospital Products"}</definedName>
    <definedName name="wrn.abl." localSheetId="0" hidden="1">{"ww",#N/A,FALSE,"Hospital Products";"us",#N/A,FALSE,"Hospital Products";"in",#N/A,FALSE,"Hospital Products"}</definedName>
    <definedName name="wrn.abl." hidden="1">{"ww",#N/A,FALSE,"Hospital Products";"us",#N/A,FALSE,"Hospital Products";"in",#N/A,FALSE,"Hospital Products"}</definedName>
    <definedName name="wrn.abt." localSheetId="0" hidden="1">{"ww",#N/A,FALSE,"Hospital Products";"us",#N/A,FALSE,"Hospital Products";"in",#N/A,FALSE,"Hospital Products"}</definedName>
    <definedName name="wrn.abt." hidden="1">{"ww",#N/A,FALSE,"Hospital Products";"us",#N/A,FALSE,"Hospital Products";"in",#N/A,FALSE,"Hospital Products"}</definedName>
    <definedName name="wrn.Aging._.and._.Trend._.Analysis." hidden="1">{#N/A,#N/A,FALSE,"Aging Summary";#N/A,#N/A,FALSE,"Ratio Analysis";#N/A,#N/A,FALSE,"Test 120 Day Accts";#N/A,#N/A,FALSE,"Tickmarks"}</definedName>
    <definedName name="wrn.all." localSheetId="0" hidden="1">{#N/A,#N/A,FALSE,"Time Warner";#N/A,#N/A,FALSE,"Entertainment Group";#N/A,#N/A,FALSE,"EBITDA";#N/A,#N/A,FALSE,"Notes"}</definedName>
    <definedName name="wrn.all." hidden="1">{#N/A,#N/A,FALSE,"Time Warner";#N/A,#N/A,FALSE,"Entertainment Group";#N/A,#N/A,FALSE,"EBITDA";#N/A,#N/A,FALSE,"Notes"}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merica._.Online." hidden="1">{#N/A,#N/A,FALSE,"Intro";#N/A,#N/A,FALSE,"Inc. St.";#N/A,#N/A,FALSE,"CalYear";#N/A,#N/A,FALSE,"FYear";#N/A,#N/A,FALSE,"Subs";#N/A,#N/A,FALSE,"Other Revs";#N/A,#N/A,FALSE,"Deals";#N/A,#N/A,FALSE,"RevsYear";#N/A,#N/A,FALSE,"Balance";#N/A,#N/A,FALSE,"OpCashFlow";#N/A,#N/A,FALSE,"Val.";#N/A,#N/A,FALSE,"DCFVal"}</definedName>
    <definedName name="wrn.BUDGET." localSheetId="0"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b." localSheetId="0"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c." localSheetId="0"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c."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dil_anal." hidden="1">{"hiden",#N/A,FALSE,"14";"hidden",#N/A,FALSE,"16";"hidden",#N/A,FALSE,"18";"hidden",#N/A,FALSE,"20"}</definedName>
    <definedName name="wrn.document." hidden="1">{"comp",#N/A,FALSE,"SPEC";"footnotes",#N/A,FALSE,"SPEC"}</definedName>
    <definedName name="wrn.documentaero." hidden="1">{"comps2",#N/A,FALSE,"AERO";"footnotes",#N/A,FALSE,"AERO"}</definedName>
    <definedName name="wrn.documenthand." hidden="1">{"comps",#N/A,FALSE,"HANDPACK";"footnotes",#N/A,FALSE,"HANDPACK"}</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quity._.comps." hidden="1">{"equity comps",#N/A,FALSE,"CS Comps";"equity comps",#N/A,FALSE,"PS Comps";"equity comps",#N/A,FALSE,"GIC_Comps";"equity comps",#N/A,FALSE,"GIC2_Comps"}</definedName>
    <definedName name="wrn.Genentech._.Model." hidden="1">{#N/A,#N/A,FALSE,"Inc";#N/A,#N/A,FALSE,"Prod";#N/A,#N/A,FALSE,"QInc";#N/A,#N/A,FALSE,"QProd"}</definedName>
    <definedName name="wrn.Report_PR_1." hidden="1">{"PR1","pr1",TRUE,"Sch PR-1"}</definedName>
    <definedName name="wrn.totalcomp." hidden="1">{"comp1",#N/A,FALSE,"COMPS";"footnotes",#N/A,FALSE,"COMPS"}</definedName>
    <definedName name="wrn.Yahoo." hidden="1">{#N/A,#N/A,FALSE,"Inc. St.";#N/A,#N/A,FALSE,"FYear";#N/A,#N/A,FALSE,"Revs.";#N/A,#N/A,FALSE,"RevsYear";#N/A,#N/A,FALSE,"Balance";#N/A,#N/A,FALSE,"CompVal";#N/A,#N/A,FALSE,"Val.";#N/A,#N/A,FALSE,"DCFval"}</definedName>
    <definedName name="wrt.budgetb." localSheetId="0"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t.budgetb."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td_Avg_Real_Mkt_Returns">#REF!</definedName>
    <definedName name="WWNat" localSheetId="0">#REF!</definedName>
    <definedName name="WWNat">#REF!</definedName>
    <definedName name="www" hidden="1">{"equity comps",#N/A,FALSE,"CS Comps";"equity comps",#N/A,FALSE,"PS Comps";"equity comps",#N/A,FALSE,"GIC_Comps";"equity comps",#N/A,FALSE,"GIC2_Comps";"debt comps",#N/A,FALSE,"CS Comps";"debt comps",#N/A,FALSE,"PS Comps";"debt comps",#N/A,FALSE,"GIC_Comps";"debt comps",#N/A,FALSE,"GIC2_Comps"}</definedName>
    <definedName name="xr">1/(#REF!)</definedName>
    <definedName name="xx">#REF!,#REF!,#REF!</definedName>
    <definedName name="xxx">#REF!</definedName>
    <definedName name="y_0">#REF!</definedName>
    <definedName name="y_1">#REF!</definedName>
    <definedName name="y_2">#REF!</definedName>
    <definedName name="y_3">#REF!</definedName>
    <definedName name="y_4">#REF!</definedName>
    <definedName name="y_5">#REF!</definedName>
    <definedName name="y_6">#REF!</definedName>
    <definedName name="Yahoo" hidden="1">{#N/A,#N/A,FALSE,"Inc. St.";#N/A,#N/A,FALSE,"FYear";#N/A,#N/A,FALSE,"Revs.";#N/A,#N/A,FALSE,"RevsYear";#N/A,#N/A,FALSE,"Balance";#N/A,#N/A,FALSE,"CompVal";#N/A,#N/A,FALSE,"Val.";#N/A,#N/A,FALSE,"DCFval"}</definedName>
    <definedName name="yatin">#REF!</definedName>
    <definedName name="year">#REF!</definedName>
    <definedName name="yr_ago_rev">#REF!</definedName>
    <definedName name="yyy">#REF!</definedName>
    <definedName name="zithromax">#REF!</definedName>
    <definedName name="zzz">#REF!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5" i="2" l="1"/>
  <c r="N25" i="2"/>
  <c r="F112" i="9"/>
  <c r="G112" i="9"/>
  <c r="H112" i="9"/>
  <c r="I112" i="9"/>
  <c r="E112" i="9"/>
  <c r="F114" i="9"/>
  <c r="G114" i="9"/>
  <c r="H114" i="9"/>
  <c r="I114" i="9"/>
  <c r="J114" i="9"/>
  <c r="K114" i="9"/>
  <c r="E114" i="9"/>
  <c r="L114" i="9"/>
  <c r="M114" i="9"/>
  <c r="N114" i="9"/>
  <c r="J112" i="9"/>
  <c r="K112" i="9"/>
  <c r="L112" i="9"/>
  <c r="M112" i="9"/>
  <c r="N112" i="9"/>
  <c r="C89" i="9"/>
  <c r="H2" i="3"/>
  <c r="H6" i="3"/>
  <c r="H7" i="3"/>
  <c r="H8" i="3"/>
  <c r="H9" i="3"/>
  <c r="I19" i="23" s="1"/>
  <c r="H10" i="3"/>
  <c r="H12" i="3"/>
  <c r="H14" i="3"/>
  <c r="H17" i="3"/>
  <c r="H20" i="3"/>
  <c r="Q115" i="9"/>
  <c r="P115" i="9"/>
  <c r="Q113" i="9"/>
  <c r="E113" i="9"/>
  <c r="O115" i="9"/>
  <c r="P113" i="9"/>
  <c r="D89" i="9"/>
  <c r="N115" i="9"/>
  <c r="O113" i="9"/>
  <c r="D88" i="9"/>
  <c r="M115" i="9"/>
  <c r="N113" i="9"/>
  <c r="L115" i="9"/>
  <c r="M113" i="9"/>
  <c r="K115" i="9"/>
  <c r="L113" i="9"/>
  <c r="J115" i="9"/>
  <c r="K113" i="9"/>
  <c r="I115" i="9"/>
  <c r="J113" i="9"/>
  <c r="H115" i="9"/>
  <c r="I113" i="9"/>
  <c r="G115" i="9"/>
  <c r="H113" i="9"/>
  <c r="F115" i="9"/>
  <c r="G113" i="9"/>
  <c r="F113" i="9"/>
  <c r="E115" i="9"/>
  <c r="E17" i="23" l="1"/>
  <c r="F17" i="23"/>
  <c r="G17" i="23"/>
  <c r="H17" i="23"/>
  <c r="I17" i="23"/>
  <c r="D17" i="23"/>
  <c r="F15" i="23"/>
  <c r="H12" i="23"/>
  <c r="C49" i="22"/>
  <c r="B49" i="22"/>
  <c r="J25" i="2"/>
  <c r="E18" i="2" l="1"/>
  <c r="E16" i="2"/>
  <c r="E15" i="2"/>
  <c r="E9" i="2"/>
  <c r="E7" i="2"/>
  <c r="C88" i="9"/>
  <c r="F12" i="2"/>
  <c r="D40" i="23"/>
  <c r="G2" i="3" l="1"/>
  <c r="G6" i="3"/>
  <c r="G7" i="3"/>
  <c r="G8" i="3"/>
  <c r="G9" i="3"/>
  <c r="H19" i="23" s="1"/>
  <c r="G10" i="3"/>
  <c r="G12" i="3"/>
  <c r="G14" i="3"/>
  <c r="G17" i="3"/>
  <c r="G20" i="3"/>
  <c r="C2" i="3"/>
  <c r="C6" i="3"/>
  <c r="C8" i="3"/>
  <c r="C10" i="3"/>
  <c r="C17" i="3"/>
  <c r="J23" i="2"/>
  <c r="J18" i="2"/>
  <c r="J16" i="2"/>
  <c r="J15" i="2"/>
  <c r="J13" i="2"/>
  <c r="C12" i="3" s="1"/>
  <c r="I12" i="2"/>
  <c r="H12" i="2"/>
  <c r="G12" i="2"/>
  <c r="J11" i="2"/>
  <c r="J9" i="2"/>
  <c r="J7" i="2"/>
  <c r="J5" i="2"/>
  <c r="C5" i="3" s="1"/>
  <c r="I4" i="2"/>
  <c r="H4" i="2"/>
  <c r="G4" i="2"/>
  <c r="F4" i="2"/>
  <c r="J4" i="2" l="1"/>
  <c r="C4" i="3" s="1"/>
  <c r="C16" i="3"/>
  <c r="C14" i="3"/>
  <c r="C9" i="3"/>
  <c r="D19" i="23" s="1"/>
  <c r="C7" i="3"/>
  <c r="C20" i="3"/>
  <c r="F14" i="2"/>
  <c r="F17" i="2" s="1"/>
  <c r="G14" i="2"/>
  <c r="G17" i="2" s="1"/>
  <c r="G21" i="2" s="1"/>
  <c r="G22" i="2" s="1"/>
  <c r="H14" i="2"/>
  <c r="H17" i="2" s="1"/>
  <c r="H21" i="2" s="1"/>
  <c r="H22" i="2" s="1"/>
  <c r="I14" i="2"/>
  <c r="I17" i="2" s="1"/>
  <c r="I21" i="2" s="1"/>
  <c r="I22" i="2" s="1"/>
  <c r="J12" i="2"/>
  <c r="C22" i="22"/>
  <c r="D22" i="22"/>
  <c r="B22" i="22"/>
  <c r="C11" i="3" l="1"/>
  <c r="J14" i="2"/>
  <c r="F21" i="2"/>
  <c r="F22" i="2" s="1"/>
  <c r="J17" i="2"/>
  <c r="C39" i="22"/>
  <c r="D39" i="22"/>
  <c r="E39" i="22"/>
  <c r="F39" i="22"/>
  <c r="G39" i="22"/>
  <c r="H39" i="22"/>
  <c r="I39" i="22"/>
  <c r="J39" i="22"/>
  <c r="K39" i="22"/>
  <c r="L39" i="22"/>
  <c r="M39" i="22"/>
  <c r="B39" i="22"/>
  <c r="C15" i="3" l="1"/>
  <c r="C13" i="3"/>
  <c r="J21" i="2"/>
  <c r="B41" i="22"/>
  <c r="B29" i="22"/>
  <c r="B30" i="22" s="1"/>
  <c r="B38" i="22" s="1"/>
  <c r="C28" i="22"/>
  <c r="D28" i="22" s="1"/>
  <c r="B17" i="22"/>
  <c r="C12" i="22"/>
  <c r="C23" i="22" s="1"/>
  <c r="B12" i="22"/>
  <c r="B23" i="22" s="1"/>
  <c r="B5" i="22"/>
  <c r="C4" i="22"/>
  <c r="C3" i="22"/>
  <c r="D3" i="22" s="1"/>
  <c r="J22" i="2" l="1"/>
  <c r="C18" i="3"/>
  <c r="C5" i="22"/>
  <c r="C14" i="22" s="1"/>
  <c r="C16" i="22" s="1"/>
  <c r="D4" i="22"/>
  <c r="D5" i="22" s="1"/>
  <c r="D14" i="22" s="1"/>
  <c r="B7" i="22"/>
  <c r="B9" i="22" s="1"/>
  <c r="B14" i="22"/>
  <c r="C7" i="22"/>
  <c r="C9" i="22" s="1"/>
  <c r="D17" i="22" s="1"/>
  <c r="E11" i="22"/>
  <c r="D12" i="22"/>
  <c r="D23" i="22" s="1"/>
  <c r="B36" i="22"/>
  <c r="C19" i="3" l="1"/>
  <c r="E12" i="22"/>
  <c r="E23" i="22" s="1"/>
  <c r="E22" i="22"/>
  <c r="F11" i="22"/>
  <c r="B16" i="22"/>
  <c r="B18" i="22" s="1"/>
  <c r="C17" i="22"/>
  <c r="B13" i="22"/>
  <c r="F12" i="22" l="1"/>
  <c r="F23" i="22" s="1"/>
  <c r="F22" i="22"/>
  <c r="B46" i="22"/>
  <c r="C46" i="22" l="1"/>
  <c r="D46" i="22" l="1"/>
  <c r="E46" i="22" s="1"/>
  <c r="F46" i="22" s="1"/>
  <c r="G46" i="22" s="1"/>
  <c r="H46" i="22" s="1"/>
  <c r="I46" i="22" s="1"/>
  <c r="J46" i="22" s="1"/>
  <c r="K46" i="22" s="1"/>
  <c r="L46" i="22" s="1"/>
  <c r="M46" i="22" s="1"/>
  <c r="M35" i="22" l="1"/>
  <c r="L35" i="22"/>
  <c r="K35" i="22"/>
  <c r="J35" i="22"/>
  <c r="I35" i="22"/>
  <c r="H35" i="22"/>
  <c r="G35" i="22"/>
  <c r="F35" i="22"/>
  <c r="E35" i="22"/>
  <c r="D35" i="22"/>
  <c r="C35" i="22"/>
  <c r="B35" i="22"/>
  <c r="C31" i="22"/>
  <c r="M31" i="22"/>
  <c r="L31" i="22"/>
  <c r="K31" i="22"/>
  <c r="J31" i="22"/>
  <c r="I31" i="22"/>
  <c r="H31" i="22"/>
  <c r="G31" i="22"/>
  <c r="F31" i="22"/>
  <c r="E31" i="22"/>
  <c r="D31" i="22"/>
  <c r="B31" i="22"/>
  <c r="B32" i="22" s="1"/>
  <c r="B34" i="22" l="1"/>
  <c r="B40" i="22"/>
  <c r="B42" i="22" s="1"/>
  <c r="C41" i="22" l="1"/>
  <c r="B37" i="22"/>
  <c r="D12" i="2"/>
  <c r="C12" i="2"/>
  <c r="B12" i="2"/>
  <c r="E12" i="2" l="1"/>
  <c r="C29" i="22" l="1"/>
  <c r="C30" i="22" s="1"/>
  <c r="C32" i="22" l="1"/>
  <c r="C34" i="22" s="1"/>
  <c r="D41" i="22" s="1"/>
  <c r="C38" i="22"/>
  <c r="C36" i="22"/>
  <c r="C37" i="22" l="1"/>
  <c r="C40" i="22"/>
  <c r="C42" i="22" s="1"/>
  <c r="B44" i="22"/>
  <c r="B47" i="22" s="1"/>
  <c r="B48" i="22" s="1"/>
  <c r="C18" i="22"/>
  <c r="B20" i="22"/>
  <c r="B24" i="22" s="1"/>
  <c r="B25" i="22" l="1"/>
  <c r="C44" i="22"/>
  <c r="C47" i="22" s="1"/>
  <c r="C48" i="22" s="1"/>
  <c r="C20" i="22"/>
  <c r="C24" i="22" s="1"/>
  <c r="C13" i="22"/>
  <c r="C3" i="3" s="1"/>
  <c r="G10" i="23" l="1"/>
  <c r="G15" i="23" s="1"/>
  <c r="B50" i="22"/>
  <c r="M3" i="2" s="1"/>
  <c r="D13" i="23"/>
  <c r="C25" i="22"/>
  <c r="C50" i="22" l="1"/>
  <c r="N3" i="2" s="1"/>
  <c r="H10" i="23"/>
  <c r="H15" i="23" s="1"/>
  <c r="E13" i="23"/>
  <c r="D29" i="22" l="1"/>
  <c r="E4" i="22"/>
  <c r="F4" i="22" s="1"/>
  <c r="G4" i="22" s="1"/>
  <c r="H4" i="22" s="1"/>
  <c r="I4" i="22" s="1"/>
  <c r="J4" i="22" s="1"/>
  <c r="K4" i="22" s="1"/>
  <c r="L4" i="22" s="1"/>
  <c r="M4" i="22" s="1"/>
  <c r="E29" i="22" l="1"/>
  <c r="F29" i="22" s="1"/>
  <c r="G29" i="22" s="1"/>
  <c r="H29" i="22" s="1"/>
  <c r="I29" i="22" s="1"/>
  <c r="J29" i="22" s="1"/>
  <c r="K29" i="22" s="1"/>
  <c r="L29" i="22" s="1"/>
  <c r="M29" i="22" s="1"/>
  <c r="D30" i="22"/>
  <c r="D38" i="22" s="1"/>
  <c r="D36" i="22" l="1"/>
  <c r="E36" i="22" s="1"/>
  <c r="F36" i="22" s="1"/>
  <c r="G36" i="22" s="1"/>
  <c r="H36" i="22" s="1"/>
  <c r="I36" i="22" s="1"/>
  <c r="J36" i="22" s="1"/>
  <c r="K36" i="22" s="1"/>
  <c r="L36" i="22" s="1"/>
  <c r="M36" i="22" s="1"/>
  <c r="E28" i="22"/>
  <c r="D32" i="22"/>
  <c r="D34" i="22" s="1"/>
  <c r="D37" i="22" l="1"/>
  <c r="E41" i="22"/>
  <c r="F28" i="22"/>
  <c r="E30" i="22"/>
  <c r="E32" i="22" l="1"/>
  <c r="E34" i="22" s="1"/>
  <c r="F41" i="22" s="1"/>
  <c r="E38" i="22"/>
  <c r="E40" i="22" s="1"/>
  <c r="E42" i="22" s="1"/>
  <c r="E44" i="22" s="1"/>
  <c r="D40" i="22"/>
  <c r="D42" i="22" s="1"/>
  <c r="D44" i="22" s="1"/>
  <c r="D47" i="22" s="1"/>
  <c r="D48" i="22" s="1"/>
  <c r="D49" i="22" s="1"/>
  <c r="I12" i="23" s="1"/>
  <c r="G28" i="22"/>
  <c r="F30" i="22"/>
  <c r="F32" i="22" l="1"/>
  <c r="F34" i="22" s="1"/>
  <c r="G41" i="22" s="1"/>
  <c r="F38" i="22"/>
  <c r="F40" i="22" s="1"/>
  <c r="F42" i="22" s="1"/>
  <c r="F44" i="22" s="1"/>
  <c r="F47" i="22" s="1"/>
  <c r="E37" i="22"/>
  <c r="E47" i="22"/>
  <c r="H28" i="22"/>
  <c r="G30" i="22"/>
  <c r="E48" i="22" l="1"/>
  <c r="E49" i="22" s="1"/>
  <c r="J12" i="23" s="1"/>
  <c r="G32" i="22"/>
  <c r="G34" i="22" s="1"/>
  <c r="H41" i="22" s="1"/>
  <c r="G38" i="22"/>
  <c r="G40" i="22" s="1"/>
  <c r="G42" i="22" s="1"/>
  <c r="G44" i="22" s="1"/>
  <c r="G47" i="22" s="1"/>
  <c r="F37" i="22"/>
  <c r="I28" i="22"/>
  <c r="H30" i="22"/>
  <c r="H32" i="22" l="1"/>
  <c r="H34" i="22" s="1"/>
  <c r="I41" i="22" s="1"/>
  <c r="H38" i="22"/>
  <c r="H40" i="22" s="1"/>
  <c r="H42" i="22" s="1"/>
  <c r="H44" i="22" s="1"/>
  <c r="H47" i="22" s="1"/>
  <c r="F48" i="22"/>
  <c r="F49" i="22" s="1"/>
  <c r="K12" i="23" s="1"/>
  <c r="G37" i="22"/>
  <c r="J28" i="22"/>
  <c r="I30" i="22"/>
  <c r="I32" i="22" l="1"/>
  <c r="I34" i="22" s="1"/>
  <c r="J41" i="22" s="1"/>
  <c r="I38" i="22"/>
  <c r="I40" i="22" s="1"/>
  <c r="I42" i="22" s="1"/>
  <c r="I44" i="22" s="1"/>
  <c r="G48" i="22"/>
  <c r="G49" i="22" s="1"/>
  <c r="L12" i="23" s="1"/>
  <c r="H37" i="22"/>
  <c r="K28" i="22"/>
  <c r="J30" i="22"/>
  <c r="J32" i="22" l="1"/>
  <c r="J34" i="22" s="1"/>
  <c r="K41" i="22" s="1"/>
  <c r="J38" i="22"/>
  <c r="J40" i="22" s="1"/>
  <c r="J42" i="22" s="1"/>
  <c r="J44" i="22" s="1"/>
  <c r="J47" i="22" s="1"/>
  <c r="H48" i="22"/>
  <c r="H49" i="22" s="1"/>
  <c r="M12" i="23" s="1"/>
  <c r="I37" i="22"/>
  <c r="I47" i="22"/>
  <c r="I48" i="22" s="1"/>
  <c r="I49" i="22" s="1"/>
  <c r="N12" i="23" s="1"/>
  <c r="L28" i="22"/>
  <c r="K30" i="22"/>
  <c r="K32" i="22" l="1"/>
  <c r="K34" i="22" s="1"/>
  <c r="L41" i="22" s="1"/>
  <c r="K38" i="22"/>
  <c r="K40" i="22" s="1"/>
  <c r="K42" i="22" s="1"/>
  <c r="K44" i="22" s="1"/>
  <c r="K47" i="22" s="1"/>
  <c r="J37" i="22"/>
  <c r="M28" i="22"/>
  <c r="L30" i="22"/>
  <c r="L32" i="22" l="1"/>
  <c r="L34" i="22" s="1"/>
  <c r="M41" i="22" s="1"/>
  <c r="L38" i="22"/>
  <c r="L40" i="22" s="1"/>
  <c r="L42" i="22" s="1"/>
  <c r="L44" i="22" s="1"/>
  <c r="J48" i="22"/>
  <c r="J49" i="22" s="1"/>
  <c r="O12" i="23" s="1"/>
  <c r="K37" i="22"/>
  <c r="M30" i="22"/>
  <c r="M32" i="22" l="1"/>
  <c r="M34" i="22" s="1"/>
  <c r="M38" i="22"/>
  <c r="M40" i="22" s="1"/>
  <c r="M42" i="22" s="1"/>
  <c r="M44" i="22" s="1"/>
  <c r="M47" i="22" s="1"/>
  <c r="K48" i="22"/>
  <c r="K49" i="22" s="1"/>
  <c r="P12" i="23" s="1"/>
  <c r="L37" i="22"/>
  <c r="L47" i="22"/>
  <c r="L48" i="22" l="1"/>
  <c r="L49" i="22" s="1"/>
  <c r="Q12" i="23" s="1"/>
  <c r="M37" i="22"/>
  <c r="E3" i="22"/>
  <c r="F3" i="22" s="1"/>
  <c r="G3" i="22" s="1"/>
  <c r="H3" i="22" s="1"/>
  <c r="I3" i="22" s="1"/>
  <c r="I5" i="22" s="1"/>
  <c r="M48" i="22" l="1"/>
  <c r="M49" i="22" s="1"/>
  <c r="R12" i="23" s="1"/>
  <c r="I7" i="22"/>
  <c r="I9" i="22" s="1"/>
  <c r="J17" i="22" s="1"/>
  <c r="I14" i="22"/>
  <c r="I16" i="22" s="1"/>
  <c r="J3" i="22"/>
  <c r="E5" i="22"/>
  <c r="G5" i="22"/>
  <c r="H5" i="22"/>
  <c r="F5" i="22"/>
  <c r="D7" i="22"/>
  <c r="D9" i="22" s="1"/>
  <c r="E17" i="22" s="1"/>
  <c r="F7" i="22" l="1"/>
  <c r="F9" i="22" s="1"/>
  <c r="G17" i="22" s="1"/>
  <c r="F14" i="22"/>
  <c r="F16" i="22" s="1"/>
  <c r="H7" i="22"/>
  <c r="H9" i="22" s="1"/>
  <c r="I17" i="22" s="1"/>
  <c r="I18" i="22" s="1"/>
  <c r="I20" i="22" s="1"/>
  <c r="H14" i="22"/>
  <c r="H16" i="22" s="1"/>
  <c r="G7" i="22"/>
  <c r="G9" i="22" s="1"/>
  <c r="H17" i="22" s="1"/>
  <c r="G14" i="22"/>
  <c r="G16" i="22" s="1"/>
  <c r="E7" i="22"/>
  <c r="E9" i="22" s="1"/>
  <c r="F17" i="22" s="1"/>
  <c r="E14" i="22"/>
  <c r="E16" i="22" s="1"/>
  <c r="E18" i="22" s="1"/>
  <c r="D13" i="22"/>
  <c r="D16" i="22"/>
  <c r="J5" i="22"/>
  <c r="K3" i="22"/>
  <c r="J7" i="22" l="1"/>
  <c r="J9" i="22" s="1"/>
  <c r="K17" i="22" s="1"/>
  <c r="J14" i="22"/>
  <c r="J16" i="22" s="1"/>
  <c r="J18" i="22" s="1"/>
  <c r="J20" i="22" s="1"/>
  <c r="D18" i="22"/>
  <c r="D20" i="22" s="1"/>
  <c r="D24" i="22" s="1"/>
  <c r="E20" i="22"/>
  <c r="E24" i="22" s="1"/>
  <c r="H18" i="22"/>
  <c r="H20" i="22" s="1"/>
  <c r="F18" i="22"/>
  <c r="F20" i="22" s="1"/>
  <c r="F24" i="22" s="1"/>
  <c r="G18" i="22"/>
  <c r="G20" i="22" s="1"/>
  <c r="E13" i="22"/>
  <c r="K5" i="22"/>
  <c r="L3" i="22"/>
  <c r="K7" i="22" l="1"/>
  <c r="K9" i="22" s="1"/>
  <c r="L17" i="22" s="1"/>
  <c r="K14" i="22"/>
  <c r="K16" i="22" s="1"/>
  <c r="K18" i="22" s="1"/>
  <c r="K20" i="22" s="1"/>
  <c r="E25" i="22"/>
  <c r="D25" i="22"/>
  <c r="F13" i="22"/>
  <c r="F25" i="22" s="1"/>
  <c r="M3" i="22"/>
  <c r="L5" i="22"/>
  <c r="G11" i="22"/>
  <c r="F50" i="22" l="1"/>
  <c r="K10" i="23"/>
  <c r="K15" i="23" s="1"/>
  <c r="J10" i="23"/>
  <c r="J15" i="23" s="1"/>
  <c r="E50" i="22"/>
  <c r="D50" i="22"/>
  <c r="O3" i="2" s="1"/>
  <c r="H3" i="3" s="1"/>
  <c r="I10" i="23"/>
  <c r="I15" i="23" s="1"/>
  <c r="G12" i="22"/>
  <c r="G23" i="22" s="1"/>
  <c r="G24" i="22" s="1"/>
  <c r="G22" i="22"/>
  <c r="L7" i="22"/>
  <c r="L9" i="22" s="1"/>
  <c r="M17" i="22" s="1"/>
  <c r="L14" i="22"/>
  <c r="L16" i="22" s="1"/>
  <c r="L18" i="22" s="1"/>
  <c r="L20" i="22" s="1"/>
  <c r="H13" i="23"/>
  <c r="L4" i="2"/>
  <c r="L5" i="2" s="1"/>
  <c r="M5" i="22"/>
  <c r="H11" i="22"/>
  <c r="K4" i="2" l="1"/>
  <c r="K5" i="2" s="1"/>
  <c r="G13" i="22"/>
  <c r="G25" i="22" s="1"/>
  <c r="H12" i="22"/>
  <c r="H23" i="22" s="1"/>
  <c r="H24" i="22" s="1"/>
  <c r="H22" i="22"/>
  <c r="M7" i="22"/>
  <c r="M9" i="22" s="1"/>
  <c r="M14" i="22"/>
  <c r="M16" i="22" s="1"/>
  <c r="M18" i="22" s="1"/>
  <c r="M20" i="22" s="1"/>
  <c r="M4" i="2"/>
  <c r="G3" i="3"/>
  <c r="F13" i="23"/>
  <c r="G13" i="23"/>
  <c r="I11" i="22"/>
  <c r="M5" i="2" l="1"/>
  <c r="O112" i="9"/>
  <c r="L10" i="23"/>
  <c r="L15" i="23" s="1"/>
  <c r="G50" i="22"/>
  <c r="I13" i="23"/>
  <c r="H13" i="22"/>
  <c r="H25" i="22" s="1"/>
  <c r="I12" i="22"/>
  <c r="I23" i="22" s="1"/>
  <c r="I24" i="22" s="1"/>
  <c r="I22" i="22"/>
  <c r="J11" i="22"/>
  <c r="H50" i="22" l="1"/>
  <c r="M10" i="23"/>
  <c r="M15" i="23" s="1"/>
  <c r="O4" i="2"/>
  <c r="Q112" i="9" s="1"/>
  <c r="I13" i="22"/>
  <c r="I25" i="22" s="1"/>
  <c r="J12" i="22"/>
  <c r="J23" i="22" s="1"/>
  <c r="J24" i="22" s="1"/>
  <c r="J22" i="22"/>
  <c r="K11" i="22"/>
  <c r="N10" i="23" l="1"/>
  <c r="N15" i="23" s="1"/>
  <c r="I50" i="22"/>
  <c r="H5" i="3"/>
  <c r="H4" i="3"/>
  <c r="J13" i="22"/>
  <c r="J25" i="22" s="1"/>
  <c r="K13" i="23"/>
  <c r="J13" i="23"/>
  <c r="K12" i="22"/>
  <c r="K23" i="22" s="1"/>
  <c r="K24" i="22" s="1"/>
  <c r="K22" i="22"/>
  <c r="L11" i="22"/>
  <c r="O12" i="2" l="1"/>
  <c r="O14" i="2" s="1"/>
  <c r="O10" i="23"/>
  <c r="O15" i="23" s="1"/>
  <c r="J50" i="22"/>
  <c r="L13" i="23"/>
  <c r="L18" i="23" s="1"/>
  <c r="L12" i="22"/>
  <c r="L23" i="22" s="1"/>
  <c r="L24" i="22" s="1"/>
  <c r="L22" i="22"/>
  <c r="K13" i="22"/>
  <c r="K25" i="22" s="1"/>
  <c r="L11" i="23"/>
  <c r="L13" i="22"/>
  <c r="L25" i="22" s="1"/>
  <c r="M11" i="22"/>
  <c r="E5" i="2"/>
  <c r="H11" i="3" l="1"/>
  <c r="L50" i="22"/>
  <c r="Q10" i="23"/>
  <c r="Q15" i="23" s="1"/>
  <c r="K50" i="22"/>
  <c r="P10" i="23"/>
  <c r="P15" i="23" s="1"/>
  <c r="O17" i="2"/>
  <c r="H13" i="3"/>
  <c r="L20" i="23"/>
  <c r="M13" i="23"/>
  <c r="M20" i="23" s="1"/>
  <c r="M12" i="22"/>
  <c r="M23" i="22" s="1"/>
  <c r="M24" i="22" s="1"/>
  <c r="M22" i="22"/>
  <c r="L21" i="23"/>
  <c r="L22" i="23" s="1"/>
  <c r="L24" i="23" s="1"/>
  <c r="M13" i="22"/>
  <c r="M25" i="22" l="1"/>
  <c r="M50" i="22"/>
  <c r="R10" i="23"/>
  <c r="R15" i="23" s="1"/>
  <c r="H16" i="3"/>
  <c r="H15" i="3"/>
  <c r="O21" i="2"/>
  <c r="M11" i="23"/>
  <c r="N13" i="23"/>
  <c r="N14" i="23" s="1"/>
  <c r="N11" i="23"/>
  <c r="M18" i="23"/>
  <c r="M21" i="23"/>
  <c r="M22" i="23" s="1"/>
  <c r="M24" i="23" s="1"/>
  <c r="M14" i="23"/>
  <c r="O22" i="2" l="1"/>
  <c r="H18" i="3"/>
  <c r="O13" i="23"/>
  <c r="O20" i="23" s="1"/>
  <c r="N21" i="23"/>
  <c r="N22" i="23" s="1"/>
  <c r="N24" i="23" s="1"/>
  <c r="O11" i="23"/>
  <c r="N18" i="23"/>
  <c r="N20" i="23"/>
  <c r="F20" i="3"/>
  <c r="F17" i="3"/>
  <c r="F14" i="3"/>
  <c r="F12" i="3"/>
  <c r="F10" i="3"/>
  <c r="F9" i="3"/>
  <c r="G19" i="23" s="1"/>
  <c r="F8" i="3"/>
  <c r="F7" i="3"/>
  <c r="F6" i="3"/>
  <c r="F2" i="3"/>
  <c r="B17" i="3"/>
  <c r="B10" i="3"/>
  <c r="B8" i="3"/>
  <c r="B6" i="3"/>
  <c r="B2" i="3"/>
  <c r="H19" i="3" l="1"/>
  <c r="Q114" i="9"/>
  <c r="P13" i="23"/>
  <c r="P14" i="23" s="1"/>
  <c r="O21" i="23"/>
  <c r="O22" i="23" s="1"/>
  <c r="O24" i="23" s="1"/>
  <c r="P11" i="23"/>
  <c r="O18" i="23"/>
  <c r="O14" i="23"/>
  <c r="P21" i="23" l="1"/>
  <c r="P22" i="23" s="1"/>
  <c r="P24" i="23" s="1"/>
  <c r="Q13" i="23"/>
  <c r="Q18" i="23" s="1"/>
  <c r="P20" i="23"/>
  <c r="P18" i="23"/>
  <c r="Q11" i="23"/>
  <c r="C4" i="2"/>
  <c r="B4" i="2"/>
  <c r="B14" i="2" s="1"/>
  <c r="B17" i="2" s="1"/>
  <c r="B21" i="2" s="1"/>
  <c r="B22" i="2" s="1"/>
  <c r="E13" i="2"/>
  <c r="C14" i="2" l="1"/>
  <c r="C17" i="2" s="1"/>
  <c r="C21" i="2" s="1"/>
  <c r="C22" i="2" s="1"/>
  <c r="Q21" i="23"/>
  <c r="Q22" i="23" s="1"/>
  <c r="Q24" i="23" s="1"/>
  <c r="Q14" i="23"/>
  <c r="Q20" i="23"/>
  <c r="B12" i="3"/>
  <c r="B7" i="3"/>
  <c r="B20" i="3"/>
  <c r="B14" i="3"/>
  <c r="B9" i="3"/>
  <c r="E11" i="2"/>
  <c r="R13" i="23" l="1"/>
  <c r="R20" i="23" s="1"/>
  <c r="R11" i="23"/>
  <c r="R18" i="23" l="1"/>
  <c r="R14" i="23"/>
  <c r="R21" i="23"/>
  <c r="R22" i="23" s="1"/>
  <c r="R24" i="23" s="1"/>
  <c r="D32" i="23" s="1"/>
  <c r="D34" i="23" s="1"/>
  <c r="E20" i="3" l="1"/>
  <c r="E17" i="3"/>
  <c r="E14" i="3"/>
  <c r="E12" i="3"/>
  <c r="E10" i="3"/>
  <c r="E9" i="3"/>
  <c r="F19" i="23" s="1"/>
  <c r="E8" i="3"/>
  <c r="E7" i="3"/>
  <c r="E6" i="3"/>
  <c r="E2" i="3"/>
  <c r="D2" i="3" l="1"/>
  <c r="D6" i="3"/>
  <c r="D7" i="3"/>
  <c r="D8" i="3"/>
  <c r="D9" i="3"/>
  <c r="E19" i="23" s="1"/>
  <c r="D10" i="3"/>
  <c r="D12" i="3"/>
  <c r="D14" i="3"/>
  <c r="D17" i="3"/>
  <c r="D20" i="3"/>
  <c r="L14" i="23" l="1"/>
  <c r="C3" i="23"/>
  <c r="R25" i="23" s="1"/>
  <c r="R26" i="23" s="1"/>
  <c r="J25" i="23" l="1"/>
  <c r="J26" i="23" s="1"/>
  <c r="Q25" i="23"/>
  <c r="P25" i="23"/>
  <c r="O25" i="23"/>
  <c r="M25" i="23"/>
  <c r="N25" i="23"/>
  <c r="L25" i="23"/>
  <c r="K25" i="23"/>
  <c r="K26" i="23" s="1"/>
  <c r="I25" i="23"/>
  <c r="I26" i="23" s="1"/>
  <c r="K18" i="23"/>
  <c r="K20" i="23"/>
  <c r="K21" i="23"/>
  <c r="K22" i="23" s="1"/>
  <c r="F25" i="23"/>
  <c r="F26" i="23" s="1"/>
  <c r="G25" i="23"/>
  <c r="G26" i="23" s="1"/>
  <c r="D25" i="23"/>
  <c r="D26" i="23" s="1"/>
  <c r="H25" i="23"/>
  <c r="H26" i="23" s="1"/>
  <c r="E25" i="23"/>
  <c r="E26" i="23" s="1"/>
  <c r="L26" i="23" l="1"/>
  <c r="L28" i="23"/>
  <c r="P26" i="23"/>
  <c r="P28" i="23"/>
  <c r="Q26" i="23"/>
  <c r="Q28" i="23"/>
  <c r="M26" i="23"/>
  <c r="M28" i="23"/>
  <c r="D35" i="23"/>
  <c r="R28" i="23"/>
  <c r="N26" i="23"/>
  <c r="N28" i="23"/>
  <c r="O26" i="23"/>
  <c r="O28" i="23"/>
  <c r="K24" i="23"/>
  <c r="D36" i="23" l="1"/>
  <c r="F3" i="3"/>
  <c r="K28" i="23"/>
  <c r="M12" i="2" l="1"/>
  <c r="D21" i="23"/>
  <c r="N4" i="2" l="1"/>
  <c r="F21" i="23"/>
  <c r="N5" i="2" l="1"/>
  <c r="N12" i="2" s="1"/>
  <c r="G11" i="3" s="1"/>
  <c r="P112" i="9"/>
  <c r="G4" i="3"/>
  <c r="H11" i="23"/>
  <c r="F24" i="23"/>
  <c r="F28" i="23" s="1"/>
  <c r="G5" i="3" l="1"/>
  <c r="N14" i="2"/>
  <c r="G13" i="3" s="1"/>
  <c r="D4" i="2"/>
  <c r="B3" i="3"/>
  <c r="H20" i="23"/>
  <c r="H18" i="23"/>
  <c r="G18" i="23"/>
  <c r="H14" i="23"/>
  <c r="H21" i="23"/>
  <c r="H22" i="23" s="1"/>
  <c r="I11" i="23"/>
  <c r="K11" i="23"/>
  <c r="J11" i="23"/>
  <c r="N17" i="2" l="1"/>
  <c r="G16" i="3" s="1"/>
  <c r="D14" i="2"/>
  <c r="E14" i="2" s="1"/>
  <c r="E4" i="2"/>
  <c r="H24" i="23"/>
  <c r="H28" i="23" s="1"/>
  <c r="J20" i="23"/>
  <c r="J18" i="23"/>
  <c r="I20" i="23"/>
  <c r="I18" i="23"/>
  <c r="F4" i="3"/>
  <c r="D3" i="3"/>
  <c r="I21" i="23"/>
  <c r="I14" i="23"/>
  <c r="K14" i="23"/>
  <c r="J14" i="23"/>
  <c r="J21" i="23"/>
  <c r="J22" i="23" s="1"/>
  <c r="G15" i="3" l="1"/>
  <c r="N21" i="2"/>
  <c r="G18" i="3" s="1"/>
  <c r="D17" i="2"/>
  <c r="E17" i="2" s="1"/>
  <c r="B4" i="3"/>
  <c r="F5" i="3"/>
  <c r="D4" i="3"/>
  <c r="I24" i="23"/>
  <c r="I28" i="23" s="1"/>
  <c r="J24" i="23"/>
  <c r="N22" i="2" l="1"/>
  <c r="P114" i="9" s="1"/>
  <c r="B5" i="3"/>
  <c r="F11" i="3"/>
  <c r="M14" i="2"/>
  <c r="M17" i="2" s="1"/>
  <c r="E4" i="3"/>
  <c r="E3" i="3"/>
  <c r="K12" i="2"/>
  <c r="D5" i="3"/>
  <c r="J28" i="23"/>
  <c r="G19" i="3" l="1"/>
  <c r="M21" i="2"/>
  <c r="B11" i="3"/>
  <c r="F13" i="3"/>
  <c r="D11" i="3"/>
  <c r="K14" i="2"/>
  <c r="K17" i="2" s="1"/>
  <c r="B13" i="3" l="1"/>
  <c r="F15" i="3"/>
  <c r="L12" i="2"/>
  <c r="E5" i="3"/>
  <c r="D13" i="3"/>
  <c r="B15" i="3" l="1"/>
  <c r="B16" i="3"/>
  <c r="F16" i="3"/>
  <c r="L14" i="2"/>
  <c r="L17" i="2" s="1"/>
  <c r="E11" i="3"/>
  <c r="D15" i="3"/>
  <c r="A19" i="3"/>
  <c r="A17" i="3"/>
  <c r="A18" i="3"/>
  <c r="A16" i="3"/>
  <c r="A15" i="3"/>
  <c r="A14" i="3"/>
  <c r="A12" i="3"/>
  <c r="M22" i="2" l="1"/>
  <c r="O114" i="9" s="1"/>
  <c r="F18" i="3"/>
  <c r="E13" i="3"/>
  <c r="K21" i="2"/>
  <c r="K25" i="2" s="1"/>
  <c r="D16" i="3"/>
  <c r="F19" i="3" l="1"/>
  <c r="E15" i="3"/>
  <c r="D18" i="3"/>
  <c r="K22" i="2"/>
  <c r="L21" i="2" l="1"/>
  <c r="E16" i="3"/>
  <c r="D19" i="3"/>
  <c r="E18" i="3" l="1"/>
  <c r="L22" i="2"/>
  <c r="G21" i="23" l="1"/>
  <c r="G24" i="23" s="1"/>
  <c r="G28" i="23" s="1"/>
  <c r="G20" i="23"/>
  <c r="E19" i="3"/>
  <c r="E21" i="23" l="1"/>
  <c r="A3" i="3" l="1"/>
  <c r="C114" i="9" l="1"/>
  <c r="B114" i="9"/>
  <c r="B112" i="9"/>
  <c r="B89" i="9"/>
  <c r="B88" i="9"/>
  <c r="B86" i="9"/>
  <c r="B85" i="9"/>
  <c r="A13" i="3"/>
  <c r="A4" i="3"/>
  <c r="A5" i="3"/>
  <c r="A6" i="3"/>
  <c r="A7" i="3"/>
  <c r="A9" i="3"/>
  <c r="A11" i="3"/>
  <c r="A20" i="3"/>
  <c r="D85" i="9"/>
  <c r="D86" i="9"/>
  <c r="D24" i="23" l="1"/>
  <c r="D28" i="23" s="1"/>
  <c r="C5" i="24" l="1"/>
  <c r="E24" i="23"/>
  <c r="E28" i="23" s="1"/>
  <c r="D37" i="23" s="1"/>
  <c r="D38" i="23" l="1"/>
  <c r="D39" i="23" s="1"/>
  <c r="C4" i="24"/>
  <c r="C3" i="24" l="1"/>
  <c r="C6" i="24" s="1"/>
  <c r="D41" i="23"/>
  <c r="D21" i="2"/>
  <c r="D27" i="2" l="1"/>
  <c r="L25" i="2"/>
  <c r="M25" i="2" s="1"/>
  <c r="O25" i="2" s="1"/>
  <c r="D22" i="2"/>
  <c r="E21" i="2"/>
  <c r="B18" i="3" l="1"/>
  <c r="E22" i="2"/>
  <c r="B1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Langford, Troy</author>
  </authors>
  <commentList>
    <comment ref="A3" authorId="0" shapeId="0" xr:uid="{0F0A6611-64E3-405D-933F-77E337B1BB00}">
      <text>
        <r>
          <rPr>
            <b/>
            <sz val="9"/>
            <color indexed="81"/>
            <rFont val="Tahoma"/>
            <family val="2"/>
          </rPr>
          <t>Langford, Troy:</t>
        </r>
        <r>
          <rPr>
            <sz val="9"/>
            <color indexed="81"/>
            <rFont val="Tahoma"/>
            <family val="2"/>
          </rPr>
          <t xml:space="preserve">
~0.7% prevalence rate among US adults assumed</t>
        </r>
      </text>
    </comment>
    <comment ref="A4" authorId="0" shapeId="0" xr:uid="{52236E73-6487-4ED3-AEBA-6C9F82CE9A37}">
      <text>
        <r>
          <rPr>
            <b/>
            <sz val="9"/>
            <color indexed="81"/>
            <rFont val="Tahoma"/>
            <family val="2"/>
          </rPr>
          <t>Langford, Troy:</t>
        </r>
        <r>
          <rPr>
            <sz val="9"/>
            <color indexed="81"/>
            <rFont val="Tahoma"/>
            <family val="2"/>
          </rPr>
          <t xml:space="preserve">
Slight growth in treatment rate over time as new options approved</t>
        </r>
      </text>
    </comment>
    <comment ref="A6" authorId="0" shapeId="0" xr:uid="{2426CA59-9BF0-49A1-AEB0-CE03A3DFEA91}">
      <text>
        <r>
          <rPr>
            <b/>
            <sz val="9"/>
            <color indexed="81"/>
            <rFont val="Tahoma"/>
            <family val="2"/>
          </rPr>
          <t>Langford, Troy:</t>
        </r>
        <r>
          <rPr>
            <sz val="9"/>
            <color indexed="81"/>
            <rFont val="Tahoma"/>
            <family val="2"/>
          </rPr>
          <t xml:space="preserve">
Analysis from 16 randomized clinical trials conducted by Samara et al showed that ~66% of patients achieved less than a 50% reduction in symptoms</t>
        </r>
      </text>
    </comment>
    <comment ref="A10" authorId="0" shapeId="0" xr:uid="{EC2BD050-16EC-403D-8EEA-5430B0B02963}">
      <text>
        <r>
          <rPr>
            <b/>
            <sz val="9"/>
            <color indexed="81"/>
            <rFont val="Tahoma"/>
            <family val="2"/>
          </rPr>
          <t>Langford, Troy:</t>
        </r>
        <r>
          <rPr>
            <sz val="9"/>
            <color indexed="81"/>
            <rFont val="Tahoma"/>
            <family val="2"/>
          </rPr>
          <t xml:space="preserve">
Assumes that favorable tolerability profile for emraclidine and convenient once-daily oral administration will increase compliance, though we note adherence to therapy remains an issue for this patient population overall</t>
        </r>
      </text>
    </comment>
    <comment ref="A11" authorId="0" shapeId="0" xr:uid="{50554732-414A-44E2-85A5-67DD98E48B69}">
      <text>
        <r>
          <rPr>
            <b/>
            <sz val="9"/>
            <color indexed="81"/>
            <rFont val="Tahoma"/>
            <family val="2"/>
          </rPr>
          <t>Langford, Troy:</t>
        </r>
        <r>
          <rPr>
            <sz val="9"/>
            <color indexed="81"/>
            <rFont val="Tahoma"/>
            <family val="2"/>
          </rPr>
          <t xml:space="preserve">
Assumes similar price to Caplyta for 30-day supply</t>
        </r>
      </text>
    </comment>
    <comment ref="A12" authorId="0" shapeId="0" xr:uid="{D2F339DD-9EEA-4EB2-8A7A-2B3892985FD8}">
      <text>
        <r>
          <rPr>
            <b/>
            <sz val="9"/>
            <color indexed="81"/>
            <rFont val="Tahoma"/>
            <family val="2"/>
          </rPr>
          <t>Langford, Troy:</t>
        </r>
        <r>
          <rPr>
            <sz val="9"/>
            <color indexed="81"/>
            <rFont val="Tahoma"/>
            <family val="2"/>
          </rPr>
          <t xml:space="preserve">
Assume 50% GTN in first year, 45% in 2nd year, and 40% from 3rd year onwards</t>
        </r>
      </text>
    </comment>
    <comment ref="A15" authorId="0" shapeId="0" xr:uid="{DE53CC46-9C5B-4D1B-9A5E-C39FE4DB7A84}">
      <text>
        <r>
          <rPr>
            <b/>
            <sz val="9"/>
            <color indexed="81"/>
            <rFont val="Tahoma"/>
            <family val="2"/>
          </rPr>
          <t>Langford, Troy:</t>
        </r>
        <r>
          <rPr>
            <sz val="9"/>
            <color indexed="81"/>
            <rFont val="Tahoma"/>
            <family val="2"/>
          </rPr>
          <t xml:space="preserve">
Analysis from 16 randomized clinical trials conducted by Samara et al showed that ~66% of patients achieved less than a 50% reduction in symptoms</t>
        </r>
      </text>
    </comment>
    <comment ref="A28" authorId="0" shapeId="0" xr:uid="{4CBE35C3-D03A-49F8-A82C-52716168C70C}">
      <text>
        <r>
          <rPr>
            <b/>
            <sz val="9"/>
            <color indexed="81"/>
            <rFont val="Tahoma"/>
            <family val="2"/>
          </rPr>
          <t>Langford, Troy:</t>
        </r>
        <r>
          <rPr>
            <sz val="9"/>
            <color indexed="81"/>
            <rFont val="Tahoma"/>
            <family val="2"/>
          </rPr>
          <t xml:space="preserve">
similar prevalence rate to U.S. assumed</t>
        </r>
      </text>
    </comment>
    <comment ref="A33" authorId="0" shapeId="0" xr:uid="{4A37927B-666B-4688-B0D1-7EDC306D6575}">
      <text>
        <r>
          <rPr>
            <b/>
            <sz val="9"/>
            <color indexed="81"/>
            <rFont val="Tahoma"/>
            <family val="2"/>
          </rPr>
          <t>Langford, Troy:</t>
        </r>
        <r>
          <rPr>
            <sz val="9"/>
            <color indexed="81"/>
            <rFont val="Tahoma"/>
            <family val="2"/>
          </rPr>
          <t xml:space="preserve">
Assumes one-year lag to E.U. approval</t>
        </r>
      </text>
    </comment>
    <comment ref="A39" authorId="0" shapeId="0" xr:uid="{A9F99EB7-F843-458A-B5DD-5EACDE953EA4}">
      <text>
        <r>
          <rPr>
            <b/>
            <sz val="9"/>
            <color indexed="81"/>
            <rFont val="Tahoma"/>
            <family val="2"/>
          </rPr>
          <t>Langford, Troy:</t>
        </r>
        <r>
          <rPr>
            <sz val="9"/>
            <color indexed="81"/>
            <rFont val="Tahoma"/>
            <family val="2"/>
          </rPr>
          <t xml:space="preserve">
Analysis from 16 randomized clinical trials conducted by Samara et al showed that ~66% of patients achieved less than a 50% reduction in symptoms</t>
        </r>
      </text>
    </comment>
  </commentList>
</comments>
</file>

<file path=xl/sharedStrings.xml><?xml version="1.0" encoding="utf-8"?>
<sst xmlns="http://schemas.openxmlformats.org/spreadsheetml/2006/main" count="452" uniqueCount="318">
  <si>
    <t>COGS</t>
  </si>
  <si>
    <t>SG&amp;A</t>
  </si>
  <si>
    <t>R&amp;D</t>
  </si>
  <si>
    <t>Taxes</t>
  </si>
  <si>
    <t>Total Revenue</t>
  </si>
  <si>
    <t>Operating Expenses</t>
  </si>
  <si>
    <t xml:space="preserve">   Tax Rate</t>
  </si>
  <si>
    <t xml:space="preserve">   R&amp;D as % of Sales</t>
  </si>
  <si>
    <t xml:space="preserve">   SG&amp;A as % of Sales</t>
  </si>
  <si>
    <t>Operating Income / (Loss)</t>
  </si>
  <si>
    <t>cash and cash equivalents</t>
  </si>
  <si>
    <t>Pretax net income</t>
  </si>
  <si>
    <t>GAAP Net Income</t>
  </si>
  <si>
    <t>GAAP EPS</t>
  </si>
  <si>
    <t>Debt</t>
  </si>
  <si>
    <t xml:space="preserve">   Gross Margin</t>
  </si>
  <si>
    <t>Diluted Shares Outstanding (MM)</t>
  </si>
  <si>
    <t>Net cash</t>
  </si>
  <si>
    <t>Ticker</t>
  </si>
  <si>
    <t>Market Data Grid Name</t>
  </si>
  <si>
    <t>Client Code</t>
  </si>
  <si>
    <t>Time Series Grid Name</t>
  </si>
  <si>
    <t>Rating</t>
  </si>
  <si>
    <t>$0.50 Cu Leverage / Share</t>
  </si>
  <si>
    <t>CU_LVRG</t>
  </si>
  <si>
    <t>Cash</t>
  </si>
  <si>
    <t>CASH</t>
  </si>
  <si>
    <t>$100 Au Leverage / Share</t>
  </si>
  <si>
    <t>AU_LVRG</t>
  </si>
  <si>
    <t>Cash Flow</t>
  </si>
  <si>
    <t>CASHFLOW</t>
  </si>
  <si>
    <t>ADJUSTED:FISCAL</t>
  </si>
  <si>
    <t>$5 Ag Leverage / Share</t>
  </si>
  <si>
    <t>AG_LVRG</t>
  </si>
  <si>
    <t>Cash Flow per Share</t>
  </si>
  <si>
    <t>CFPS</t>
  </si>
  <si>
    <t>52-Week High</t>
  </si>
  <si>
    <t>52 WK HIGH</t>
  </si>
  <si>
    <t>Discretionary Cash Flow</t>
  </si>
  <si>
    <t>DCF</t>
  </si>
  <si>
    <t>DILUTED:FISCAL</t>
  </si>
  <si>
    <t>52-Week Low</t>
  </si>
  <si>
    <t>52 WK LOW</t>
  </si>
  <si>
    <t>Discretionary Cash Flow per Share</t>
  </si>
  <si>
    <t>DCFS</t>
  </si>
  <si>
    <t>GAAP:FISCAL</t>
  </si>
  <si>
    <t>Adjusted EV</t>
  </si>
  <si>
    <t>ADJEV</t>
  </si>
  <si>
    <t>Dividend</t>
  </si>
  <si>
    <t>DIV</t>
  </si>
  <si>
    <t>INDICATED:FISCAL</t>
  </si>
  <si>
    <t>Average Daily Volume</t>
  </si>
  <si>
    <t>AVG DLY VOL</t>
  </si>
  <si>
    <t>Earnings Per Share</t>
  </si>
  <si>
    <t>EPS</t>
  </si>
  <si>
    <t>Book Value</t>
  </si>
  <si>
    <t>BV</t>
  </si>
  <si>
    <t>EBIT</t>
  </si>
  <si>
    <t>Daily Liquidity ($$MM)</t>
  </si>
  <si>
    <t>LIQPD</t>
  </si>
  <si>
    <t>EBITDA</t>
  </si>
  <si>
    <t>Developed %</t>
  </si>
  <si>
    <t>DEVPCT</t>
  </si>
  <si>
    <t>EBITDA - Adjusted</t>
  </si>
  <si>
    <t>EBITDA_ADJ</t>
  </si>
  <si>
    <t>DIVIDEND</t>
  </si>
  <si>
    <t>EBITDAR</t>
  </si>
  <si>
    <t>Dividend Yield</t>
  </si>
  <si>
    <t>DIVIDEND_YIELD</t>
  </si>
  <si>
    <t>EBITDAX</t>
  </si>
  <si>
    <t>Enterprise Value (MM)</t>
  </si>
  <si>
    <t>Enterprise_Value</t>
  </si>
  <si>
    <t>FFO/Sh</t>
  </si>
  <si>
    <t>FFO</t>
  </si>
  <si>
    <t>European AP12 2009</t>
  </si>
  <si>
    <t>Euro_AP12</t>
  </si>
  <si>
    <t>Free Cash Flow</t>
  </si>
  <si>
    <t>FCF</t>
  </si>
  <si>
    <t>EV/Mcfe</t>
  </si>
  <si>
    <t>EVMCFE</t>
  </si>
  <si>
    <t>Free Cash Flow per share</t>
  </si>
  <si>
    <t>FCFPS</t>
  </si>
  <si>
    <t>EV/Mcfepd</t>
  </si>
  <si>
    <t>EVMCFEPD</t>
  </si>
  <si>
    <t>NA</t>
  </si>
  <si>
    <t>EPS_DIL</t>
  </si>
  <si>
    <t>Expected Return</t>
  </si>
  <si>
    <t>Expected_Return</t>
  </si>
  <si>
    <t>Net Cash/Debt ($M)</t>
  </si>
  <si>
    <t>Expected Total Return</t>
  </si>
  <si>
    <t>Expected_Total_Return</t>
  </si>
  <si>
    <t>Net Debt / Total Cap</t>
  </si>
  <si>
    <t>NETDEBT_TOTCAP</t>
  </si>
  <si>
    <t>Float</t>
  </si>
  <si>
    <t>Net Debt / Total Capitalization (MKT)</t>
  </si>
  <si>
    <t>NETDEBT_TOTCAPM</t>
  </si>
  <si>
    <t>FUND_NAV</t>
  </si>
  <si>
    <t>Operating Cash Flow</t>
  </si>
  <si>
    <t>OPCASHFLOW</t>
  </si>
  <si>
    <t>Gold</t>
  </si>
  <si>
    <t>Production</t>
  </si>
  <si>
    <t>PRODUCTION</t>
  </si>
  <si>
    <t>Issue</t>
  </si>
  <si>
    <t>ISSUE</t>
  </si>
  <si>
    <t>Revenue ($M)</t>
  </si>
  <si>
    <t>Revenue</t>
  </si>
  <si>
    <t>ISSUE_3</t>
  </si>
  <si>
    <t>ISSUE_4</t>
  </si>
  <si>
    <t>ISSUE_5</t>
  </si>
  <si>
    <t>ISSUE_2</t>
  </si>
  <si>
    <t>Legacy Liabilities</t>
  </si>
  <si>
    <t>LEGLIA</t>
  </si>
  <si>
    <t>Long Term Debt ($MM)</t>
  </si>
  <si>
    <t>LT DEBT</t>
  </si>
  <si>
    <t>Market Cap (MM)</t>
  </si>
  <si>
    <t>MARKET_CAP</t>
  </si>
  <si>
    <t>Maturity</t>
  </si>
  <si>
    <t>MATURITY</t>
  </si>
  <si>
    <t>Maturity_3</t>
  </si>
  <si>
    <t>Maturity_4</t>
  </si>
  <si>
    <t>Maturity_5</t>
  </si>
  <si>
    <t>Maturity_2</t>
  </si>
  <si>
    <t>Moody's</t>
  </si>
  <si>
    <t>MOODY</t>
  </si>
  <si>
    <t>Mdy</t>
  </si>
  <si>
    <t>Natural Gas</t>
  </si>
  <si>
    <t>Natural_Gas</t>
  </si>
  <si>
    <t>Net Asset Value</t>
  </si>
  <si>
    <t>NAV</t>
  </si>
  <si>
    <t>Net Debt</t>
  </si>
  <si>
    <t>NET_DEBT</t>
  </si>
  <si>
    <t>Net Debt/Total Cap</t>
  </si>
  <si>
    <t>DEBT TOT CAP</t>
  </si>
  <si>
    <t>Next Call Date</t>
  </si>
  <si>
    <t>NXT_CALL_DT</t>
  </si>
  <si>
    <t>Next_Call_Date2</t>
  </si>
  <si>
    <t>Next_Call_Date3</t>
  </si>
  <si>
    <t>Next_Call_Date4</t>
  </si>
  <si>
    <t>Next_Call_Date5</t>
  </si>
  <si>
    <t>Next Call Price</t>
  </si>
  <si>
    <t>NXT_CALL_PX</t>
  </si>
  <si>
    <t>Next_Call_Price2</t>
  </si>
  <si>
    <t>Next_Call_Price3</t>
  </si>
  <si>
    <t>Next_Call_Price4</t>
  </si>
  <si>
    <t>Next_Call_Price5</t>
  </si>
  <si>
    <t>Normalized Price</t>
  </si>
  <si>
    <t>NORMALIZED_PRICE</t>
  </si>
  <si>
    <t>not used - Normalized Price</t>
  </si>
  <si>
    <t>P/NAV</t>
  </si>
  <si>
    <t>Au_PNAV</t>
  </si>
  <si>
    <t>PNAV</t>
  </si>
  <si>
    <t>Price</t>
  </si>
  <si>
    <t>PRICE_LAST</t>
  </si>
  <si>
    <t>Price 1 Month Ago</t>
  </si>
  <si>
    <t>PX_CLOSE_1M</t>
  </si>
  <si>
    <t>Price 1 Year Ago</t>
  </si>
  <si>
    <t>PX_CLOSE_1YR</t>
  </si>
  <si>
    <t>Price 3 Months Ago</t>
  </si>
  <si>
    <t>PX_CLOSE_3M</t>
  </si>
  <si>
    <t>Price Target</t>
  </si>
  <si>
    <t>PTARGET</t>
  </si>
  <si>
    <t>Pricing Date</t>
  </si>
  <si>
    <t>PRICING_DATE</t>
  </si>
  <si>
    <t>Prod % Gas</t>
  </si>
  <si>
    <t>PRODPCT</t>
  </si>
  <si>
    <t>PV NOLs</t>
  </si>
  <si>
    <t>PVNOL</t>
  </si>
  <si>
    <t>PV Op Leases</t>
  </si>
  <si>
    <t>PVOLS</t>
  </si>
  <si>
    <t>RATING</t>
  </si>
  <si>
    <t>Reserve % Gas</t>
  </si>
  <si>
    <t>RESERVEPCT</t>
  </si>
  <si>
    <t>Reserve Life (R/P - yrs)</t>
  </si>
  <si>
    <t>RESERVE_LIFE</t>
  </si>
  <si>
    <t>S&amp;P</t>
  </si>
  <si>
    <t>S_P</t>
  </si>
  <si>
    <t>Shares Out (MM)</t>
  </si>
  <si>
    <t>SHARES</t>
  </si>
  <si>
    <t>WTI</t>
  </si>
  <si>
    <t>Yield</t>
  </si>
  <si>
    <t>YIELD</t>
  </si>
  <si>
    <t>YTW Spread</t>
  </si>
  <si>
    <t>YAS_ISPREAD</t>
  </si>
  <si>
    <t>YTW_Spread3</t>
  </si>
  <si>
    <t>YTW_Spread4</t>
  </si>
  <si>
    <t>YTW_Spread5</t>
  </si>
  <si>
    <t>YTW_Spread2</t>
  </si>
  <si>
    <t>BlueMatrix Client Code</t>
  </si>
  <si>
    <t>Value</t>
  </si>
  <si>
    <t>BlueMatrix Function</t>
  </si>
  <si>
    <t>Recommendation</t>
  </si>
  <si>
    <t>Stock Statistics</t>
  </si>
  <si>
    <t>Time Series Grid #1</t>
  </si>
  <si>
    <t>Time Series Grid #2</t>
  </si>
  <si>
    <t>Time Series Grid #3</t>
  </si>
  <si>
    <t>Time Series Grid #4</t>
  </si>
  <si>
    <t>Time Series Grid #5</t>
  </si>
  <si>
    <t>FY</t>
  </si>
  <si>
    <t>Q1</t>
  </si>
  <si>
    <t>Q2</t>
  </si>
  <si>
    <t>Q3</t>
  </si>
  <si>
    <t>Q4</t>
  </si>
  <si>
    <t>AN</t>
  </si>
  <si>
    <t>Fiscal</t>
  </si>
  <si>
    <t>A</t>
  </si>
  <si>
    <t>E</t>
  </si>
  <si>
    <t>646-562-1314 (Fax)</t>
  </si>
  <si>
    <t>Joseph Thome, Ph.D.</t>
  </si>
  <si>
    <t>646-562-1308 (office)</t>
  </si>
  <si>
    <t>Financial Year End</t>
  </si>
  <si>
    <t>12/31</t>
  </si>
  <si>
    <t>Valuation Date</t>
  </si>
  <si>
    <t>Discount Rate</t>
  </si>
  <si>
    <t>Fampridine-SR price (2010)</t>
  </si>
  <si>
    <t>$MM</t>
  </si>
  <si>
    <t>Growth (%)</t>
  </si>
  <si>
    <t>Total Revenues</t>
  </si>
  <si>
    <t>COGS as a % of sales</t>
  </si>
  <si>
    <t>R&amp;D as a % of Revenues</t>
  </si>
  <si>
    <t xml:space="preserve">SG&amp;A </t>
  </si>
  <si>
    <t>SG&amp;A as a % of Revenues</t>
  </si>
  <si>
    <t>Operating Income</t>
  </si>
  <si>
    <t>Tax</t>
  </si>
  <si>
    <t>Tax rate</t>
  </si>
  <si>
    <t>Approx Free Cash Flow</t>
  </si>
  <si>
    <t>Years</t>
  </si>
  <si>
    <t>Discount Factor</t>
  </si>
  <si>
    <t>NPV of Cash flows</t>
  </si>
  <si>
    <t>Terminal Value Calculation</t>
  </si>
  <si>
    <t>Final year FCF</t>
  </si>
  <si>
    <t>Perpetual Growth Rate</t>
  </si>
  <si>
    <t>Terminal Value</t>
  </si>
  <si>
    <t>Present Value of Terminal Value</t>
  </si>
  <si>
    <t>Present Value of Cash Flows</t>
  </si>
  <si>
    <t>Enterprise Value</t>
  </si>
  <si>
    <t>Market Value</t>
  </si>
  <si>
    <t>Fully Diluted Shares Outstanding</t>
  </si>
  <si>
    <t>Value per Fully Diluted Share</t>
  </si>
  <si>
    <t>Other Income, net</t>
  </si>
  <si>
    <t>Other Non-Operating Income, net</t>
  </si>
  <si>
    <t>2026E</t>
  </si>
  <si>
    <t>2027E</t>
  </si>
  <si>
    <t>2028E</t>
  </si>
  <si>
    <t>2029E</t>
  </si>
  <si>
    <t>Net cash/share</t>
  </si>
  <si>
    <t>2030E</t>
  </si>
  <si>
    <t>Sum Of The Parts Valuation</t>
  </si>
  <si>
    <t>Segment</t>
  </si>
  <si>
    <t>Value Per Share</t>
  </si>
  <si>
    <t>Sum-Of-The Parts Value</t>
  </si>
  <si>
    <t>AXS-07 For Acute Migraine</t>
  </si>
  <si>
    <t>2031E</t>
  </si>
  <si>
    <t>2032E</t>
  </si>
  <si>
    <t>Sunosi For Narcolepsy/OSA</t>
  </si>
  <si>
    <t>AXS-05 For Depression/ADA</t>
  </si>
  <si>
    <t>Other</t>
  </si>
  <si>
    <t>Interest Income (Expense)</t>
  </si>
  <si>
    <t>Price per patient</t>
  </si>
  <si>
    <t>Price per patient after GTN</t>
  </si>
  <si>
    <t>Estimated # patients with schizophrenia ('000)</t>
  </si>
  <si>
    <t>2033E</t>
  </si>
  <si>
    <t>2034E</t>
  </si>
  <si>
    <t>2035E</t>
  </si>
  <si>
    <t>2036E</t>
  </si>
  <si>
    <t>2037E</t>
  </si>
  <si>
    <t>U.S. Market</t>
  </si>
  <si>
    <t>E.U. Market</t>
  </si>
  <si>
    <t xml:space="preserve">       % of diagnosed &amp; treated patients</t>
  </si>
  <si>
    <t># diagnosed and treated schizophrenia patients</t>
  </si>
  <si>
    <t xml:space="preserve">       % compliance</t>
  </si>
  <si>
    <t xml:space="preserve">This financial model is a product of TD Cowen’s Research Department.  This financial model is being distributed to you at your request and may not be reproduced, displayed, modified, distributed, transmitted or disclosed, in whole or in part, or in any form or manner, to others outside your organization without the express prior written consent of TD Cowen. Any unauthorized use or disclosure is prohibited. Receipt and review of this model constitutes your agreement not to reproduce, display, modify, distribute, transmit, or disclose to others outside your organization the contents, opinions, conclusion or information contained in this model (including any ratings, estimates or price targets). </t>
  </si>
  <si>
    <t>I, the author, certify that the views expressed in this model accurately reflect my personal views about the subject securities and issuers. I also certify that no part of my compensation was, is or will be, directly or indirectly, related to the specific recommendations or views expressed in this model.</t>
  </si>
  <si>
    <t xml:space="preserve">       % of patients who could benefit from additional augmentation therapy</t>
  </si>
  <si>
    <t># patients who could benefit from additional augmentation therapy</t>
  </si>
  <si>
    <t># patients with insufficient response to current treatments</t>
  </si>
  <si>
    <t>Royalty Payments From Partners</t>
  </si>
  <si>
    <t xml:space="preserve">       % of patients that don't respond to current treatments</t>
  </si>
  <si>
    <t>TD Cowen</t>
  </si>
  <si>
    <t>joseph.thome@tdsecurities.com</t>
  </si>
  <si>
    <t>Maplight Therapeutics (MPLT) Financial Model</t>
  </si>
  <si>
    <t>1 Vanderbilt Avenue</t>
  </si>
  <si>
    <t>New York, NY 10017</t>
  </si>
  <si>
    <t>Peyton Bohnsack, Ph.D.</t>
  </si>
  <si>
    <t>646-562-1313 (office)</t>
  </si>
  <si>
    <t>peyton.bohnsack@tdsecurities.com</t>
  </si>
  <si>
    <t>This model should be viewed in conjunction with TD Cowen’s most recently published research report on the issuer for an explanation of the valuation methods and risks as relates to the ratings, estimates, or price targets, assumptions, and projections made in this model.  All published research reports can be obtained on the Firm's client website, https://portal.tdsecurities.com/alpha. In addition, important disclosures, with the exception of the valuation methodology and risks, are available on the Firm's disclosure website at https://tdcowen.bluematrix.com/sellside/Disclosures.action.</t>
  </si>
  <si>
    <t>©2026 The Toronto-Dominion Bank and/or its affiliates. All rights reserved. TD Securities (USA) LLC Member: FINRA / SIPC TD Securities Inc. Member: CIRO</t>
  </si>
  <si>
    <t>® The TD logo and other TD trademarks are the property of The Toronto-Dominion Bank or its subsidiaries</t>
  </si>
  <si>
    <t>Maplight Therapeutics Quarterly P&amp;L ($MM)</t>
  </si>
  <si>
    <t>Maplight Therapeutics Annual P&amp;L ($MM)</t>
  </si>
  <si>
    <t>MPLT</t>
  </si>
  <si>
    <t>Buy</t>
  </si>
  <si>
    <t>Q3:25A</t>
  </si>
  <si>
    <t>Q4:25A</t>
  </si>
  <si>
    <t>2025A</t>
  </si>
  <si>
    <t>Q2:26E</t>
  </si>
  <si>
    <t>Q3:26E</t>
  </si>
  <si>
    <t>Q4:26E</t>
  </si>
  <si>
    <t>Q1:26E</t>
  </si>
  <si>
    <t>ML-007C-MA Revenue</t>
  </si>
  <si>
    <t>ML-007C-MA Schizophrenia Model ($MM)</t>
  </si>
  <si>
    <t>H1:25A</t>
  </si>
  <si>
    <t>2038E</t>
  </si>
  <si>
    <t>2039E</t>
  </si>
  <si>
    <t>2040E</t>
  </si>
  <si>
    <t xml:space="preserve">       % penetration of 007</t>
  </si>
  <si>
    <t>007 adjunctive sales in schizophrenia ($MM)</t>
  </si>
  <si>
    <t>007 monotherapy sales in schizophrenia ($MM)</t>
  </si>
  <si>
    <t>Total U.S. 007 sales ($MM)</t>
  </si>
  <si>
    <t>007 adjunctive sales In schizophrenia ($MM)</t>
  </si>
  <si>
    <t>Total EU 007 sales ($MM)</t>
  </si>
  <si>
    <t>U.S. 007 Sales</t>
  </si>
  <si>
    <t># patients who received 007 in earlier line</t>
  </si>
  <si>
    <t># patients who have not received 007 and need additional therapy</t>
  </si>
  <si>
    <t># patients on 007 as adjunctive therapy</t>
  </si>
  <si>
    <t>Royalty to MPLT</t>
  </si>
  <si>
    <t>W.W. 007 sales to MPLT ($MM)</t>
  </si>
  <si>
    <t># patients on 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</si>
</sst>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5" formatCode="&quot;$&quot;#,##0_);\(&quot;$&quot;#,##0\)"/>
    <numFmt numFmtId="6" formatCode="&quot;$&quot;#,##0_);[Red]\(&quot;$&quot;#,##0\)"/>
    <numFmt numFmtId="7" formatCode="&quot;$&quot;#,##0.00_);\(&quot;$&quot;#,##0.00\)"/>
    <numFmt numFmtId="44" formatCode="_(&quot;$&quot;* #,##0.00_);_(&quot;$&quot;* \(#,##0.00\);_(&quot;$&quot;* &quot;-&quot;??_);_(@_)"/>
    <numFmt numFmtId="43" formatCode="_(* #,##0.00_);_(* \(#,##0.00\);_(* &quot;-&quot;??_);_(@_)"/>
    <numFmt numFmtId="164" formatCode="#,##0.0_);\(#,##0.0\)"/>
    <numFmt numFmtId="165" formatCode="_(* #,##0.0_);_(* \(#,##0.0\);_(* &quot;-&quot;?_);_(@_)"/>
    <numFmt numFmtId="166" formatCode="_(* #,##0.0_);_(* \(#,##0.0\);_(* &quot;-&quot;_);_(@_)"/>
    <numFmt numFmtId="167" formatCode="0.0%"/>
    <numFmt numFmtId="168" formatCode="_(* #,##0.0_);_(* \(#,##0.0\);_(* &quot;-&quot;??_);_(@_)"/>
    <numFmt numFmtId="169" formatCode="&quot;$&quot;#,##0.00_);\(&quot;$&quot;#,##0.00\);@_)"/>
    <numFmt numFmtId="170" formatCode="General_)"/>
    <numFmt numFmtId="171" formatCode="0_);\(0\)"/>
    <numFmt numFmtId="172" formatCode="&quot;Table &quot;0"/>
    <numFmt numFmtId="173" formatCode="0.00_);\(0.00\);0.00_)"/>
    <numFmt numFmtId="174" formatCode="0.00\%;\-0.00\%;0.00\%"/>
    <numFmt numFmtId="175" formatCode="0.00_);\(0.00\);0.00"/>
    <numFmt numFmtId="176" formatCode="0.00\x;\-0.00\x;0.00\x"/>
    <numFmt numFmtId="177" formatCode="_(* #,##0.000_);_(* \(#,##0.000\);_(* &quot;-&quot;?_);_(@_)"/>
    <numFmt numFmtId="178" formatCode="&quot;$&quot;#,##0.0"/>
    <numFmt numFmtId="179" formatCode="0.0"/>
    <numFmt numFmtId="180" formatCode="&quot;$&quot;#,##0;[Red]&quot;$&quot;#,##0"/>
    <numFmt numFmtId="181" formatCode="yyyy"/>
    <numFmt numFmtId="182" formatCode="#,##0.00;\(#,##0.00\);0"/>
    <numFmt numFmtId="183" formatCode="&quot;$&quot;#,##0.0_);\(&quot;$&quot;#,##0.0\)"/>
    <numFmt numFmtId="184" formatCode="&quot;$&quot;#,##0"/>
    <numFmt numFmtId="185" formatCode="_(* #,##0.00_);_(* \(#,##0.00\);_(* &quot;-&quot;?_);_(@_)"/>
  </numFmts>
  <fonts count="78">
    <font>
      <sz val="9"/>
      <name val="Franklin Gothic Book"/>
    </font>
    <font>
      <sz val="11"/>
      <color theme="1"/>
      <name val="TD Graphik Office"/>
      <family val="2"/>
      <scheme val="minor"/>
    </font>
    <font>
      <sz val="9"/>
      <name val="Franklin Gothic Book"/>
      <family val="2"/>
    </font>
    <font>
      <sz val="8"/>
      <name val="Franklin Gothic Book"/>
      <family val="2"/>
    </font>
    <font>
      <sz val="8"/>
      <color indexed="12"/>
      <name val="Arial"/>
      <family val="2"/>
    </font>
    <font>
      <sz val="8"/>
      <name val="Franklin Gothic Book"/>
      <family val="2"/>
    </font>
    <font>
      <b/>
      <sz val="9"/>
      <name val="LucidaT"/>
    </font>
    <font>
      <b/>
      <sz val="12"/>
      <name val="Times New Roman"/>
      <family val="1"/>
    </font>
    <font>
      <sz val="10"/>
      <name val="Arial"/>
      <family val="2"/>
    </font>
    <font>
      <sz val="24"/>
      <name val="Arial"/>
      <family val="2"/>
    </font>
    <font>
      <b/>
      <sz val="9"/>
      <name val="Geneva"/>
    </font>
    <font>
      <sz val="9"/>
      <name val="Franklin Gothic Heavy"/>
      <family val="2"/>
    </font>
    <font>
      <b/>
      <sz val="10"/>
      <name val="Arial"/>
      <family val="2"/>
    </font>
    <font>
      <sz val="12"/>
      <name val="Times New Roman"/>
      <family val="1"/>
    </font>
    <font>
      <sz val="10"/>
      <name val="Book Antiqua"/>
      <family val="1"/>
    </font>
    <font>
      <sz val="9"/>
      <name val="LucidaT"/>
    </font>
    <font>
      <sz val="10"/>
      <color indexed="8"/>
      <name val="Helvetica"/>
    </font>
    <font>
      <sz val="9"/>
      <name val="Franklin Gothic Book"/>
      <family val="2"/>
    </font>
    <font>
      <b/>
      <sz val="12"/>
      <name val="Arial"/>
      <family val="2"/>
    </font>
    <font>
      <b/>
      <sz val="14"/>
      <name val="Times New Roman"/>
      <family val="1"/>
    </font>
    <font>
      <sz val="10"/>
      <name val="Franklin Gothic Heavy"/>
      <family val="2"/>
    </font>
    <font>
      <sz val="8"/>
      <name val="Helvetica"/>
      <family val="2"/>
    </font>
    <font>
      <sz val="9"/>
      <name val="Franklin Gothic Book"/>
      <family val="2"/>
    </font>
    <font>
      <sz val="11"/>
      <color theme="1"/>
      <name val="TD Graphik Office"/>
      <family val="2"/>
      <scheme val="minor"/>
    </font>
    <font>
      <sz val="10"/>
      <name val="TD Graphik Office"/>
      <scheme val="minor"/>
    </font>
    <font>
      <sz val="10"/>
      <name val="Arial"/>
      <family val="2"/>
    </font>
    <font>
      <u/>
      <sz val="10.8"/>
      <color indexed="12"/>
      <name val="Franklin Gothic Book"/>
      <family val="2"/>
    </font>
    <font>
      <b/>
      <sz val="9"/>
      <name val="Glober"/>
    </font>
    <font>
      <sz val="10"/>
      <color theme="1"/>
      <name val="TD Graphik Office"/>
      <family val="2"/>
      <scheme val="minor"/>
    </font>
    <font>
      <sz val="10"/>
      <name val="Geneva"/>
    </font>
    <font>
      <sz val="8"/>
      <name val="Franklin Gothic Book"/>
      <family val="2"/>
    </font>
    <font>
      <sz val="9"/>
      <name val="TD Graphik Office"/>
      <scheme val="minor"/>
    </font>
    <font>
      <b/>
      <sz val="9"/>
      <name val="TD Graphik Office"/>
      <scheme val="minor"/>
    </font>
    <font>
      <sz val="9"/>
      <color indexed="81"/>
      <name val="Tahoma"/>
      <family val="2"/>
    </font>
    <font>
      <b/>
      <sz val="9"/>
      <color indexed="81"/>
      <name val="Tahoma"/>
      <family val="2"/>
    </font>
    <font>
      <sz val="10"/>
      <name val="TD Graphik Office"/>
      <family val="2"/>
    </font>
    <font>
      <i/>
      <sz val="12"/>
      <color rgb="FF000000"/>
      <name val="TD Graphik Office"/>
      <family val="2"/>
    </font>
    <font>
      <b/>
      <sz val="22"/>
      <color theme="0"/>
      <name val="TD Graphik Office"/>
      <family val="2"/>
    </font>
    <font>
      <sz val="12"/>
      <name val="TD Graphik Office"/>
      <family val="2"/>
    </font>
    <font>
      <b/>
      <sz val="14"/>
      <name val="TD Graphik Office"/>
      <family val="2"/>
    </font>
    <font>
      <sz val="14"/>
      <name val="TD Graphik Office"/>
      <family val="2"/>
    </font>
    <font>
      <sz val="14"/>
      <color theme="1"/>
      <name val="TD Graphik Office"/>
      <family val="2"/>
    </font>
    <font>
      <u/>
      <sz val="14"/>
      <name val="TD Graphik Office"/>
      <family val="2"/>
    </font>
    <font>
      <u/>
      <sz val="10.8"/>
      <color indexed="12"/>
      <name val="TD Graphik Office"/>
      <family val="2"/>
    </font>
    <font>
      <sz val="9"/>
      <name val="TD Graphik Office"/>
      <family val="2"/>
    </font>
    <font>
      <u/>
      <sz val="10"/>
      <color indexed="12"/>
      <name val="MS Sans Serif"/>
      <family val="2"/>
    </font>
    <font>
      <i/>
      <sz val="10"/>
      <name val="TD Graphik Office"/>
      <family val="2"/>
    </font>
    <font>
      <b/>
      <sz val="10"/>
      <name val="TD Graphik Office"/>
      <family val="2"/>
    </font>
    <font>
      <b/>
      <sz val="9"/>
      <name val="TD Graphik Office"/>
      <family val="2"/>
    </font>
    <font>
      <b/>
      <sz val="10"/>
      <color theme="0"/>
      <name val="TD Graphik Office"/>
      <family val="2"/>
    </font>
    <font>
      <b/>
      <sz val="9"/>
      <color theme="0"/>
      <name val="TD Graphik Office"/>
      <family val="2"/>
    </font>
    <font>
      <i/>
      <sz val="8"/>
      <color indexed="10"/>
      <name val="TD Graphik Office"/>
      <family val="2"/>
    </font>
    <font>
      <sz val="8"/>
      <name val="TD Graphik Office"/>
      <family val="2"/>
    </font>
    <font>
      <i/>
      <sz val="8"/>
      <name val="TD Graphik Office"/>
      <family val="2"/>
    </font>
    <font>
      <i/>
      <sz val="11"/>
      <name val="TD Graphik Office"/>
      <family val="2"/>
    </font>
    <font>
      <i/>
      <sz val="11"/>
      <color rgb="FF000000"/>
      <name val="TD Graphik Office"/>
      <family val="2"/>
    </font>
    <font>
      <i/>
      <sz val="7.5"/>
      <name val="TD Graphik Office"/>
      <family val="2"/>
    </font>
    <font>
      <i/>
      <sz val="9"/>
      <color indexed="10"/>
      <name val="TD Graphik Office"/>
      <family val="2"/>
    </font>
    <font>
      <b/>
      <sz val="8"/>
      <name val="TD Graphik Office"/>
      <family val="2"/>
    </font>
    <font>
      <b/>
      <sz val="8"/>
      <color indexed="18"/>
      <name val="TD Graphik Office"/>
      <family val="2"/>
    </font>
    <font>
      <u/>
      <sz val="8"/>
      <name val="TD Graphik Office"/>
      <family val="2"/>
    </font>
    <font>
      <i/>
      <sz val="8"/>
      <color rgb="FFC00000"/>
      <name val="TD Graphik Office"/>
      <family val="2"/>
    </font>
    <font>
      <sz val="8"/>
      <color rgb="FFC00000"/>
      <name val="TD Graphik Office"/>
      <family val="2"/>
    </font>
    <font>
      <b/>
      <sz val="8"/>
      <color theme="0"/>
      <name val="TD Graphik Office"/>
      <family val="2"/>
    </font>
    <font>
      <sz val="8"/>
      <color theme="0"/>
      <name val="TD Graphik Office"/>
      <family val="2"/>
    </font>
    <font>
      <b/>
      <sz val="9"/>
      <color indexed="9"/>
      <name val="TD Graphik Office"/>
      <family val="2"/>
    </font>
    <font>
      <sz val="8"/>
      <color indexed="9"/>
      <name val="TD Graphik Office"/>
      <family val="2"/>
    </font>
    <font>
      <b/>
      <sz val="8"/>
      <name val="TD Graphik Office"/>
      <family val="2"/>
      <scheme val="minor"/>
    </font>
    <font>
      <b/>
      <sz val="10"/>
      <name val="TD Graphik Office"/>
      <family val="2"/>
      <scheme val="minor"/>
    </font>
    <font>
      <b/>
      <sz val="10"/>
      <color theme="0"/>
      <name val="TD Graphik Office"/>
      <family val="2"/>
      <scheme val="minor"/>
    </font>
    <font>
      <sz val="8"/>
      <name val="TD Graphik Office"/>
      <family val="2"/>
      <scheme val="minor"/>
    </font>
    <font>
      <sz val="10"/>
      <name val="TD Graphik Office"/>
      <family val="2"/>
      <scheme val="minor"/>
    </font>
    <font>
      <b/>
      <u/>
      <sz val="8"/>
      <name val="TD Graphik Office"/>
      <family val="2"/>
      <scheme val="minor"/>
    </font>
    <font>
      <sz val="8"/>
      <color theme="0"/>
      <name val="TD Graphik Office"/>
      <family val="2"/>
      <scheme val="minor"/>
    </font>
    <font>
      <b/>
      <u/>
      <sz val="8"/>
      <name val="TD Graphik Office"/>
      <family val="2"/>
    </font>
    <font>
      <b/>
      <sz val="8"/>
      <color theme="0"/>
      <name val="TD Graphik Office"/>
      <family val="2"/>
      <scheme val="minor"/>
    </font>
    <font>
      <b/>
      <sz val="8"/>
      <color theme="5" tint="-0.249977111117893"/>
      <name val="TD Graphik Office"/>
      <family val="2"/>
      <scheme val="minor"/>
    </font>
    <font>
      <b/>
      <u/>
      <sz val="8"/>
      <color theme="5" tint="-0.249977111117893"/>
      <name val="TD Graphik Office"/>
      <family val="2"/>
    </font>
  </fonts>
  <fills count="20">
    <fill>
      <patternFill patternType="none"/>
    </fill>
    <fill>
      <patternFill patternType="gray125"/>
    </fill>
    <fill>
      <patternFill patternType="lightGray">
        <fgColor indexed="12"/>
      </patternFill>
    </fill>
    <fill>
      <patternFill patternType="solid">
        <fgColor indexed="47"/>
        <bgColor indexed="64"/>
      </patternFill>
    </fill>
    <fill>
      <patternFill patternType="solid">
        <fgColor indexed="13"/>
        <bgColor indexed="64"/>
      </patternFill>
    </fill>
    <fill>
      <patternFill patternType="solid">
        <fgColor indexed="22"/>
        <bgColor indexed="64"/>
      </patternFill>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rgb="FFBAC2E2"/>
        <bgColor indexed="64"/>
      </patternFill>
    </fill>
    <fill>
      <patternFill patternType="solid">
        <fgColor theme="0" tint="-4.9989318521683403E-2"/>
        <bgColor indexed="64"/>
      </patternFill>
    </fill>
    <fill>
      <patternFill patternType="solid">
        <fgColor rgb="FF990000"/>
        <bgColor indexed="64"/>
      </patternFill>
    </fill>
    <fill>
      <patternFill patternType="solid">
        <fgColor rgb="FF002570"/>
        <bgColor indexed="64"/>
      </patternFill>
    </fill>
    <fill>
      <patternFill patternType="solid">
        <fgColor rgb="FF4E71B5"/>
        <bgColor indexed="64"/>
      </patternFill>
    </fill>
    <fill>
      <patternFill patternType="solid">
        <fgColor theme="1"/>
        <bgColor indexed="64"/>
      </patternFill>
    </fill>
    <fill>
      <patternFill patternType="solid">
        <fgColor theme="6"/>
        <bgColor indexed="64"/>
      </patternFill>
    </fill>
    <fill>
      <patternFill patternType="solid">
        <fgColor theme="8" tint="0.79998168889431442"/>
        <bgColor indexed="64"/>
      </patternFill>
    </fill>
    <fill>
      <patternFill patternType="solid">
        <fgColor rgb="FF1A5336"/>
        <bgColor indexed="64"/>
      </patternFill>
    </fill>
    <fill>
      <patternFill patternType="solid">
        <fgColor rgb="FF9D9DA1"/>
        <bgColor indexed="64"/>
      </patternFill>
    </fill>
    <fill>
      <patternFill patternType="solid">
        <fgColor rgb="FF008A00"/>
        <bgColor indexed="64"/>
      </patternFill>
    </fill>
  </fills>
  <borders count="37">
    <border>
      <left/>
      <right/>
      <top/>
      <bottom/>
      <diagonal/>
    </border>
    <border>
      <left/>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medium">
        <color indexed="64"/>
      </bottom>
      <diagonal/>
    </border>
    <border>
      <left/>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style="double">
        <color indexed="64"/>
      </bottom>
      <diagonal/>
    </border>
    <border>
      <left/>
      <right/>
      <top/>
      <bottom style="double">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58">
    <xf numFmtId="0" fontId="0" fillId="0" borderId="0"/>
    <xf numFmtId="170" fontId="4" fillId="0" borderId="0"/>
    <xf numFmtId="164" fontId="5" fillId="0" borderId="1" applyNumberFormat="0" applyFont="0" applyFill="0" applyAlignment="0" applyProtection="0">
      <alignment horizontal="left" vertical="center"/>
    </xf>
    <xf numFmtId="37" fontId="6" fillId="0" borderId="0" applyNumberFormat="0" applyFill="0" applyBorder="0" applyProtection="0">
      <alignment horizontal="centerContinuous" vertical="center"/>
    </xf>
    <xf numFmtId="0" fontId="7" fillId="0" borderId="2" applyNumberFormat="0" applyFill="0" applyProtection="0">
      <alignment horizontal="left" vertical="center"/>
    </xf>
    <xf numFmtId="0" fontId="8" fillId="0" borderId="0">
      <alignment horizontal="center" wrapText="1"/>
      <protection hidden="1"/>
    </xf>
    <xf numFmtId="0" fontId="9" fillId="2" borderId="0">
      <alignment horizontal="center" vertical="center" wrapText="1"/>
    </xf>
    <xf numFmtId="175" fontId="8" fillId="0" borderId="0" applyFill="0" applyBorder="0">
      <alignment horizontal="right"/>
      <protection locked="0"/>
    </xf>
    <xf numFmtId="44" fontId="2" fillId="0" borderId="0" applyFont="0" applyFill="0" applyBorder="0" applyAlignment="0" applyProtection="0"/>
    <xf numFmtId="169" fontId="10" fillId="0" borderId="3" applyFont="0" applyFill="0" applyBorder="0" applyProtection="0">
      <alignment horizontal="right"/>
    </xf>
    <xf numFmtId="0" fontId="5" fillId="0" borderId="0" applyNumberFormat="0" applyFill="0" applyBorder="0" applyProtection="0">
      <alignment horizontal="left" vertical="center"/>
    </xf>
    <xf numFmtId="164" fontId="11" fillId="3" borderId="0" applyBorder="0">
      <alignment horizontal="left" vertical="center"/>
    </xf>
    <xf numFmtId="0" fontId="8" fillId="0" borderId="0" applyFill="0" applyBorder="0">
      <alignment horizontal="right"/>
      <protection locked="0"/>
    </xf>
    <xf numFmtId="173" fontId="8" fillId="0" borderId="0" applyFill="0" applyBorder="0">
      <alignment horizontal="right"/>
      <protection locked="0"/>
    </xf>
    <xf numFmtId="0" fontId="12" fillId="4" borderId="4">
      <alignment horizontal="left" vertical="center" wrapText="1"/>
    </xf>
    <xf numFmtId="0" fontId="13" fillId="0" borderId="0" applyNumberFormat="0" applyFill="0" applyBorder="0" applyProtection="0">
      <alignment horizontal="left" vertical="center"/>
    </xf>
    <xf numFmtId="37" fontId="14" fillId="0" borderId="0" applyFont="0" applyFill="0" applyBorder="0" applyAlignment="0" applyProtection="0"/>
    <xf numFmtId="37" fontId="15" fillId="0" borderId="0" applyProtection="0">
      <alignment horizontal="right" vertical="center"/>
    </xf>
    <xf numFmtId="0" fontId="22" fillId="0" borderId="0"/>
    <xf numFmtId="0" fontId="8" fillId="0" borderId="0"/>
    <xf numFmtId="0" fontId="21" fillId="0" borderId="0"/>
    <xf numFmtId="0" fontId="8" fillId="0" borderId="0"/>
    <xf numFmtId="0" fontId="23" fillId="0" borderId="0"/>
    <xf numFmtId="0" fontId="8" fillId="0" borderId="0"/>
    <xf numFmtId="0" fontId="8" fillId="0" borderId="0"/>
    <xf numFmtId="9" fontId="2" fillId="0" borderId="0" applyFont="0" applyFill="0" applyBorder="0" applyAlignment="0" applyProtection="0"/>
    <xf numFmtId="9" fontId="15" fillId="0" borderId="0" applyFont="0" applyFill="0" applyBorder="0" applyAlignment="0" applyProtection="0">
      <alignment horizontal="right" vertical="center"/>
    </xf>
    <xf numFmtId="167" fontId="15" fillId="0" borderId="0" applyFont="0" applyFill="0" applyBorder="0" applyAlignment="0" applyProtection="0">
      <alignment horizontal="right" vertical="center"/>
    </xf>
    <xf numFmtId="167" fontId="16" fillId="0" borderId="0" applyBorder="0"/>
    <xf numFmtId="174" fontId="8" fillId="0" borderId="0" applyFill="0" applyBorder="0">
      <alignment horizontal="right"/>
      <protection locked="0"/>
    </xf>
    <xf numFmtId="176" fontId="8" fillId="0" borderId="0">
      <alignment horizontal="right"/>
      <protection locked="0"/>
    </xf>
    <xf numFmtId="171" fontId="6" fillId="0" borderId="0" applyNumberFormat="0" applyFont="0" applyFill="0" applyAlignment="0" applyProtection="0">
      <alignment horizontal="right" vertical="center"/>
    </xf>
    <xf numFmtId="0" fontId="17" fillId="0" borderId="0" applyNumberFormat="0" applyFont="0" applyFill="0" applyBorder="0" applyProtection="0">
      <alignment horizontal="right" vertical="center"/>
    </xf>
    <xf numFmtId="0" fontId="18" fillId="2" borderId="3">
      <alignment horizontal="center" vertical="center" wrapText="1"/>
      <protection hidden="1"/>
    </xf>
    <xf numFmtId="0" fontId="7" fillId="0" borderId="0" applyNumberFormat="0" applyFill="0" applyBorder="0" applyProtection="0">
      <alignment horizontal="left" vertical="center"/>
    </xf>
    <xf numFmtId="164" fontId="11" fillId="0" borderId="0" applyNumberFormat="0" applyProtection="0">
      <alignment horizontal="left" vertical="center"/>
    </xf>
    <xf numFmtId="0" fontId="7" fillId="0" borderId="5" applyNumberFormat="0" applyFill="0" applyProtection="0">
      <alignment horizontal="left" vertical="center"/>
    </xf>
    <xf numFmtId="0" fontId="19" fillId="0" borderId="0" applyNumberFormat="0" applyFill="0" applyBorder="0" applyProtection="0">
      <alignment horizontal="centerContinuous" vertical="center"/>
    </xf>
    <xf numFmtId="172" fontId="20" fillId="0" borderId="0" applyNumberFormat="0" applyProtection="0">
      <alignment horizontal="centerContinuous" vertical="center"/>
    </xf>
    <xf numFmtId="0" fontId="20" fillId="3" borderId="0" applyNumberFormat="0" applyProtection="0">
      <alignment horizontal="centerContinuous" vertical="center"/>
    </xf>
    <xf numFmtId="0" fontId="8" fillId="0" borderId="0" applyBorder="0"/>
    <xf numFmtId="171" fontId="11" fillId="0" borderId="1" applyProtection="0">
      <alignment horizontal="right" vertical="center"/>
    </xf>
    <xf numFmtId="0" fontId="1" fillId="0" borderId="0"/>
    <xf numFmtId="0" fontId="8" fillId="0" borderId="0"/>
    <xf numFmtId="0" fontId="25" fillId="0" borderId="0"/>
    <xf numFmtId="0" fontId="26" fillId="0" borderId="0" applyNumberFormat="0" applyFill="0" applyBorder="0" applyAlignment="0" applyProtection="0">
      <alignment vertical="top"/>
      <protection locked="0"/>
    </xf>
    <xf numFmtId="43" fontId="2" fillId="0" borderId="0" applyFont="0" applyFill="0" applyBorder="0" applyAlignment="0" applyProtection="0"/>
    <xf numFmtId="0" fontId="28" fillId="0" borderId="0"/>
    <xf numFmtId="0" fontId="28" fillId="0" borderId="0"/>
    <xf numFmtId="43" fontId="8" fillId="0" borderId="0" applyFont="0" applyFill="0" applyBorder="0" applyAlignment="0" applyProtection="0"/>
    <xf numFmtId="9" fontId="8" fillId="0" borderId="0" applyFont="0" applyFill="0" applyBorder="0" applyAlignment="0" applyProtection="0"/>
    <xf numFmtId="0" fontId="28" fillId="0" borderId="0"/>
    <xf numFmtId="0" fontId="8" fillId="0" borderId="0"/>
    <xf numFmtId="0" fontId="8" fillId="0" borderId="0"/>
    <xf numFmtId="0" fontId="29" fillId="0" borderId="0" applyProtection="0"/>
    <xf numFmtId="0" fontId="8" fillId="0" borderId="0"/>
    <xf numFmtId="0" fontId="2" fillId="0" borderId="0"/>
    <xf numFmtId="0" fontId="45" fillId="0" borderId="0" applyNumberFormat="0" applyFill="0" applyBorder="0" applyAlignment="0" applyProtection="0">
      <alignment vertical="top"/>
      <protection locked="0"/>
    </xf>
  </cellStyleXfs>
  <cellXfs count="264">
    <xf numFmtId="0" fontId="0" fillId="0" borderId="0" xfId="0"/>
    <xf numFmtId="0" fontId="24" fillId="5" borderId="0" xfId="54" applyFont="1" applyFill="1" applyAlignment="1">
      <alignment horizontal="left"/>
    </xf>
    <xf numFmtId="0" fontId="31" fillId="0" borderId="0" xfId="0" applyFont="1"/>
    <xf numFmtId="0" fontId="32" fillId="0" borderId="2" xfId="0" applyFont="1" applyBorder="1"/>
    <xf numFmtId="5" fontId="32" fillId="0" borderId="2" xfId="0" applyNumberFormat="1" applyFont="1" applyBorder="1" applyAlignment="1">
      <alignment horizontal="right"/>
    </xf>
    <xf numFmtId="0" fontId="32" fillId="16" borderId="9" xfId="0" applyFont="1" applyFill="1" applyBorder="1"/>
    <xf numFmtId="5" fontId="32" fillId="16" borderId="35" xfId="0" applyNumberFormat="1" applyFont="1" applyFill="1" applyBorder="1"/>
    <xf numFmtId="0" fontId="32" fillId="0" borderId="11" xfId="0" applyFont="1" applyBorder="1"/>
    <xf numFmtId="5" fontId="32" fillId="0" borderId="7" xfId="0" applyNumberFormat="1" applyFont="1" applyBorder="1"/>
    <xf numFmtId="184" fontId="27" fillId="15" borderId="14" xfId="54" applyNumberFormat="1" applyFont="1" applyFill="1" applyBorder="1"/>
    <xf numFmtId="184" fontId="27" fillId="15" borderId="8" xfId="54" applyNumberFormat="1" applyFont="1" applyFill="1" applyBorder="1"/>
    <xf numFmtId="0" fontId="35" fillId="8" borderId="0" xfId="19" applyFont="1" applyFill="1"/>
    <xf numFmtId="0" fontId="35" fillId="8" borderId="0" xfId="55" applyFont="1" applyFill="1"/>
    <xf numFmtId="0" fontId="36" fillId="8" borderId="0" xfId="19" applyFont="1" applyFill="1" applyAlignment="1">
      <alignment horizontal="justify" vertical="center"/>
    </xf>
    <xf numFmtId="0" fontId="37" fillId="14" borderId="0" xfId="19" applyFont="1" applyFill="1" applyAlignment="1">
      <alignment horizontal="left" indent="1"/>
    </xf>
    <xf numFmtId="0" fontId="38" fillId="8" borderId="0" xfId="19" applyFont="1" applyFill="1"/>
    <xf numFmtId="0" fontId="39" fillId="8" borderId="0" xfId="19" applyFont="1" applyFill="1" applyAlignment="1">
      <alignment horizontal="left" indent="1"/>
    </xf>
    <xf numFmtId="0" fontId="40" fillId="8" borderId="0" xfId="19" applyFont="1" applyFill="1" applyAlignment="1">
      <alignment horizontal="left" indent="1"/>
    </xf>
    <xf numFmtId="0" fontId="41" fillId="8" borderId="0" xfId="55" applyFont="1" applyFill="1" applyAlignment="1">
      <alignment horizontal="left" vertical="center" indent="1"/>
    </xf>
    <xf numFmtId="0" fontId="41" fillId="8" borderId="0" xfId="55" applyFont="1" applyFill="1" applyAlignment="1">
      <alignment horizontal="left" indent="1"/>
    </xf>
    <xf numFmtId="0" fontId="42" fillId="8" borderId="0" xfId="45" applyFont="1" applyFill="1" applyAlignment="1" applyProtection="1">
      <alignment horizontal="left" vertical="center" indent="1"/>
    </xf>
    <xf numFmtId="0" fontId="43" fillId="8" borderId="0" xfId="45" applyFont="1" applyFill="1" applyAlignment="1" applyProtection="1">
      <alignment horizontal="left" vertical="center" indent="1"/>
    </xf>
    <xf numFmtId="0" fontId="44" fillId="8" borderId="0" xfId="56" applyFont="1" applyFill="1"/>
    <xf numFmtId="0" fontId="41" fillId="8" borderId="0" xfId="0" applyFont="1" applyFill="1" applyAlignment="1">
      <alignment horizontal="left" indent="1"/>
    </xf>
    <xf numFmtId="0" fontId="42" fillId="8" borderId="0" xfId="57" applyFont="1" applyFill="1" applyAlignment="1" applyProtection="1">
      <alignment horizontal="left" vertical="center" indent="1"/>
    </xf>
    <xf numFmtId="0" fontId="46" fillId="8" borderId="0" xfId="19" applyFont="1" applyFill="1" applyAlignment="1">
      <alignment wrapText="1"/>
    </xf>
    <xf numFmtId="0" fontId="47" fillId="5" borderId="0" xfId="0" applyFont="1" applyFill="1" applyAlignment="1">
      <alignment horizontal="center"/>
    </xf>
    <xf numFmtId="0" fontId="48" fillId="5" borderId="0" xfId="0" applyFont="1" applyFill="1"/>
    <xf numFmtId="0" fontId="48" fillId="0" borderId="0" xfId="0" applyFont="1"/>
    <xf numFmtId="0" fontId="49" fillId="17" borderId="2" xfId="0" applyFont="1" applyFill="1" applyBorder="1" applyAlignment="1">
      <alignment horizontal="center"/>
    </xf>
    <xf numFmtId="0" fontId="50" fillId="17" borderId="2" xfId="0" applyFont="1" applyFill="1" applyBorder="1"/>
    <xf numFmtId="0" fontId="50" fillId="17" borderId="0" xfId="0" applyFont="1" applyFill="1"/>
    <xf numFmtId="0" fontId="50" fillId="17" borderId="13" xfId="0" applyFont="1" applyFill="1" applyBorder="1"/>
    <xf numFmtId="0" fontId="50" fillId="17" borderId="14" xfId="0" applyFont="1" applyFill="1" applyBorder="1"/>
    <xf numFmtId="0" fontId="50" fillId="17" borderId="8" xfId="0" applyFont="1" applyFill="1" applyBorder="1"/>
    <xf numFmtId="0" fontId="50" fillId="17" borderId="7" xfId="0" applyFont="1" applyFill="1" applyBorder="1"/>
    <xf numFmtId="0" fontId="44" fillId="6" borderId="0" xfId="0" applyFont="1" applyFill="1"/>
    <xf numFmtId="165" fontId="44" fillId="8" borderId="0" xfId="0" applyNumberFormat="1" applyFont="1" applyFill="1" applyAlignment="1">
      <alignment horizontal="right"/>
    </xf>
    <xf numFmtId="165" fontId="44" fillId="8" borderId="16" xfId="0" applyNumberFormat="1" applyFont="1" applyFill="1" applyBorder="1" applyAlignment="1">
      <alignment horizontal="right"/>
    </xf>
    <xf numFmtId="165" fontId="44" fillId="8" borderId="11" xfId="0" applyNumberFormat="1" applyFont="1" applyFill="1" applyBorder="1" applyAlignment="1">
      <alignment horizontal="right"/>
    </xf>
    <xf numFmtId="165" fontId="44" fillId="8" borderId="10" xfId="0" applyNumberFormat="1" applyFont="1" applyFill="1" applyBorder="1" applyAlignment="1">
      <alignment horizontal="right"/>
    </xf>
    <xf numFmtId="165" fontId="44" fillId="8" borderId="35" xfId="0" applyNumberFormat="1" applyFont="1" applyFill="1" applyBorder="1" applyAlignment="1">
      <alignment horizontal="right"/>
    </xf>
    <xf numFmtId="166" fontId="44" fillId="0" borderId="0" xfId="0" applyNumberFormat="1" applyFont="1"/>
    <xf numFmtId="0" fontId="44" fillId="18" borderId="0" xfId="0" applyFont="1" applyFill="1"/>
    <xf numFmtId="178" fontId="44" fillId="18" borderId="0" xfId="0" applyNumberFormat="1" applyFont="1" applyFill="1" applyAlignment="1">
      <alignment horizontal="right"/>
    </xf>
    <xf numFmtId="178" fontId="44" fillId="18" borderId="12" xfId="0" applyNumberFormat="1" applyFont="1" applyFill="1" applyBorder="1" applyAlignment="1">
      <alignment horizontal="right"/>
    </xf>
    <xf numFmtId="178" fontId="44" fillId="18" borderId="7" xfId="0" applyNumberFormat="1" applyFont="1" applyFill="1" applyBorder="1" applyAlignment="1">
      <alignment horizontal="right"/>
    </xf>
    <xf numFmtId="0" fontId="44" fillId="0" borderId="0" xfId="0" applyFont="1"/>
    <xf numFmtId="165" fontId="44" fillId="8" borderId="12" xfId="0" applyNumberFormat="1" applyFont="1" applyFill="1" applyBorder="1" applyAlignment="1">
      <alignment horizontal="right"/>
    </xf>
    <xf numFmtId="165" fontId="44" fillId="8" borderId="7" xfId="0" applyNumberFormat="1" applyFont="1" applyFill="1" applyBorder="1" applyAlignment="1">
      <alignment horizontal="right"/>
    </xf>
    <xf numFmtId="0" fontId="51" fillId="6" borderId="0" xfId="0" applyFont="1" applyFill="1"/>
    <xf numFmtId="9" fontId="51" fillId="8" borderId="0" xfId="25" applyFont="1" applyFill="1" applyAlignment="1">
      <alignment horizontal="right"/>
    </xf>
    <xf numFmtId="9" fontId="51" fillId="8" borderId="12" xfId="25" applyFont="1" applyFill="1" applyBorder="1" applyAlignment="1">
      <alignment horizontal="right"/>
    </xf>
    <xf numFmtId="9" fontId="51" fillId="8" borderId="0" xfId="25" applyFont="1" applyFill="1" applyBorder="1" applyAlignment="1">
      <alignment horizontal="right"/>
    </xf>
    <xf numFmtId="9" fontId="51" fillId="8" borderId="7" xfId="25" applyFont="1" applyFill="1" applyBorder="1" applyAlignment="1">
      <alignment horizontal="right"/>
    </xf>
    <xf numFmtId="0" fontId="52" fillId="0" borderId="0" xfId="0" applyFont="1"/>
    <xf numFmtId="0" fontId="51" fillId="8" borderId="0" xfId="0" applyFont="1" applyFill="1"/>
    <xf numFmtId="165" fontId="51" fillId="8" borderId="0" xfId="25" applyNumberFormat="1" applyFont="1" applyFill="1" applyAlignment="1">
      <alignment horizontal="right"/>
    </xf>
    <xf numFmtId="165" fontId="51" fillId="8" borderId="12" xfId="25" applyNumberFormat="1" applyFont="1" applyFill="1" applyBorder="1" applyAlignment="1">
      <alignment horizontal="right"/>
    </xf>
    <xf numFmtId="165" fontId="51" fillId="8" borderId="0" xfId="25" applyNumberFormat="1" applyFont="1" applyFill="1" applyBorder="1" applyAlignment="1">
      <alignment horizontal="right"/>
    </xf>
    <xf numFmtId="165" fontId="51" fillId="8" borderId="7" xfId="25" applyNumberFormat="1" applyFont="1" applyFill="1" applyBorder="1" applyAlignment="1">
      <alignment horizontal="right"/>
    </xf>
    <xf numFmtId="0" fontId="53" fillId="8" borderId="0" xfId="0" applyFont="1" applyFill="1"/>
    <xf numFmtId="177" fontId="51" fillId="8" borderId="0" xfId="25" applyNumberFormat="1" applyFont="1" applyFill="1" applyAlignment="1">
      <alignment horizontal="right"/>
    </xf>
    <xf numFmtId="177" fontId="51" fillId="8" borderId="12" xfId="25" applyNumberFormat="1" applyFont="1" applyFill="1" applyBorder="1" applyAlignment="1">
      <alignment horizontal="right"/>
    </xf>
    <xf numFmtId="177" fontId="51" fillId="8" borderId="11" xfId="25" applyNumberFormat="1" applyFont="1" applyFill="1" applyBorder="1" applyAlignment="1">
      <alignment horizontal="right"/>
    </xf>
    <xf numFmtId="177" fontId="51" fillId="8" borderId="7" xfId="25" applyNumberFormat="1" applyFont="1" applyFill="1" applyBorder="1" applyAlignment="1">
      <alignment horizontal="right"/>
    </xf>
    <xf numFmtId="0" fontId="53" fillId="0" borderId="0" xfId="0" applyFont="1"/>
    <xf numFmtId="165" fontId="44" fillId="8" borderId="0" xfId="25" applyNumberFormat="1" applyFont="1" applyFill="1" applyAlignment="1">
      <alignment horizontal="right"/>
    </xf>
    <xf numFmtId="177" fontId="44" fillId="8" borderId="0" xfId="25" applyNumberFormat="1" applyFont="1" applyFill="1" applyAlignment="1">
      <alignment horizontal="right"/>
    </xf>
    <xf numFmtId="185" fontId="44" fillId="8" borderId="12" xfId="25" applyNumberFormat="1" applyFont="1" applyFill="1" applyBorder="1" applyAlignment="1">
      <alignment horizontal="right"/>
    </xf>
    <xf numFmtId="177" fontId="44" fillId="8" borderId="11" xfId="25" applyNumberFormat="1" applyFont="1" applyFill="1" applyBorder="1" applyAlignment="1">
      <alignment horizontal="right"/>
    </xf>
    <xf numFmtId="177" fontId="44" fillId="8" borderId="7" xfId="25" applyNumberFormat="1" applyFont="1" applyFill="1" applyBorder="1" applyAlignment="1">
      <alignment horizontal="right"/>
    </xf>
    <xf numFmtId="178" fontId="44" fillId="18" borderId="11" xfId="0" applyNumberFormat="1" applyFont="1" applyFill="1" applyBorder="1" applyAlignment="1">
      <alignment horizontal="right"/>
    </xf>
    <xf numFmtId="165" fontId="44" fillId="8" borderId="0" xfId="0" applyNumberFormat="1" applyFont="1" applyFill="1"/>
    <xf numFmtId="165" fontId="44" fillId="8" borderId="12" xfId="0" applyNumberFormat="1" applyFont="1" applyFill="1" applyBorder="1"/>
    <xf numFmtId="165" fontId="44" fillId="8" borderId="11" xfId="0" applyNumberFormat="1" applyFont="1" applyFill="1" applyBorder="1"/>
    <xf numFmtId="165" fontId="44" fillId="8" borderId="7" xfId="0" applyNumberFormat="1" applyFont="1" applyFill="1" applyBorder="1"/>
    <xf numFmtId="0" fontId="44" fillId="8" borderId="0" xfId="0" applyFont="1" applyFill="1"/>
    <xf numFmtId="165" fontId="51" fillId="8" borderId="11" xfId="25" applyNumberFormat="1" applyFont="1" applyFill="1" applyBorder="1" applyAlignment="1">
      <alignment horizontal="right"/>
    </xf>
    <xf numFmtId="0" fontId="50" fillId="18" borderId="0" xfId="0" applyFont="1" applyFill="1"/>
    <xf numFmtId="7" fontId="50" fillId="18" borderId="0" xfId="8" applyNumberFormat="1" applyFont="1" applyFill="1" applyBorder="1" applyAlignment="1">
      <alignment horizontal="right"/>
    </xf>
    <xf numFmtId="7" fontId="50" fillId="18" borderId="12" xfId="8" applyNumberFormat="1" applyFont="1" applyFill="1" applyBorder="1" applyAlignment="1">
      <alignment horizontal="right"/>
    </xf>
    <xf numFmtId="7" fontId="50" fillId="18" borderId="11" xfId="8" applyNumberFormat="1" applyFont="1" applyFill="1" applyBorder="1" applyAlignment="1">
      <alignment horizontal="right"/>
    </xf>
    <xf numFmtId="7" fontId="50" fillId="18" borderId="7" xfId="8" applyNumberFormat="1" applyFont="1" applyFill="1" applyBorder="1" applyAlignment="1">
      <alignment horizontal="right"/>
    </xf>
    <xf numFmtId="0" fontId="50" fillId="0" borderId="0" xfId="0" applyFont="1"/>
    <xf numFmtId="0" fontId="44" fillId="6" borderId="2" xfId="0" applyFont="1" applyFill="1" applyBorder="1"/>
    <xf numFmtId="165" fontId="44" fillId="8" borderId="2" xfId="0" applyNumberFormat="1" applyFont="1" applyFill="1" applyBorder="1" applyAlignment="1">
      <alignment horizontal="right"/>
    </xf>
    <xf numFmtId="165" fontId="44" fillId="8" borderId="13" xfId="0" applyNumberFormat="1" applyFont="1" applyFill="1" applyBorder="1" applyAlignment="1">
      <alignment horizontal="right"/>
    </xf>
    <xf numFmtId="165" fontId="44" fillId="8" borderId="8" xfId="0" applyNumberFormat="1" applyFont="1" applyFill="1" applyBorder="1" applyAlignment="1">
      <alignment horizontal="right"/>
    </xf>
    <xf numFmtId="0" fontId="44" fillId="8" borderId="9" xfId="0" applyFont="1" applyFill="1" applyBorder="1"/>
    <xf numFmtId="0" fontId="44" fillId="8" borderId="35" xfId="0" applyFont="1" applyFill="1" applyBorder="1"/>
    <xf numFmtId="0" fontId="44" fillId="8" borderId="7" xfId="0" applyFont="1" applyFill="1" applyBorder="1"/>
    <xf numFmtId="168" fontId="44" fillId="8" borderId="0" xfId="0" applyNumberFormat="1" applyFont="1" applyFill="1"/>
    <xf numFmtId="179" fontId="44" fillId="8" borderId="11" xfId="0" applyNumberFormat="1" applyFont="1" applyFill="1" applyBorder="1"/>
    <xf numFmtId="168" fontId="44" fillId="8" borderId="7" xfId="0" applyNumberFormat="1" applyFont="1" applyFill="1" applyBorder="1"/>
    <xf numFmtId="179" fontId="44" fillId="8" borderId="0" xfId="0" applyNumberFormat="1" applyFont="1" applyFill="1"/>
    <xf numFmtId="0" fontId="44" fillId="8" borderId="8" xfId="0" applyFont="1" applyFill="1" applyBorder="1"/>
    <xf numFmtId="0" fontId="48" fillId="6" borderId="15" xfId="0" applyFont="1" applyFill="1" applyBorder="1"/>
    <xf numFmtId="179" fontId="44" fillId="8" borderId="15" xfId="0" applyNumberFormat="1" applyFont="1" applyFill="1" applyBorder="1"/>
    <xf numFmtId="0" fontId="44" fillId="0" borderId="15" xfId="0" applyFont="1" applyBorder="1"/>
    <xf numFmtId="179" fontId="44" fillId="0" borderId="15" xfId="0" applyNumberFormat="1" applyFont="1" applyBorder="1"/>
    <xf numFmtId="0" fontId="44" fillId="0" borderId="36" xfId="0" applyFont="1" applyBorder="1"/>
    <xf numFmtId="43" fontId="44" fillId="0" borderId="0" xfId="0" applyNumberFormat="1" applyFont="1"/>
    <xf numFmtId="0" fontId="54" fillId="0" borderId="0" xfId="0" applyFont="1" applyAlignment="1">
      <alignment horizontal="justify" vertical="center"/>
    </xf>
    <xf numFmtId="0" fontId="55" fillId="0" borderId="0" xfId="0" applyFont="1" applyAlignment="1">
      <alignment horizontal="justify" vertical="center"/>
    </xf>
    <xf numFmtId="0" fontId="50" fillId="17" borderId="8" xfId="0" applyFont="1" applyFill="1" applyBorder="1" applyAlignment="1">
      <alignment horizontal="center"/>
    </xf>
    <xf numFmtId="166" fontId="44" fillId="6" borderId="7" xfId="0" applyNumberFormat="1" applyFont="1" applyFill="1" applyBorder="1"/>
    <xf numFmtId="183" fontId="44" fillId="18" borderId="7" xfId="0" applyNumberFormat="1" applyFont="1" applyFill="1" applyBorder="1"/>
    <xf numFmtId="0" fontId="44" fillId="10" borderId="0" xfId="0" applyFont="1" applyFill="1"/>
    <xf numFmtId="166" fontId="44" fillId="8" borderId="7" xfId="0" applyNumberFormat="1" applyFont="1" applyFill="1" applyBorder="1"/>
    <xf numFmtId="7" fontId="50" fillId="18" borderId="7" xfId="8" applyNumberFormat="1" applyFont="1" applyFill="1" applyBorder="1" applyAlignment="1"/>
    <xf numFmtId="7" fontId="48" fillId="10" borderId="0" xfId="0" applyNumberFormat="1" applyFont="1" applyFill="1"/>
    <xf numFmtId="166" fontId="44" fillId="8" borderId="8" xfId="0" applyNumberFormat="1" applyFont="1" applyFill="1" applyBorder="1"/>
    <xf numFmtId="0" fontId="56" fillId="6" borderId="0" xfId="0" applyFont="1" applyFill="1"/>
    <xf numFmtId="0" fontId="35" fillId="5" borderId="0" xfId="54" applyFont="1" applyFill="1" applyAlignment="1">
      <alignment horizontal="left"/>
    </xf>
    <xf numFmtId="0" fontId="47" fillId="6" borderId="0" xfId="54" applyFont="1" applyFill="1"/>
    <xf numFmtId="0" fontId="35" fillId="6" borderId="0" xfId="54" applyFont="1" applyFill="1"/>
    <xf numFmtId="0" fontId="50" fillId="17" borderId="2" xfId="54" applyFont="1" applyFill="1" applyBorder="1" applyAlignment="1">
      <alignment horizontal="left"/>
    </xf>
    <xf numFmtId="0" fontId="50" fillId="17" borderId="2" xfId="54" applyFont="1" applyFill="1" applyBorder="1" applyAlignment="1">
      <alignment horizontal="right"/>
    </xf>
    <xf numFmtId="0" fontId="44" fillId="6" borderId="0" xfId="18" applyFont="1" applyFill="1"/>
    <xf numFmtId="1" fontId="44" fillId="8" borderId="0" xfId="0" applyNumberFormat="1" applyFont="1" applyFill="1"/>
    <xf numFmtId="0" fontId="57" fillId="6" borderId="0" xfId="18" applyFont="1" applyFill="1"/>
    <xf numFmtId="9" fontId="57" fillId="8" borderId="0" xfId="50" applyFont="1" applyFill="1"/>
    <xf numFmtId="1" fontId="44" fillId="8" borderId="0" xfId="50" applyNumberFormat="1" applyFont="1" applyFill="1"/>
    <xf numFmtId="184" fontId="44" fillId="8" borderId="0" xfId="0" applyNumberFormat="1" applyFont="1" applyFill="1"/>
    <xf numFmtId="6" fontId="44" fillId="8" borderId="0" xfId="0" applyNumberFormat="1" applyFont="1" applyFill="1"/>
    <xf numFmtId="184" fontId="48" fillId="18" borderId="0" xfId="54" applyNumberFormat="1" applyFont="1" applyFill="1"/>
    <xf numFmtId="5" fontId="48" fillId="18" borderId="0" xfId="50" applyNumberFormat="1" applyFont="1" applyFill="1"/>
    <xf numFmtId="184" fontId="44" fillId="8" borderId="0" xfId="54" applyNumberFormat="1" applyFont="1" applyFill="1"/>
    <xf numFmtId="0" fontId="48" fillId="18" borderId="0" xfId="18" applyFont="1" applyFill="1"/>
    <xf numFmtId="6" fontId="48" fillId="18" borderId="0" xfId="0" applyNumberFormat="1" applyFont="1" applyFill="1"/>
    <xf numFmtId="184" fontId="50" fillId="19" borderId="0" xfId="54" applyNumberFormat="1" applyFont="1" applyFill="1"/>
    <xf numFmtId="5" fontId="50" fillId="19" borderId="0" xfId="50" applyNumberFormat="1" applyFont="1" applyFill="1"/>
    <xf numFmtId="0" fontId="52" fillId="6" borderId="0" xfId="52" applyFont="1" applyFill="1"/>
    <xf numFmtId="0" fontId="52" fillId="6" borderId="17" xfId="52" applyFont="1" applyFill="1" applyBorder="1"/>
    <xf numFmtId="49" fontId="52" fillId="6" borderId="18" xfId="52" applyNumberFormat="1" applyFont="1" applyFill="1" applyBorder="1" applyAlignment="1">
      <alignment horizontal="right"/>
    </xf>
    <xf numFmtId="0" fontId="52" fillId="6" borderId="0" xfId="52" applyFont="1" applyFill="1" applyAlignment="1">
      <alignment horizontal="centerContinuous"/>
    </xf>
    <xf numFmtId="9" fontId="52" fillId="6" borderId="0" xfId="52" applyNumberFormat="1" applyFont="1" applyFill="1" applyAlignment="1">
      <alignment horizontal="centerContinuous"/>
    </xf>
    <xf numFmtId="0" fontId="52" fillId="6" borderId="19" xfId="52" applyFont="1" applyFill="1" applyBorder="1"/>
    <xf numFmtId="14" fontId="52" fillId="6" borderId="20" xfId="52" applyNumberFormat="1" applyFont="1" applyFill="1" applyBorder="1"/>
    <xf numFmtId="10" fontId="58" fillId="18" borderId="21" xfId="52" applyNumberFormat="1" applyFont="1" applyFill="1" applyBorder="1"/>
    <xf numFmtId="9" fontId="58" fillId="18" borderId="22" xfId="52" applyNumberFormat="1" applyFont="1" applyFill="1" applyBorder="1"/>
    <xf numFmtId="164" fontId="52" fillId="6" borderId="0" xfId="52" applyNumberFormat="1" applyFont="1" applyFill="1" applyAlignment="1">
      <alignment horizontal="right"/>
    </xf>
    <xf numFmtId="9" fontId="52" fillId="6" borderId="0" xfId="52" applyNumberFormat="1" applyFont="1" applyFill="1"/>
    <xf numFmtId="10" fontId="59" fillId="18" borderId="21" xfId="52" applyNumberFormat="1" applyFont="1" applyFill="1" applyBorder="1"/>
    <xf numFmtId="180" fontId="59" fillId="18" borderId="22" xfId="46" applyNumberFormat="1" applyFont="1" applyFill="1" applyBorder="1"/>
    <xf numFmtId="164" fontId="52" fillId="6" borderId="0" xfId="52" quotePrefix="1" applyNumberFormat="1" applyFont="1" applyFill="1" applyAlignment="1">
      <alignment horizontal="right"/>
    </xf>
    <xf numFmtId="164" fontId="60" fillId="6" borderId="0" xfId="52" applyNumberFormat="1" applyFont="1" applyFill="1"/>
    <xf numFmtId="164" fontId="58" fillId="6" borderId="2" xfId="52" applyNumberFormat="1" applyFont="1" applyFill="1" applyBorder="1"/>
    <xf numFmtId="164" fontId="60" fillId="6" borderId="2" xfId="52" applyNumberFormat="1" applyFont="1" applyFill="1" applyBorder="1"/>
    <xf numFmtId="164" fontId="58" fillId="6" borderId="2" xfId="52" quotePrefix="1" applyNumberFormat="1" applyFont="1" applyFill="1" applyBorder="1" applyAlignment="1">
      <alignment horizontal="center"/>
    </xf>
    <xf numFmtId="164" fontId="52" fillId="6" borderId="2" xfId="52" applyNumberFormat="1" applyFont="1" applyFill="1" applyBorder="1"/>
    <xf numFmtId="164" fontId="52" fillId="6" borderId="2" xfId="52" applyNumberFormat="1" applyFont="1" applyFill="1" applyBorder="1" applyAlignment="1">
      <alignment horizontal="center"/>
    </xf>
    <xf numFmtId="181" fontId="58" fillId="5" borderId="2" xfId="52" applyNumberFormat="1" applyFont="1" applyFill="1" applyBorder="1" applyAlignment="1">
      <alignment horizontal="center"/>
    </xf>
    <xf numFmtId="164" fontId="52" fillId="6" borderId="0" xfId="52" applyNumberFormat="1" applyFont="1" applyFill="1"/>
    <xf numFmtId="0" fontId="58" fillId="18" borderId="0" xfId="53" applyFont="1" applyFill="1"/>
    <xf numFmtId="37" fontId="52" fillId="18" borderId="0" xfId="52" applyNumberFormat="1" applyFont="1" applyFill="1"/>
    <xf numFmtId="1" fontId="58" fillId="18" borderId="0" xfId="53" applyNumberFormat="1" applyFont="1" applyFill="1"/>
    <xf numFmtId="164" fontId="52" fillId="18" borderId="0" xfId="52" applyNumberFormat="1" applyFont="1" applyFill="1"/>
    <xf numFmtId="0" fontId="61" fillId="6" borderId="0" xfId="53" applyFont="1" applyFill="1" applyAlignment="1">
      <alignment horizontal="left" indent="1"/>
    </xf>
    <xf numFmtId="37" fontId="62" fillId="6" borderId="0" xfId="52" applyNumberFormat="1" applyFont="1" applyFill="1"/>
    <xf numFmtId="9" fontId="61" fillId="6" borderId="0" xfId="52" applyNumberFormat="1" applyFont="1" applyFill="1" applyAlignment="1">
      <alignment horizontal="right"/>
    </xf>
    <xf numFmtId="164" fontId="62" fillId="6" borderId="0" xfId="52" applyNumberFormat="1" applyFont="1" applyFill="1"/>
    <xf numFmtId="164" fontId="62" fillId="18" borderId="0" xfId="52" applyNumberFormat="1" applyFont="1" applyFill="1"/>
    <xf numFmtId="0" fontId="63" fillId="17" borderId="0" xfId="53" applyFont="1" applyFill="1"/>
    <xf numFmtId="37" fontId="64" fillId="17" borderId="0" xfId="52" applyNumberFormat="1" applyFont="1" applyFill="1"/>
    <xf numFmtId="171" fontId="63" fillId="17" borderId="0" xfId="53" applyNumberFormat="1" applyFont="1" applyFill="1"/>
    <xf numFmtId="164" fontId="64" fillId="17" borderId="0" xfId="52" applyNumberFormat="1" applyFont="1" applyFill="1"/>
    <xf numFmtId="0" fontId="58" fillId="8" borderId="0" xfId="53" applyFont="1" applyFill="1"/>
    <xf numFmtId="37" fontId="52" fillId="6" borderId="0" xfId="52" applyNumberFormat="1" applyFont="1" applyFill="1"/>
    <xf numFmtId="1" fontId="58" fillId="6" borderId="0" xfId="53" applyNumberFormat="1" applyFont="1" applyFill="1"/>
    <xf numFmtId="0" fontId="58" fillId="6" borderId="0" xfId="53" applyFont="1" applyFill="1"/>
    <xf numFmtId="3" fontId="58" fillId="6" borderId="0" xfId="53" applyNumberFormat="1" applyFont="1" applyFill="1"/>
    <xf numFmtId="1" fontId="63" fillId="17" borderId="0" xfId="53" applyNumberFormat="1" applyFont="1" applyFill="1"/>
    <xf numFmtId="0" fontId="64" fillId="17" borderId="0" xfId="52" applyFont="1" applyFill="1"/>
    <xf numFmtId="164" fontId="58" fillId="6" borderId="0" xfId="52" applyNumberFormat="1" applyFont="1" applyFill="1"/>
    <xf numFmtId="37" fontId="58" fillId="6" borderId="0" xfId="52" applyNumberFormat="1" applyFont="1" applyFill="1"/>
    <xf numFmtId="9" fontId="62" fillId="6" borderId="0" xfId="52" applyNumberFormat="1" applyFont="1" applyFill="1"/>
    <xf numFmtId="164" fontId="63" fillId="17" borderId="0" xfId="52" applyNumberFormat="1" applyFont="1" applyFill="1"/>
    <xf numFmtId="37" fontId="63" fillId="17" borderId="0" xfId="52" applyNumberFormat="1" applyFont="1" applyFill="1"/>
    <xf numFmtId="0" fontId="52" fillId="6" borderId="0" xfId="52" applyFont="1" applyFill="1" applyAlignment="1">
      <alignment horizontal="left"/>
    </xf>
    <xf numFmtId="2" fontId="52" fillId="6" borderId="0" xfId="52" applyNumberFormat="1" applyFont="1" applyFill="1"/>
    <xf numFmtId="182" fontId="52" fillId="6" borderId="0" xfId="52" applyNumberFormat="1" applyFont="1" applyFill="1"/>
    <xf numFmtId="164" fontId="58" fillId="6" borderId="23" xfId="52" applyNumberFormat="1" applyFont="1" applyFill="1" applyBorder="1"/>
    <xf numFmtId="37" fontId="58" fillId="6" borderId="23" xfId="52" applyNumberFormat="1" applyFont="1" applyFill="1" applyBorder="1"/>
    <xf numFmtId="164" fontId="48" fillId="8" borderId="0" xfId="52" applyNumberFormat="1" applyFont="1" applyFill="1" applyAlignment="1">
      <alignment horizontal="center"/>
    </xf>
    <xf numFmtId="164" fontId="58" fillId="6" borderId="1" xfId="52" applyNumberFormat="1" applyFont="1" applyFill="1" applyBorder="1" applyAlignment="1">
      <alignment horizontal="center"/>
    </xf>
    <xf numFmtId="0" fontId="44" fillId="5" borderId="17" xfId="52" applyFont="1" applyFill="1" applyBorder="1"/>
    <xf numFmtId="0" fontId="44" fillId="5" borderId="24" xfId="52" applyFont="1" applyFill="1" applyBorder="1"/>
    <xf numFmtId="37" fontId="44" fillId="5" borderId="29" xfId="52" applyNumberFormat="1" applyFont="1" applyFill="1" applyBorder="1"/>
    <xf numFmtId="0" fontId="44" fillId="5" borderId="25" xfId="52" applyFont="1" applyFill="1" applyBorder="1"/>
    <xf numFmtId="0" fontId="44" fillId="5" borderId="2" xfId="52" applyFont="1" applyFill="1" applyBorder="1"/>
    <xf numFmtId="9" fontId="44" fillId="5" borderId="30" xfId="25" applyFont="1" applyFill="1" applyBorder="1"/>
    <xf numFmtId="0" fontId="48" fillId="5" borderId="19" xfId="52" applyFont="1" applyFill="1" applyBorder="1"/>
    <xf numFmtId="0" fontId="44" fillId="5" borderId="0" xfId="52" applyFont="1" applyFill="1"/>
    <xf numFmtId="179" fontId="48" fillId="5" borderId="31" xfId="52" applyNumberFormat="1" applyFont="1" applyFill="1" applyBorder="1"/>
    <xf numFmtId="0" fontId="44" fillId="5" borderId="19" xfId="52" applyFont="1" applyFill="1" applyBorder="1"/>
    <xf numFmtId="182" fontId="44" fillId="5" borderId="31" xfId="52" applyNumberFormat="1" applyFont="1" applyFill="1" applyBorder="1"/>
    <xf numFmtId="0" fontId="48" fillId="5" borderId="0" xfId="52" applyFont="1" applyFill="1"/>
    <xf numFmtId="168" fontId="48" fillId="5" borderId="31" xfId="46" applyNumberFormat="1" applyFont="1" applyFill="1" applyBorder="1"/>
    <xf numFmtId="0" fontId="48" fillId="5" borderId="26" xfId="52" applyFont="1" applyFill="1" applyBorder="1"/>
    <xf numFmtId="0" fontId="48" fillId="5" borderId="16" xfId="52" applyFont="1" applyFill="1" applyBorder="1"/>
    <xf numFmtId="168" fontId="48" fillId="5" borderId="32" xfId="46" applyNumberFormat="1" applyFont="1" applyFill="1" applyBorder="1"/>
    <xf numFmtId="164" fontId="48" fillId="5" borderId="27" xfId="52" applyNumberFormat="1" applyFont="1" applyFill="1" applyBorder="1"/>
    <xf numFmtId="5" fontId="44" fillId="5" borderId="28" xfId="52" applyNumberFormat="1" applyFont="1" applyFill="1" applyBorder="1"/>
    <xf numFmtId="164" fontId="48" fillId="5" borderId="33" xfId="52" applyNumberFormat="1" applyFont="1" applyFill="1" applyBorder="1"/>
    <xf numFmtId="164" fontId="44" fillId="5" borderId="19" xfId="52" applyNumberFormat="1" applyFont="1" applyFill="1" applyBorder="1"/>
    <xf numFmtId="164" fontId="44" fillId="5" borderId="0" xfId="52" applyNumberFormat="1" applyFont="1" applyFill="1"/>
    <xf numFmtId="164" fontId="44" fillId="5" borderId="31" xfId="52" applyNumberFormat="1" applyFont="1" applyFill="1" applyBorder="1"/>
    <xf numFmtId="5" fontId="65" fillId="17" borderId="21" xfId="25" applyNumberFormat="1" applyFont="1" applyFill="1" applyBorder="1"/>
    <xf numFmtId="5" fontId="65" fillId="17" borderId="1" xfId="52" applyNumberFormat="1" applyFont="1" applyFill="1" applyBorder="1"/>
    <xf numFmtId="5" fontId="65" fillId="17" borderId="34" xfId="25" applyNumberFormat="1" applyFont="1" applyFill="1" applyBorder="1"/>
    <xf numFmtId="0" fontId="58" fillId="6" borderId="0" xfId="52" applyFont="1" applyFill="1"/>
    <xf numFmtId="167" fontId="58" fillId="6" borderId="0" xfId="52" applyNumberFormat="1" applyFont="1" applyFill="1"/>
    <xf numFmtId="5" fontId="66" fillId="6" borderId="0" xfId="52" applyNumberFormat="1" applyFont="1" applyFill="1"/>
    <xf numFmtId="0" fontId="67" fillId="0" borderId="0" xfId="20" applyFont="1"/>
    <xf numFmtId="0" fontId="68" fillId="9" borderId="0" xfId="20" applyFont="1" applyFill="1"/>
    <xf numFmtId="0" fontId="69" fillId="0" borderId="0" xfId="20" applyFont="1"/>
    <xf numFmtId="0" fontId="70" fillId="0" borderId="0" xfId="20" applyFont="1" applyAlignment="1">
      <alignment horizontal="left"/>
    </xf>
    <xf numFmtId="0" fontId="70" fillId="0" borderId="0" xfId="19" applyFont="1"/>
    <xf numFmtId="0" fontId="70" fillId="0" borderId="0" xfId="19" applyFont="1" applyAlignment="1">
      <alignment horizontal="left" vertical="center"/>
    </xf>
    <xf numFmtId="0" fontId="70" fillId="0" borderId="0" xfId="19" applyFont="1" applyAlignment="1">
      <alignment vertical="center"/>
    </xf>
    <xf numFmtId="0" fontId="71" fillId="10" borderId="0" xfId="19" applyFont="1" applyFill="1" applyAlignment="1">
      <alignment vertical="center"/>
    </xf>
    <xf numFmtId="0" fontId="67" fillId="10" borderId="0" xfId="20" applyFont="1" applyFill="1"/>
    <xf numFmtId="0" fontId="67" fillId="0" borderId="0" xfId="19" applyFont="1" applyAlignment="1">
      <alignment horizontal="left" vertical="center"/>
    </xf>
    <xf numFmtId="0" fontId="44" fillId="0" borderId="0" xfId="18" applyFont="1"/>
    <xf numFmtId="0" fontId="70" fillId="0" borderId="0" xfId="24" applyFont="1" applyAlignment="1">
      <alignment horizontal="left" vertical="center"/>
    </xf>
    <xf numFmtId="0" fontId="70" fillId="0" borderId="0" xfId="18" applyFont="1"/>
    <xf numFmtId="0" fontId="72" fillId="0" borderId="0" xfId="20" applyFont="1" applyAlignment="1">
      <alignment horizontal="left"/>
    </xf>
    <xf numFmtId="0" fontId="72" fillId="0" borderId="0" xfId="20" applyFont="1"/>
    <xf numFmtId="0" fontId="72" fillId="0" borderId="0" xfId="22" applyFont="1" applyAlignment="1">
      <alignment horizontal="center"/>
    </xf>
    <xf numFmtId="0" fontId="72" fillId="7" borderId="0" xfId="19" applyFont="1" applyFill="1"/>
    <xf numFmtId="0" fontId="67" fillId="7" borderId="0" xfId="20" applyFont="1" applyFill="1" applyAlignment="1">
      <alignment horizontal="center" vertical="center" wrapText="1"/>
    </xf>
    <xf numFmtId="0" fontId="70" fillId="7" borderId="0" xfId="19" applyFont="1" applyFill="1" applyAlignment="1">
      <alignment horizontal="left" indent="1"/>
    </xf>
    <xf numFmtId="0" fontId="73" fillId="11" borderId="0" xfId="23" applyFont="1" applyFill="1"/>
    <xf numFmtId="0" fontId="73" fillId="12" borderId="0" xfId="19" applyFont="1" applyFill="1"/>
    <xf numFmtId="0" fontId="70" fillId="0" borderId="0" xfId="22" applyFont="1" applyAlignment="1">
      <alignment horizontal="center"/>
    </xf>
    <xf numFmtId="2" fontId="70" fillId="9" borderId="0" xfId="22" applyNumberFormat="1" applyFont="1" applyFill="1"/>
    <xf numFmtId="0" fontId="73" fillId="13" borderId="0" xfId="23" applyFont="1" applyFill="1"/>
    <xf numFmtId="0" fontId="71" fillId="0" borderId="0" xfId="19" applyFont="1" applyAlignment="1">
      <alignment vertical="center"/>
    </xf>
    <xf numFmtId="1" fontId="69" fillId="0" borderId="0" xfId="20" applyNumberFormat="1" applyFont="1" applyAlignment="1">
      <alignment horizontal="left"/>
    </xf>
    <xf numFmtId="0" fontId="74" fillId="0" borderId="0" xfId="18" applyFont="1" applyAlignment="1">
      <alignment vertical="center"/>
    </xf>
    <xf numFmtId="0" fontId="75" fillId="13" borderId="7" xfId="21" applyFont="1" applyFill="1" applyBorder="1"/>
    <xf numFmtId="0" fontId="75" fillId="12" borderId="8" xfId="20" applyFont="1" applyFill="1" applyBorder="1"/>
    <xf numFmtId="0" fontId="67" fillId="10" borderId="0" xfId="19" applyFont="1" applyFill="1" applyAlignment="1">
      <alignment vertical="center"/>
    </xf>
    <xf numFmtId="0" fontId="75" fillId="0" borderId="0" xfId="20" applyFont="1"/>
    <xf numFmtId="0" fontId="75" fillId="12" borderId="7" xfId="20" applyFont="1" applyFill="1" applyBorder="1"/>
    <xf numFmtId="0" fontId="67" fillId="0" borderId="0" xfId="21" applyFont="1"/>
    <xf numFmtId="0" fontId="76" fillId="10" borderId="0" xfId="19" applyFont="1" applyFill="1" applyAlignment="1">
      <alignment vertical="center"/>
    </xf>
    <xf numFmtId="0" fontId="77" fillId="0" borderId="0" xfId="18" applyFont="1" applyAlignment="1">
      <alignment vertical="center"/>
    </xf>
    <xf numFmtId="0" fontId="70" fillId="0" borderId="10" xfId="19" applyFont="1" applyBorder="1" applyAlignment="1">
      <alignment horizontal="center"/>
    </xf>
    <xf numFmtId="0" fontId="70" fillId="0" borderId="12" xfId="19" applyFont="1" applyBorder="1" applyAlignment="1">
      <alignment horizontal="center"/>
    </xf>
    <xf numFmtId="0" fontId="70" fillId="0" borderId="2" xfId="19" applyFont="1" applyBorder="1"/>
    <xf numFmtId="0" fontId="72" fillId="0" borderId="2" xfId="20" applyFont="1" applyBorder="1"/>
    <xf numFmtId="0" fontId="72" fillId="0" borderId="2" xfId="20" applyFont="1" applyBorder="1" applyAlignment="1">
      <alignment horizontal="left"/>
    </xf>
    <xf numFmtId="0" fontId="72" fillId="0" borderId="13" xfId="19" applyFont="1" applyBorder="1" applyAlignment="1">
      <alignment horizontal="left"/>
    </xf>
    <xf numFmtId="0" fontId="75" fillId="13" borderId="12" xfId="19" applyFont="1" applyFill="1" applyBorder="1" applyAlignment="1">
      <alignment horizontal="center"/>
    </xf>
    <xf numFmtId="0" fontId="67" fillId="10" borderId="6" xfId="20" applyFont="1" applyFill="1" applyBorder="1" applyAlignment="1">
      <alignment horizontal="center" vertical="center" wrapText="1"/>
    </xf>
    <xf numFmtId="0" fontId="70" fillId="10" borderId="6" xfId="20" applyFont="1" applyFill="1" applyBorder="1"/>
    <xf numFmtId="2" fontId="70" fillId="9" borderId="11" xfId="19" applyNumberFormat="1" applyFont="1" applyFill="1" applyBorder="1" applyAlignment="1">
      <alignment horizontal="center"/>
    </xf>
    <xf numFmtId="0" fontId="67" fillId="10" borderId="2" xfId="20" applyFont="1" applyFill="1" applyBorder="1" applyAlignment="1">
      <alignment horizontal="center" vertical="center" wrapText="1"/>
    </xf>
    <xf numFmtId="0" fontId="70" fillId="10" borderId="2" xfId="19" applyFont="1" applyFill="1" applyBorder="1"/>
    <xf numFmtId="0" fontId="70" fillId="0" borderId="2" xfId="22" applyFont="1" applyBorder="1" applyAlignment="1">
      <alignment horizontal="center"/>
    </xf>
    <xf numFmtId="0" fontId="70" fillId="0" borderId="14" xfId="22" applyFont="1" applyBorder="1" applyAlignment="1">
      <alignment horizontal="center"/>
    </xf>
  </cellXfs>
  <cellStyles count="58">
    <cellStyle name="Blue" xfId="1" xr:uid="{00000000-0005-0000-0000-000000000000}"/>
    <cellStyle name="Bottom Border" xfId="2" xr:uid="{00000000-0005-0000-0000-000001000000}"/>
    <cellStyle name="Centered Heading" xfId="3" xr:uid="{00000000-0005-0000-0000-000002000000}"/>
    <cellStyle name="Colhead_left" xfId="4" xr:uid="{00000000-0005-0000-0000-000003000000}"/>
    <cellStyle name="ColHeading" xfId="5" xr:uid="{00000000-0005-0000-0000-000004000000}"/>
    <cellStyle name="Comma" xfId="46" builtinId="3"/>
    <cellStyle name="Comma 2" xfId="49" xr:uid="{00000000-0005-0000-0000-000006000000}"/>
    <cellStyle name="Company" xfId="6" xr:uid="{00000000-0005-0000-0000-000007000000}"/>
    <cellStyle name="CurRatio" xfId="7" xr:uid="{00000000-0005-0000-0000-000008000000}"/>
    <cellStyle name="Currency" xfId="8" builtinId="4"/>
    <cellStyle name="EPS" xfId="9" xr:uid="{00000000-0005-0000-0000-00000A000000}"/>
    <cellStyle name="Footnote" xfId="10" xr:uid="{00000000-0005-0000-0000-00000B000000}"/>
    <cellStyle name="Heading" xfId="11" xr:uid="{00000000-0005-0000-0000-00000C000000}"/>
    <cellStyle name="Hyperlink 2" xfId="45" xr:uid="{00000000-0005-0000-0000-00000E000000}"/>
    <cellStyle name="Hyperlink 2 2" xfId="57" xr:uid="{C7F70C3F-E487-4E90-BC61-BA69FBFB4E6C}"/>
    <cellStyle name="Integer" xfId="12" xr:uid="{00000000-0005-0000-0000-00000F000000}"/>
    <cellStyle name="Item" xfId="13" xr:uid="{00000000-0005-0000-0000-000010000000}"/>
    <cellStyle name="ItemTypeClass" xfId="14" xr:uid="{00000000-0005-0000-0000-000011000000}"/>
    <cellStyle name="KP_Normal" xfId="15" xr:uid="{00000000-0005-0000-0000-000012000000}"/>
    <cellStyle name="MLComma0" xfId="16" xr:uid="{00000000-0005-0000-0000-000013000000}"/>
    <cellStyle name="Normal" xfId="0" builtinId="0"/>
    <cellStyle name="Normal (Data)" xfId="17" xr:uid="{00000000-0005-0000-0000-000015000000}"/>
    <cellStyle name="Normal 11" xfId="48" xr:uid="{00000000-0005-0000-0000-000016000000}"/>
    <cellStyle name="Normal 2" xfId="18" xr:uid="{00000000-0005-0000-0000-000017000000}"/>
    <cellStyle name="Normal 2 2" xfId="44" xr:uid="{00000000-0005-0000-0000-000018000000}"/>
    <cellStyle name="Normal 2 2 3" xfId="19" xr:uid="{00000000-0005-0000-0000-000019000000}"/>
    <cellStyle name="Normal 2 2 3 2" xfId="43" xr:uid="{00000000-0005-0000-0000-00001A000000}"/>
    <cellStyle name="Normal 2 3" xfId="56" xr:uid="{8DED1AAC-162C-4582-B946-447892972C1A}"/>
    <cellStyle name="Normal 2 5" xfId="55" xr:uid="{3C5CE22F-4D35-4C47-AA41-D89A801C9401}"/>
    <cellStyle name="Normal 20" xfId="51" xr:uid="{00000000-0005-0000-0000-00001B000000}"/>
    <cellStyle name="Normal 3" xfId="42" xr:uid="{00000000-0005-0000-0000-00001C000000}"/>
    <cellStyle name="Normal 3 2" xfId="20" xr:uid="{00000000-0005-0000-0000-00001D000000}"/>
    <cellStyle name="Normal 4" xfId="47" xr:uid="{00000000-0005-0000-0000-00001E000000}"/>
    <cellStyle name="Normal 4 2" xfId="21" xr:uid="{00000000-0005-0000-0000-00001F000000}"/>
    <cellStyle name="Normal 7" xfId="22" xr:uid="{00000000-0005-0000-0000-000020000000}"/>
    <cellStyle name="Normal_DCF Template" xfId="52" xr:uid="{00000000-0005-0000-0000-000021000000}"/>
    <cellStyle name="Normal_isis 14" xfId="54" xr:uid="{7EFAC8F1-232D-454B-A62D-A90E935FDC20}"/>
    <cellStyle name="Normal_JOVUS 3 28 06 BBT ErpoSheet (2)" xfId="23" xr:uid="{00000000-0005-0000-0000-000023000000}"/>
    <cellStyle name="Normal_Master_JMP_Client_Jovus_Excel" xfId="24" xr:uid="{00000000-0005-0000-0000-000024000000}"/>
    <cellStyle name="Normal_ML DCF" xfId="53" xr:uid="{00000000-0005-0000-0000-000025000000}"/>
    <cellStyle name="Percent" xfId="25" builtinId="5"/>
    <cellStyle name="Percent (0)" xfId="26" xr:uid="{00000000-0005-0000-0000-000027000000}"/>
    <cellStyle name="Percent (0.0)" xfId="27" xr:uid="{00000000-0005-0000-0000-000028000000}"/>
    <cellStyle name="Percent 1" xfId="28" xr:uid="{00000000-0005-0000-0000-000029000000}"/>
    <cellStyle name="Percent 2" xfId="50" xr:uid="{00000000-0005-0000-0000-00002A000000}"/>
    <cellStyle name="PercentChange" xfId="29" xr:uid="{00000000-0005-0000-0000-00002B000000}"/>
    <cellStyle name="RatioX" xfId="30" xr:uid="{00000000-0005-0000-0000-00002C000000}"/>
    <cellStyle name="Remove Border" xfId="31" xr:uid="{00000000-0005-0000-0000-00002D000000}"/>
    <cellStyle name="Right" xfId="32" xr:uid="{00000000-0005-0000-0000-00002E000000}"/>
    <cellStyle name="SectionHeading" xfId="33" xr:uid="{00000000-0005-0000-0000-00002F000000}"/>
    <cellStyle name="Subhead" xfId="34" xr:uid="{00000000-0005-0000-0000-000030000000}"/>
    <cellStyle name="Subheading" xfId="35" xr:uid="{00000000-0005-0000-0000-000031000000}"/>
    <cellStyle name="Subtotal_left" xfId="36" xr:uid="{00000000-0005-0000-0000-000032000000}"/>
    <cellStyle name="Title" xfId="37" builtinId="15" customBuiltin="1"/>
    <cellStyle name="title1" xfId="38" xr:uid="{00000000-0005-0000-0000-000034000000}"/>
    <cellStyle name="title2" xfId="39" xr:uid="{00000000-0005-0000-0000-000035000000}"/>
    <cellStyle name="Titles" xfId="40" xr:uid="{00000000-0005-0000-0000-000036000000}"/>
    <cellStyle name="Top Heading" xfId="41" xr:uid="{00000000-0005-0000-0000-000037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F5F5F5"/>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F5F5F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D9DA1"/>
      <color rgb="FF1A5336"/>
      <color rgb="FF008A00"/>
      <color rgb="FFDBEFDB"/>
      <color rgb="FF4CAD4C"/>
      <color rgb="FFECDFF5"/>
      <color rgb="FFCFAFE7"/>
      <color rgb="FF00D558"/>
      <color rgb="FFC9E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171450</xdr:rowOff>
    </xdr:from>
    <xdr:to>
      <xdr:col>1</xdr:col>
      <xdr:colOff>1628775</xdr:colOff>
      <xdr:row>2</xdr:row>
      <xdr:rowOff>218192</xdr:rowOff>
    </xdr:to>
    <xdr:pic>
      <xdr:nvPicPr>
        <xdr:cNvPr id="2" name="Picture 1">
          <a:extLst>
            <a:ext uri="{FF2B5EF4-FFF2-40B4-BE49-F238E27FC236}">
              <a16:creationId xmlns:a16="http://schemas.microsoft.com/office/drawing/2014/main" id="{7B7502B5-0E98-4009-A7E0-A1CAA9FF30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52425" y="361950"/>
          <a:ext cx="1619250" cy="2753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123files\curmodel\ceph%206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Med%20Tech\XL-WORK\Companys\Johnson%20&amp;%20Johnson%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123files\curmodel\Amgn%2080.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LKS020702wi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Internet\Big%20Caps\Amazon\Models\AMZN%20Current%20Model.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LXN_0314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rterly"/>
      <sheetName val="annual"/>
      <sheetName val="Presentation"/>
      <sheetName val="cashflows"/>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Model"/>
      <sheetName val="Qtrly"/>
      <sheetName val="Pharma"/>
      <sheetName val="Med Dev &amp; Dx"/>
      <sheetName val="Consumer"/>
      <sheetName val="Comps"/>
      <sheetName val="Pipeline"/>
      <sheetName val="2-Pager"/>
      <sheetName val="Module1"/>
      <sheetName val="2-Pgr New"/>
      <sheetName val="Quarterly"/>
      <sheetName val="RxPipeline"/>
      <sheetName val="RxPatents"/>
      <sheetName val="Legal"/>
      <sheetName val="Variance"/>
    </sheetNames>
    <sheetDataSet>
      <sheetData sheetId="0"/>
      <sheetData sheetId="1" refreshError="1"/>
      <sheetData sheetId="2"/>
      <sheetData sheetId="3"/>
      <sheetData sheetId="4"/>
      <sheetData sheetId="5"/>
      <sheetData sheetId="6"/>
      <sheetData sheetId="7"/>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AMODEL"/>
      <sheetName val="AntiTNFMarket Model"/>
      <sheetName val="quarterly"/>
      <sheetName val="annual"/>
      <sheetName val="cashflows"/>
      <sheetName val="presentation"/>
      <sheetName val="JNJ ESA INPUTS"/>
      <sheetName val="AMGN ESA INPUTS"/>
      <sheetName val="Humira"/>
      <sheetName val="Pricing"/>
      <sheetName val="RA"/>
      <sheetName val="Crohn's UC"/>
      <sheetName val="AS"/>
      <sheetName val="Psorasis"/>
      <sheetName val="Psor Ar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
      <sheetName val="A"/>
      <sheetName val="notes"/>
      <sheetName val="Projections"/>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
      <sheetName val="Charts"/>
      <sheetName val="Quarters"/>
      <sheetName val="ROIC"/>
      <sheetName val="__FDSCACHE__"/>
      <sheetName val="D&amp;A"/>
      <sheetName val="Capitalization"/>
      <sheetName val="Guidance"/>
      <sheetName val="WACC"/>
      <sheetName val="GMs"/>
    </sheetNames>
    <sheetDataSet>
      <sheetData sheetId="0" refreshError="1">
        <row r="1">
          <cell r="A1" t="str">
            <v>Amazon.com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stions"/>
      <sheetName val="Options"/>
      <sheetName val="QuarterlyFY"/>
      <sheetName val="QuarterlyCY"/>
      <sheetName val="Annual"/>
      <sheetName val="balance sheet"/>
      <sheetName val="Eculizumab Revenue"/>
      <sheetName val="DCF_cerezyme"/>
      <sheetName val="Pricing"/>
      <sheetName val="Comps Raw"/>
      <sheetName val="Clinical Data"/>
      <sheetName val="ROW pts"/>
      <sheetName val="Comps penetration"/>
      <sheetName val="share price"/>
      <sheetName val="__FDSCACHE__"/>
      <sheetName val="Mo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theme/theme1.xml><?xml version="1.0" encoding="utf-8"?>
<a:theme xmlns:a="http://schemas.openxmlformats.org/drawingml/2006/main" name="Office Theme">
  <a:themeElements>
    <a:clrScheme name="Cowen">
      <a:dk1>
        <a:sysClr val="windowText" lastClr="000000"/>
      </a:dk1>
      <a:lt1>
        <a:sysClr val="window" lastClr="FFFFFF"/>
      </a:lt1>
      <a:dk2>
        <a:srgbClr val="002395"/>
      </a:dk2>
      <a:lt2>
        <a:srgbClr val="BFC7E4"/>
      </a:lt2>
      <a:accent1>
        <a:srgbClr val="002B1A"/>
      </a:accent1>
      <a:accent2>
        <a:srgbClr val="9D9DA1"/>
      </a:accent2>
      <a:accent3>
        <a:srgbClr val="008A00"/>
      </a:accent3>
      <a:accent4>
        <a:srgbClr val="D5D4D6"/>
      </a:accent4>
      <a:accent5>
        <a:srgbClr val="98D09C"/>
      </a:accent5>
      <a:accent6>
        <a:srgbClr val="619ABC"/>
      </a:accent6>
      <a:hlink>
        <a:srgbClr val="0000FF"/>
      </a:hlink>
      <a:folHlink>
        <a:srgbClr val="800080"/>
      </a:folHlink>
    </a:clrScheme>
    <a:fontScheme name="TD Cowen Standard">
      <a:majorFont>
        <a:latin typeface="TD Graphik Office"/>
        <a:ea typeface=""/>
        <a:cs typeface=""/>
      </a:majorFont>
      <a:minorFont>
        <a:latin typeface="TD Graphik Offic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oseph.thome@cowen.com" TargetMode="External"/><Relationship Id="rId1" Type="http://schemas.openxmlformats.org/officeDocument/2006/relationships/hyperlink" Target="mailto:troy.langford@cowen.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4389D-A868-4516-92F0-EFF72307284A}">
  <dimension ref="A1:IV26"/>
  <sheetViews>
    <sheetView workbookViewId="0"/>
  </sheetViews>
  <sheetFormatPr defaultRowHeight="15"/>
  <cols>
    <col min="1" max="1" width="5.140625" style="11" customWidth="1"/>
    <col min="2" max="2" width="133.140625" style="11" customWidth="1"/>
    <col min="3" max="256" width="9.140625" style="11"/>
    <col min="257" max="257" width="5.140625" style="11" customWidth="1"/>
    <col min="258" max="258" width="133.140625" style="11" customWidth="1"/>
    <col min="259" max="512" width="9.140625" style="11"/>
    <col min="513" max="513" width="5.140625" style="11" customWidth="1"/>
    <col min="514" max="514" width="133.140625" style="11" customWidth="1"/>
    <col min="515" max="768" width="9.140625" style="11"/>
    <col min="769" max="769" width="5.140625" style="11" customWidth="1"/>
    <col min="770" max="770" width="133.140625" style="11" customWidth="1"/>
    <col min="771" max="1024" width="9.140625" style="11"/>
    <col min="1025" max="1025" width="5.140625" style="11" customWidth="1"/>
    <col min="1026" max="1026" width="133.140625" style="11" customWidth="1"/>
    <col min="1027" max="1280" width="9.140625" style="11"/>
    <col min="1281" max="1281" width="5.140625" style="11" customWidth="1"/>
    <col min="1282" max="1282" width="133.140625" style="11" customWidth="1"/>
    <col min="1283" max="1536" width="9.140625" style="11"/>
    <col min="1537" max="1537" width="5.140625" style="11" customWidth="1"/>
    <col min="1538" max="1538" width="133.140625" style="11" customWidth="1"/>
    <col min="1539" max="1792" width="9.140625" style="11"/>
    <col min="1793" max="1793" width="5.140625" style="11" customWidth="1"/>
    <col min="1794" max="1794" width="133.140625" style="11" customWidth="1"/>
    <col min="1795" max="2048" width="9.140625" style="11"/>
    <col min="2049" max="2049" width="5.140625" style="11" customWidth="1"/>
    <col min="2050" max="2050" width="133.140625" style="11" customWidth="1"/>
    <col min="2051" max="2304" width="9.140625" style="11"/>
    <col min="2305" max="2305" width="5.140625" style="11" customWidth="1"/>
    <col min="2306" max="2306" width="133.140625" style="11" customWidth="1"/>
    <col min="2307" max="2560" width="9.140625" style="11"/>
    <col min="2561" max="2561" width="5.140625" style="11" customWidth="1"/>
    <col min="2562" max="2562" width="133.140625" style="11" customWidth="1"/>
    <col min="2563" max="2816" width="9.140625" style="11"/>
    <col min="2817" max="2817" width="5.140625" style="11" customWidth="1"/>
    <col min="2818" max="2818" width="133.140625" style="11" customWidth="1"/>
    <col min="2819" max="3072" width="9.140625" style="11"/>
    <col min="3073" max="3073" width="5.140625" style="11" customWidth="1"/>
    <col min="3074" max="3074" width="133.140625" style="11" customWidth="1"/>
    <col min="3075" max="3328" width="9.140625" style="11"/>
    <col min="3329" max="3329" width="5.140625" style="11" customWidth="1"/>
    <col min="3330" max="3330" width="133.140625" style="11" customWidth="1"/>
    <col min="3331" max="3584" width="9.140625" style="11"/>
    <col min="3585" max="3585" width="5.140625" style="11" customWidth="1"/>
    <col min="3586" max="3586" width="133.140625" style="11" customWidth="1"/>
    <col min="3587" max="3840" width="9.140625" style="11"/>
    <col min="3841" max="3841" width="5.140625" style="11" customWidth="1"/>
    <col min="3842" max="3842" width="133.140625" style="11" customWidth="1"/>
    <col min="3843" max="4096" width="9.140625" style="11"/>
    <col min="4097" max="4097" width="5.140625" style="11" customWidth="1"/>
    <col min="4098" max="4098" width="133.140625" style="11" customWidth="1"/>
    <col min="4099" max="4352" width="9.140625" style="11"/>
    <col min="4353" max="4353" width="5.140625" style="11" customWidth="1"/>
    <col min="4354" max="4354" width="133.140625" style="11" customWidth="1"/>
    <col min="4355" max="4608" width="9.140625" style="11"/>
    <col min="4609" max="4609" width="5.140625" style="11" customWidth="1"/>
    <col min="4610" max="4610" width="133.140625" style="11" customWidth="1"/>
    <col min="4611" max="4864" width="9.140625" style="11"/>
    <col min="4865" max="4865" width="5.140625" style="11" customWidth="1"/>
    <col min="4866" max="4866" width="133.140625" style="11" customWidth="1"/>
    <col min="4867" max="5120" width="9.140625" style="11"/>
    <col min="5121" max="5121" width="5.140625" style="11" customWidth="1"/>
    <col min="5122" max="5122" width="133.140625" style="11" customWidth="1"/>
    <col min="5123" max="5376" width="9.140625" style="11"/>
    <col min="5377" max="5377" width="5.140625" style="11" customWidth="1"/>
    <col min="5378" max="5378" width="133.140625" style="11" customWidth="1"/>
    <col min="5379" max="5632" width="9.140625" style="11"/>
    <col min="5633" max="5633" width="5.140625" style="11" customWidth="1"/>
    <col min="5634" max="5634" width="133.140625" style="11" customWidth="1"/>
    <col min="5635" max="5888" width="9.140625" style="11"/>
    <col min="5889" max="5889" width="5.140625" style="11" customWidth="1"/>
    <col min="5890" max="5890" width="133.140625" style="11" customWidth="1"/>
    <col min="5891" max="6144" width="9.140625" style="11"/>
    <col min="6145" max="6145" width="5.140625" style="11" customWidth="1"/>
    <col min="6146" max="6146" width="133.140625" style="11" customWidth="1"/>
    <col min="6147" max="6400" width="9.140625" style="11"/>
    <col min="6401" max="6401" width="5.140625" style="11" customWidth="1"/>
    <col min="6402" max="6402" width="133.140625" style="11" customWidth="1"/>
    <col min="6403" max="6656" width="9.140625" style="11"/>
    <col min="6657" max="6657" width="5.140625" style="11" customWidth="1"/>
    <col min="6658" max="6658" width="133.140625" style="11" customWidth="1"/>
    <col min="6659" max="6912" width="9.140625" style="11"/>
    <col min="6913" max="6913" width="5.140625" style="11" customWidth="1"/>
    <col min="6914" max="6914" width="133.140625" style="11" customWidth="1"/>
    <col min="6915" max="7168" width="9.140625" style="11"/>
    <col min="7169" max="7169" width="5.140625" style="11" customWidth="1"/>
    <col min="7170" max="7170" width="133.140625" style="11" customWidth="1"/>
    <col min="7171" max="7424" width="9.140625" style="11"/>
    <col min="7425" max="7425" width="5.140625" style="11" customWidth="1"/>
    <col min="7426" max="7426" width="133.140625" style="11" customWidth="1"/>
    <col min="7427" max="7680" width="9.140625" style="11"/>
    <col min="7681" max="7681" width="5.140625" style="11" customWidth="1"/>
    <col min="7682" max="7682" width="133.140625" style="11" customWidth="1"/>
    <col min="7683" max="7936" width="9.140625" style="11"/>
    <col min="7937" max="7937" width="5.140625" style="11" customWidth="1"/>
    <col min="7938" max="7938" width="133.140625" style="11" customWidth="1"/>
    <col min="7939" max="8192" width="9.140625" style="11"/>
    <col min="8193" max="8193" width="5.140625" style="11" customWidth="1"/>
    <col min="8194" max="8194" width="133.140625" style="11" customWidth="1"/>
    <col min="8195" max="8448" width="9.140625" style="11"/>
    <col min="8449" max="8449" width="5.140625" style="11" customWidth="1"/>
    <col min="8450" max="8450" width="133.140625" style="11" customWidth="1"/>
    <col min="8451" max="8704" width="9.140625" style="11"/>
    <col min="8705" max="8705" width="5.140625" style="11" customWidth="1"/>
    <col min="8706" max="8706" width="133.140625" style="11" customWidth="1"/>
    <col min="8707" max="8960" width="9.140625" style="11"/>
    <col min="8961" max="8961" width="5.140625" style="11" customWidth="1"/>
    <col min="8962" max="8962" width="133.140625" style="11" customWidth="1"/>
    <col min="8963" max="9216" width="9.140625" style="11"/>
    <col min="9217" max="9217" width="5.140625" style="11" customWidth="1"/>
    <col min="9218" max="9218" width="133.140625" style="11" customWidth="1"/>
    <col min="9219" max="9472" width="9.140625" style="11"/>
    <col min="9473" max="9473" width="5.140625" style="11" customWidth="1"/>
    <col min="9474" max="9474" width="133.140625" style="11" customWidth="1"/>
    <col min="9475" max="9728" width="9.140625" style="11"/>
    <col min="9729" max="9729" width="5.140625" style="11" customWidth="1"/>
    <col min="9730" max="9730" width="133.140625" style="11" customWidth="1"/>
    <col min="9731" max="9984" width="9.140625" style="11"/>
    <col min="9985" max="9985" width="5.140625" style="11" customWidth="1"/>
    <col min="9986" max="9986" width="133.140625" style="11" customWidth="1"/>
    <col min="9987" max="10240" width="9.140625" style="11"/>
    <col min="10241" max="10241" width="5.140625" style="11" customWidth="1"/>
    <col min="10242" max="10242" width="133.140625" style="11" customWidth="1"/>
    <col min="10243" max="10496" width="9.140625" style="11"/>
    <col min="10497" max="10497" width="5.140625" style="11" customWidth="1"/>
    <col min="10498" max="10498" width="133.140625" style="11" customWidth="1"/>
    <col min="10499" max="10752" width="9.140625" style="11"/>
    <col min="10753" max="10753" width="5.140625" style="11" customWidth="1"/>
    <col min="10754" max="10754" width="133.140625" style="11" customWidth="1"/>
    <col min="10755" max="11008" width="9.140625" style="11"/>
    <col min="11009" max="11009" width="5.140625" style="11" customWidth="1"/>
    <col min="11010" max="11010" width="133.140625" style="11" customWidth="1"/>
    <col min="11011" max="11264" width="9.140625" style="11"/>
    <col min="11265" max="11265" width="5.140625" style="11" customWidth="1"/>
    <col min="11266" max="11266" width="133.140625" style="11" customWidth="1"/>
    <col min="11267" max="11520" width="9.140625" style="11"/>
    <col min="11521" max="11521" width="5.140625" style="11" customWidth="1"/>
    <col min="11522" max="11522" width="133.140625" style="11" customWidth="1"/>
    <col min="11523" max="11776" width="9.140625" style="11"/>
    <col min="11777" max="11777" width="5.140625" style="11" customWidth="1"/>
    <col min="11778" max="11778" width="133.140625" style="11" customWidth="1"/>
    <col min="11779" max="12032" width="9.140625" style="11"/>
    <col min="12033" max="12033" width="5.140625" style="11" customWidth="1"/>
    <col min="12034" max="12034" width="133.140625" style="11" customWidth="1"/>
    <col min="12035" max="12288" width="9.140625" style="11"/>
    <col min="12289" max="12289" width="5.140625" style="11" customWidth="1"/>
    <col min="12290" max="12290" width="133.140625" style="11" customWidth="1"/>
    <col min="12291" max="12544" width="9.140625" style="11"/>
    <col min="12545" max="12545" width="5.140625" style="11" customWidth="1"/>
    <col min="12546" max="12546" width="133.140625" style="11" customWidth="1"/>
    <col min="12547" max="12800" width="9.140625" style="11"/>
    <col min="12801" max="12801" width="5.140625" style="11" customWidth="1"/>
    <col min="12802" max="12802" width="133.140625" style="11" customWidth="1"/>
    <col min="12803" max="13056" width="9.140625" style="11"/>
    <col min="13057" max="13057" width="5.140625" style="11" customWidth="1"/>
    <col min="13058" max="13058" width="133.140625" style="11" customWidth="1"/>
    <col min="13059" max="13312" width="9.140625" style="11"/>
    <col min="13313" max="13313" width="5.140625" style="11" customWidth="1"/>
    <col min="13314" max="13314" width="133.140625" style="11" customWidth="1"/>
    <col min="13315" max="13568" width="9.140625" style="11"/>
    <col min="13569" max="13569" width="5.140625" style="11" customWidth="1"/>
    <col min="13570" max="13570" width="133.140625" style="11" customWidth="1"/>
    <col min="13571" max="13824" width="9.140625" style="11"/>
    <col min="13825" max="13825" width="5.140625" style="11" customWidth="1"/>
    <col min="13826" max="13826" width="133.140625" style="11" customWidth="1"/>
    <col min="13827" max="14080" width="9.140625" style="11"/>
    <col min="14081" max="14081" width="5.140625" style="11" customWidth="1"/>
    <col min="14082" max="14082" width="133.140625" style="11" customWidth="1"/>
    <col min="14083" max="14336" width="9.140625" style="11"/>
    <col min="14337" max="14337" width="5.140625" style="11" customWidth="1"/>
    <col min="14338" max="14338" width="133.140625" style="11" customWidth="1"/>
    <col min="14339" max="14592" width="9.140625" style="11"/>
    <col min="14593" max="14593" width="5.140625" style="11" customWidth="1"/>
    <col min="14594" max="14594" width="133.140625" style="11" customWidth="1"/>
    <col min="14595" max="14848" width="9.140625" style="11"/>
    <col min="14849" max="14849" width="5.140625" style="11" customWidth="1"/>
    <col min="14850" max="14850" width="133.140625" style="11" customWidth="1"/>
    <col min="14851" max="15104" width="9.140625" style="11"/>
    <col min="15105" max="15105" width="5.140625" style="11" customWidth="1"/>
    <col min="15106" max="15106" width="133.140625" style="11" customWidth="1"/>
    <col min="15107" max="15360" width="9.140625" style="11"/>
    <col min="15361" max="15361" width="5.140625" style="11" customWidth="1"/>
    <col min="15362" max="15362" width="133.140625" style="11" customWidth="1"/>
    <col min="15363" max="15616" width="9.140625" style="11"/>
    <col min="15617" max="15617" width="5.140625" style="11" customWidth="1"/>
    <col min="15618" max="15618" width="133.140625" style="11" customWidth="1"/>
    <col min="15619" max="15872" width="9.140625" style="11"/>
    <col min="15873" max="15873" width="5.140625" style="11" customWidth="1"/>
    <col min="15874" max="15874" width="133.140625" style="11" customWidth="1"/>
    <col min="15875" max="16128" width="9.140625" style="11"/>
    <col min="16129" max="16129" width="5.140625" style="11" customWidth="1"/>
    <col min="16130" max="16130" width="133.140625" style="11" customWidth="1"/>
    <col min="16131" max="16384" width="9.140625" style="11"/>
  </cols>
  <sheetData>
    <row r="1" spans="1:256">
      <c r="B1" s="12"/>
    </row>
    <row r="2" spans="1:256" ht="18">
      <c r="C2" s="13"/>
    </row>
    <row r="3" spans="1:256" ht="18">
      <c r="C3" s="13"/>
    </row>
    <row r="5" spans="1:256" ht="34.15">
      <c r="B5" s="14" t="s">
        <v>279</v>
      </c>
    </row>
    <row r="7" spans="1:256" ht="21.4">
      <c r="A7" s="15"/>
      <c r="B7" s="16" t="s">
        <v>207</v>
      </c>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15"/>
      <c r="HQ7" s="15"/>
      <c r="HR7" s="15"/>
      <c r="HS7" s="15"/>
      <c r="HT7" s="15"/>
      <c r="HU7" s="15"/>
      <c r="HV7" s="15"/>
      <c r="HW7" s="15"/>
      <c r="HX7" s="15"/>
      <c r="HY7" s="15"/>
      <c r="HZ7" s="15"/>
      <c r="IA7" s="15"/>
      <c r="IB7" s="15"/>
      <c r="IC7" s="15"/>
      <c r="ID7" s="15"/>
      <c r="IE7" s="15"/>
      <c r="IF7" s="15"/>
      <c r="IG7" s="15"/>
      <c r="IH7" s="15"/>
      <c r="II7" s="15"/>
      <c r="IJ7" s="15"/>
      <c r="IK7" s="15"/>
      <c r="IL7" s="15"/>
      <c r="IM7" s="15"/>
      <c r="IN7" s="15"/>
      <c r="IO7" s="15"/>
      <c r="IP7" s="15"/>
      <c r="IQ7" s="15"/>
      <c r="IR7" s="15"/>
      <c r="IS7" s="15"/>
      <c r="IT7" s="15"/>
      <c r="IU7" s="15"/>
      <c r="IV7" s="15"/>
    </row>
    <row r="8" spans="1:256" ht="20.25">
      <c r="B8" s="17" t="s">
        <v>277</v>
      </c>
    </row>
    <row r="9" spans="1:256" ht="20.25">
      <c r="B9" s="18" t="s">
        <v>280</v>
      </c>
    </row>
    <row r="10" spans="1:256" ht="20.25">
      <c r="B10" s="18" t="s">
        <v>281</v>
      </c>
    </row>
    <row r="11" spans="1:256" ht="20.25">
      <c r="B11" s="19" t="s">
        <v>208</v>
      </c>
    </row>
    <row r="12" spans="1:256" ht="20.25">
      <c r="B12" s="19" t="s">
        <v>206</v>
      </c>
    </row>
    <row r="13" spans="1:256" ht="20.25">
      <c r="B13" s="20" t="s">
        <v>278</v>
      </c>
    </row>
    <row r="14" spans="1:256" ht="15.75">
      <c r="B14" s="21"/>
    </row>
    <row r="15" spans="1:256" s="22" customFormat="1" ht="21.4">
      <c r="B15" s="16" t="s">
        <v>282</v>
      </c>
    </row>
    <row r="16" spans="1:256" s="22" customFormat="1" ht="20.25">
      <c r="B16" s="17" t="s">
        <v>277</v>
      </c>
    </row>
    <row r="17" spans="2:2" s="22" customFormat="1" ht="20.25">
      <c r="B17" s="18" t="s">
        <v>280</v>
      </c>
    </row>
    <row r="18" spans="2:2" s="22" customFormat="1" ht="20.25">
      <c r="B18" s="18" t="s">
        <v>281</v>
      </c>
    </row>
    <row r="19" spans="2:2" s="22" customFormat="1" ht="20.25">
      <c r="B19" s="23" t="s">
        <v>283</v>
      </c>
    </row>
    <row r="20" spans="2:2" s="22" customFormat="1" ht="20.25">
      <c r="B20" s="24" t="s">
        <v>284</v>
      </c>
    </row>
    <row r="22" spans="2:2" ht="75">
      <c r="B22" s="25" t="s">
        <v>270</v>
      </c>
    </row>
    <row r="23" spans="2:2" ht="75">
      <c r="B23" s="25" t="s">
        <v>285</v>
      </c>
    </row>
    <row r="24" spans="2:2" ht="45">
      <c r="B24" s="25" t="s">
        <v>271</v>
      </c>
    </row>
    <row r="25" spans="2:2" ht="30">
      <c r="B25" s="25" t="s">
        <v>286</v>
      </c>
    </row>
    <row r="26" spans="2:2">
      <c r="B26" s="25" t="s">
        <v>287</v>
      </c>
    </row>
  </sheetData>
  <hyperlinks>
    <hyperlink ref="B20" r:id="rId1" display="troy.langford@cowen.com" xr:uid="{755F68AB-239A-4A21-9704-88A094DCB7B5}"/>
    <hyperlink ref="B13" r:id="rId2" display="joseph.thome@cowen.com" xr:uid="{FF9AE4DB-3019-4B68-9481-DBC6725365E9}"/>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34"/>
  <sheetViews>
    <sheetView tabSelected="1" zoomScaleNormal="100" workbookViewId="0">
      <pane xSplit="1" ySplit="2" topLeftCell="B3" activePane="bottomRight" state="frozen"/>
      <selection pane="topRight" activeCell="C1" sqref="C1"/>
      <selection pane="bottomLeft" activeCell="A3" sqref="A3"/>
      <selection pane="bottomRight"/>
    </sheetView>
  </sheetViews>
  <sheetFormatPr defaultColWidth="9.140625" defaultRowHeight="13.5"/>
  <cols>
    <col min="1" max="1" width="48.5703125" style="47" customWidth="1"/>
    <col min="2" max="16384" width="9.140625" style="47"/>
  </cols>
  <sheetData>
    <row r="1" spans="1:17" s="28" customFormat="1" ht="15.4">
      <c r="A1" s="26" t="s">
        <v>288</v>
      </c>
      <c r="B1" s="27"/>
      <c r="C1" s="27"/>
      <c r="D1" s="27"/>
      <c r="E1" s="27"/>
      <c r="F1" s="27"/>
      <c r="G1" s="27"/>
      <c r="H1" s="27"/>
      <c r="I1" s="27"/>
      <c r="J1" s="27"/>
      <c r="K1" s="27"/>
      <c r="L1" s="27"/>
      <c r="M1" s="27"/>
      <c r="N1" s="27"/>
      <c r="O1" s="27"/>
      <c r="P1" s="27"/>
      <c r="Q1" s="27"/>
    </row>
    <row r="2" spans="1:17" s="28" customFormat="1" ht="15.4">
      <c r="A2" s="29"/>
      <c r="B2" s="30" t="s">
        <v>301</v>
      </c>
      <c r="C2" s="30" t="s">
        <v>292</v>
      </c>
      <c r="D2" s="31" t="s">
        <v>293</v>
      </c>
      <c r="E2" s="32" t="s">
        <v>294</v>
      </c>
      <c r="F2" s="33" t="s">
        <v>298</v>
      </c>
      <c r="G2" s="30" t="s">
        <v>295</v>
      </c>
      <c r="H2" s="30" t="s">
        <v>296</v>
      </c>
      <c r="I2" s="31" t="s">
        <v>297</v>
      </c>
      <c r="J2" s="32" t="s">
        <v>240</v>
      </c>
      <c r="K2" s="34" t="s">
        <v>241</v>
      </c>
      <c r="L2" s="35" t="s">
        <v>242</v>
      </c>
      <c r="M2" s="35" t="s">
        <v>243</v>
      </c>
      <c r="N2" s="35" t="s">
        <v>245</v>
      </c>
      <c r="O2" s="35" t="s">
        <v>251</v>
      </c>
    </row>
    <row r="3" spans="1:17" s="42" customFormat="1">
      <c r="A3" s="36" t="s">
        <v>299</v>
      </c>
      <c r="B3" s="37">
        <v>0</v>
      </c>
      <c r="C3" s="37">
        <v>0</v>
      </c>
      <c r="D3" s="38">
        <v>0</v>
      </c>
      <c r="E3" s="37">
        <v>0</v>
      </c>
      <c r="F3" s="39">
        <v>0</v>
      </c>
      <c r="G3" s="37">
        <v>0</v>
      </c>
      <c r="H3" s="37">
        <v>0</v>
      </c>
      <c r="I3" s="38">
        <v>0</v>
      </c>
      <c r="J3" s="40"/>
      <c r="K3" s="41"/>
      <c r="L3" s="41"/>
      <c r="M3" s="41">
        <f>Schizophrenia!B50</f>
        <v>35.739000000000004</v>
      </c>
      <c r="N3" s="41">
        <f>Schizophrenia!C50</f>
        <v>174.699743495625</v>
      </c>
      <c r="O3" s="41">
        <f>Schizophrenia!D50</f>
        <v>390.21747931441399</v>
      </c>
    </row>
    <row r="4" spans="1:17">
      <c r="A4" s="43" t="s">
        <v>4</v>
      </c>
      <c r="B4" s="44">
        <f>SUM(B3:B3)</f>
        <v>0</v>
      </c>
      <c r="C4" s="44">
        <f>SUM(C3:C3)</f>
        <v>0</v>
      </c>
      <c r="D4" s="44">
        <f>SUM(D3:D3)</f>
        <v>0</v>
      </c>
      <c r="E4" s="45">
        <f>SUM(B4:D4)</f>
        <v>0</v>
      </c>
      <c r="F4" s="44">
        <f>SUM(F3:F3)</f>
        <v>0</v>
      </c>
      <c r="G4" s="44">
        <f>SUM(G3:G3)</f>
        <v>0</v>
      </c>
      <c r="H4" s="44">
        <f>SUM(H3:H3)</f>
        <v>0</v>
      </c>
      <c r="I4" s="44">
        <f>SUM(I3:I3)</f>
        <v>0</v>
      </c>
      <c r="J4" s="45">
        <f>SUM(F4:I4)</f>
        <v>0</v>
      </c>
      <c r="K4" s="46">
        <f>SUM(K3:K3)</f>
        <v>0</v>
      </c>
      <c r="L4" s="46">
        <f>SUM(L3:L3)</f>
        <v>0</v>
      </c>
      <c r="M4" s="46">
        <f>SUM(M3:M3)</f>
        <v>35.739000000000004</v>
      </c>
      <c r="N4" s="46">
        <f>SUM(N3:N3)</f>
        <v>174.699743495625</v>
      </c>
      <c r="O4" s="46">
        <f>SUM(O3:O3)</f>
        <v>390.21747931441399</v>
      </c>
    </row>
    <row r="5" spans="1:17">
      <c r="A5" s="36" t="s">
        <v>0</v>
      </c>
      <c r="B5" s="37">
        <v>0</v>
      </c>
      <c r="C5" s="37">
        <v>0</v>
      </c>
      <c r="D5" s="37">
        <v>0</v>
      </c>
      <c r="E5" s="37">
        <f>SUM(B5:D5)</f>
        <v>0</v>
      </c>
      <c r="F5" s="39">
        <v>0</v>
      </c>
      <c r="G5" s="37">
        <v>0</v>
      </c>
      <c r="H5" s="37">
        <v>0</v>
      </c>
      <c r="I5" s="37">
        <v>0</v>
      </c>
      <c r="J5" s="48">
        <f>SUM(F5:I5)</f>
        <v>0</v>
      </c>
      <c r="K5" s="49">
        <f>K4*0.08</f>
        <v>0</v>
      </c>
      <c r="L5" s="49">
        <f t="shared" ref="L5:N5" si="0">L4*0.08</f>
        <v>0</v>
      </c>
      <c r="M5" s="49">
        <f t="shared" si="0"/>
        <v>2.8591200000000003</v>
      </c>
      <c r="N5" s="49">
        <f t="shared" si="0"/>
        <v>13.97597947965</v>
      </c>
      <c r="O5" s="49">
        <f>O4*0.082</f>
        <v>31.997833303781949</v>
      </c>
    </row>
    <row r="6" spans="1:17" s="55" customFormat="1" ht="13.5" hidden="1" customHeight="1">
      <c r="A6" s="50" t="s">
        <v>15</v>
      </c>
      <c r="B6" s="51"/>
      <c r="C6" s="51"/>
      <c r="D6" s="51"/>
      <c r="E6" s="52"/>
      <c r="F6" s="53"/>
      <c r="G6" s="51"/>
      <c r="H6" s="51"/>
      <c r="I6" s="51"/>
      <c r="J6" s="52"/>
      <c r="K6" s="54"/>
      <c r="L6" s="54"/>
      <c r="M6" s="54"/>
      <c r="N6" s="54"/>
      <c r="O6" s="54"/>
    </row>
    <row r="7" spans="1:17">
      <c r="A7" s="36" t="s">
        <v>2</v>
      </c>
      <c r="B7" s="37">
        <v>46.633000000000003</v>
      </c>
      <c r="C7" s="37">
        <v>27.094000000000001</v>
      </c>
      <c r="D7" s="37">
        <v>64.623000000000005</v>
      </c>
      <c r="E7" s="37">
        <f>SUM(B7:D7)</f>
        <v>138.35000000000002</v>
      </c>
      <c r="F7" s="39">
        <v>35</v>
      </c>
      <c r="G7" s="37">
        <v>37.5</v>
      </c>
      <c r="H7" s="37">
        <v>40</v>
      </c>
      <c r="I7" s="37">
        <v>40.5</v>
      </c>
      <c r="J7" s="48">
        <f>SUM(F7:I7)</f>
        <v>153</v>
      </c>
      <c r="K7" s="49">
        <v>225</v>
      </c>
      <c r="L7" s="49">
        <v>250</v>
      </c>
      <c r="M7" s="49">
        <v>165</v>
      </c>
      <c r="N7" s="49">
        <v>125</v>
      </c>
      <c r="O7" s="49">
        <v>75</v>
      </c>
    </row>
    <row r="8" spans="1:17" s="61" customFormat="1" ht="11.65" hidden="1">
      <c r="A8" s="56" t="s">
        <v>7</v>
      </c>
      <c r="B8" s="57"/>
      <c r="C8" s="57"/>
      <c r="D8" s="57"/>
      <c r="E8" s="58"/>
      <c r="F8" s="59"/>
      <c r="G8" s="57"/>
      <c r="H8" s="57"/>
      <c r="I8" s="57"/>
      <c r="J8" s="58"/>
      <c r="K8" s="60"/>
      <c r="L8" s="60"/>
      <c r="M8" s="60"/>
      <c r="N8" s="60"/>
      <c r="O8" s="60"/>
    </row>
    <row r="9" spans="1:17">
      <c r="A9" s="36" t="s">
        <v>1</v>
      </c>
      <c r="B9" s="37">
        <v>7.5730000000000004</v>
      </c>
      <c r="C9" s="37">
        <v>4.4039999999999999</v>
      </c>
      <c r="D9" s="37">
        <v>18.754999999999999</v>
      </c>
      <c r="E9" s="48">
        <f>SUM(B9:D9)</f>
        <v>30.731999999999999</v>
      </c>
      <c r="F9" s="39">
        <v>11</v>
      </c>
      <c r="G9" s="37">
        <v>11.5</v>
      </c>
      <c r="H9" s="37">
        <v>12</v>
      </c>
      <c r="I9" s="37">
        <v>12.5</v>
      </c>
      <c r="J9" s="48">
        <f>SUM(F9:I9)</f>
        <v>47</v>
      </c>
      <c r="K9" s="49">
        <v>60</v>
      </c>
      <c r="L9" s="49">
        <v>65</v>
      </c>
      <c r="M9" s="49">
        <v>125</v>
      </c>
      <c r="N9" s="49">
        <v>250</v>
      </c>
      <c r="O9" s="49">
        <v>295</v>
      </c>
    </row>
    <row r="10" spans="1:17" s="66" customFormat="1" ht="14.65" hidden="1" customHeight="1">
      <c r="A10" s="50" t="s">
        <v>8</v>
      </c>
      <c r="B10" s="62"/>
      <c r="C10" s="62"/>
      <c r="D10" s="62"/>
      <c r="E10" s="63"/>
      <c r="F10" s="64"/>
      <c r="G10" s="62"/>
      <c r="H10" s="62"/>
      <c r="I10" s="62"/>
      <c r="J10" s="63"/>
      <c r="K10" s="65"/>
      <c r="L10" s="65"/>
      <c r="M10" s="65"/>
      <c r="N10" s="65"/>
      <c r="O10" s="65"/>
    </row>
    <row r="11" spans="1:17" ht="14.65" customHeight="1">
      <c r="A11" s="36" t="s">
        <v>255</v>
      </c>
      <c r="B11" s="67"/>
      <c r="C11" s="68"/>
      <c r="D11" s="68"/>
      <c r="E11" s="69">
        <f t="shared" ref="E11:E18" si="1">SUM(B11:D11)</f>
        <v>0</v>
      </c>
      <c r="F11" s="70"/>
      <c r="G11" s="67"/>
      <c r="H11" s="68"/>
      <c r="I11" s="68"/>
      <c r="J11" s="69">
        <f t="shared" ref="J11" si="2">SUM(F11:I11)</f>
        <v>0</v>
      </c>
      <c r="K11" s="71"/>
      <c r="L11" s="71"/>
      <c r="M11" s="71"/>
      <c r="N11" s="71"/>
      <c r="O11" s="71"/>
    </row>
    <row r="12" spans="1:17">
      <c r="A12" s="43" t="s">
        <v>5</v>
      </c>
      <c r="B12" s="44">
        <f>SUM(B5:B11)</f>
        <v>54.206000000000003</v>
      </c>
      <c r="C12" s="44">
        <f>SUM(C5:C11)</f>
        <v>31.498000000000001</v>
      </c>
      <c r="D12" s="44">
        <f>SUM(D5:D11)</f>
        <v>83.378</v>
      </c>
      <c r="E12" s="44">
        <f t="shared" si="1"/>
        <v>169.08199999999999</v>
      </c>
      <c r="F12" s="72">
        <f>SUM(F5:F11)</f>
        <v>46</v>
      </c>
      <c r="G12" s="44">
        <f>SUM(G5:G11)</f>
        <v>49</v>
      </c>
      <c r="H12" s="44">
        <f>SUM(H5:H11)</f>
        <v>52</v>
      </c>
      <c r="I12" s="44">
        <f>SUM(I5:I11)</f>
        <v>53</v>
      </c>
      <c r="J12" s="45">
        <f>SUM(F12:I12)</f>
        <v>200</v>
      </c>
      <c r="K12" s="46">
        <f>K5+K7+K9</f>
        <v>285</v>
      </c>
      <c r="L12" s="46">
        <f>L5+L7+L9</f>
        <v>315</v>
      </c>
      <c r="M12" s="46">
        <f>M5+M7+M9</f>
        <v>292.85911999999996</v>
      </c>
      <c r="N12" s="46">
        <f>N5+N7+N9</f>
        <v>388.97597947964999</v>
      </c>
      <c r="O12" s="46">
        <f>O5+O7+O9</f>
        <v>401.99783330378193</v>
      </c>
    </row>
    <row r="13" spans="1:17" ht="13.5" customHeight="1">
      <c r="A13" s="36" t="s">
        <v>238</v>
      </c>
      <c r="B13" s="73">
        <v>0</v>
      </c>
      <c r="C13" s="73">
        <v>0</v>
      </c>
      <c r="D13" s="73">
        <v>0</v>
      </c>
      <c r="E13" s="74">
        <f t="shared" si="1"/>
        <v>0</v>
      </c>
      <c r="F13" s="75">
        <v>0</v>
      </c>
      <c r="G13" s="73">
        <v>0</v>
      </c>
      <c r="H13" s="73">
        <v>0</v>
      </c>
      <c r="I13" s="73">
        <v>0</v>
      </c>
      <c r="J13" s="74">
        <f t="shared" ref="J13" si="3">SUM(F13:I13)</f>
        <v>0</v>
      </c>
      <c r="K13" s="76">
        <v>0</v>
      </c>
      <c r="L13" s="76"/>
      <c r="M13" s="76"/>
      <c r="N13" s="76"/>
      <c r="O13" s="76"/>
    </row>
    <row r="14" spans="1:17">
      <c r="A14" s="36" t="s">
        <v>9</v>
      </c>
      <c r="B14" s="37">
        <f>B4-B12+B13</f>
        <v>-54.206000000000003</v>
      </c>
      <c r="C14" s="37">
        <f>C4-C12+C13</f>
        <v>-31.498000000000001</v>
      </c>
      <c r="D14" s="37">
        <f>D4-D12+D13</f>
        <v>-83.378</v>
      </c>
      <c r="E14" s="48">
        <f t="shared" si="1"/>
        <v>-169.08199999999999</v>
      </c>
      <c r="F14" s="39">
        <f>F4-F12+F13</f>
        <v>-46</v>
      </c>
      <c r="G14" s="37">
        <f>G4-G12+G13</f>
        <v>-49</v>
      </c>
      <c r="H14" s="37">
        <f>H4-H12+H13</f>
        <v>-52</v>
      </c>
      <c r="I14" s="37">
        <f>I4-I12+I13</f>
        <v>-53</v>
      </c>
      <c r="J14" s="48">
        <f>SUM(F14:I14)</f>
        <v>-200</v>
      </c>
      <c r="K14" s="49">
        <f>K4-K12</f>
        <v>-285</v>
      </c>
      <c r="L14" s="49">
        <f>L4-L12</f>
        <v>-315</v>
      </c>
      <c r="M14" s="49">
        <f>M4-M12</f>
        <v>-257.12011999999993</v>
      </c>
      <c r="N14" s="49">
        <f>N4-N12</f>
        <v>-214.27623598402499</v>
      </c>
      <c r="O14" s="49">
        <f>O4-O12</f>
        <v>-11.780353989367939</v>
      </c>
    </row>
    <row r="15" spans="1:17">
      <c r="A15" s="36" t="s">
        <v>256</v>
      </c>
      <c r="B15" s="37">
        <v>1.4990000000000001</v>
      </c>
      <c r="C15" s="37">
        <v>1.5489999999999999</v>
      </c>
      <c r="D15" s="37">
        <v>2.4710000000000001</v>
      </c>
      <c r="E15" s="48">
        <f t="shared" si="1"/>
        <v>5.5190000000000001</v>
      </c>
      <c r="F15" s="39">
        <v>0</v>
      </c>
      <c r="G15" s="37">
        <v>0</v>
      </c>
      <c r="H15" s="37">
        <v>0</v>
      </c>
      <c r="I15" s="37">
        <v>0</v>
      </c>
      <c r="J15" s="48">
        <f>SUM(F15:I15)</f>
        <v>0</v>
      </c>
      <c r="K15" s="49">
        <v>0</v>
      </c>
      <c r="L15" s="49">
        <v>0</v>
      </c>
      <c r="M15" s="49">
        <v>0</v>
      </c>
      <c r="N15" s="49">
        <v>0</v>
      </c>
      <c r="O15" s="49">
        <v>0</v>
      </c>
    </row>
    <row r="16" spans="1:17">
      <c r="A16" s="77" t="s">
        <v>239</v>
      </c>
      <c r="B16" s="37">
        <v>0.52200000000000002</v>
      </c>
      <c r="C16" s="37">
        <v>0.53100000000000003</v>
      </c>
      <c r="D16" s="37">
        <v>1.359</v>
      </c>
      <c r="E16" s="48">
        <f t="shared" si="1"/>
        <v>2.4119999999999999</v>
      </c>
      <c r="F16" s="39">
        <v>0</v>
      </c>
      <c r="G16" s="37">
        <v>0</v>
      </c>
      <c r="H16" s="37">
        <v>0</v>
      </c>
      <c r="I16" s="37">
        <v>0</v>
      </c>
      <c r="J16" s="48">
        <f t="shared" ref="J16" si="4">SUM(F16:I16)</f>
        <v>0</v>
      </c>
      <c r="K16" s="49">
        <v>0</v>
      </c>
      <c r="L16" s="49">
        <v>0</v>
      </c>
      <c r="M16" s="49">
        <v>0</v>
      </c>
      <c r="N16" s="49">
        <v>0</v>
      </c>
      <c r="O16" s="49">
        <v>0</v>
      </c>
    </row>
    <row r="17" spans="1:15">
      <c r="A17" s="36" t="s">
        <v>11</v>
      </c>
      <c r="B17" s="37">
        <f>B14+B16+B15</f>
        <v>-52.185000000000002</v>
      </c>
      <c r="C17" s="37">
        <f>C14+C16+C15</f>
        <v>-29.418000000000003</v>
      </c>
      <c r="D17" s="37">
        <f>D14+D16+D15</f>
        <v>-79.548000000000002</v>
      </c>
      <c r="E17" s="48">
        <f t="shared" si="1"/>
        <v>-161.15100000000001</v>
      </c>
      <c r="F17" s="39">
        <f>F14+F16+F15</f>
        <v>-46</v>
      </c>
      <c r="G17" s="37">
        <f>G14+G16+G15</f>
        <v>-49</v>
      </c>
      <c r="H17" s="37">
        <f>H14+H16+H15</f>
        <v>-52</v>
      </c>
      <c r="I17" s="37">
        <f>I14+I16+I15</f>
        <v>-53</v>
      </c>
      <c r="J17" s="48">
        <f>SUM(F17:I17)</f>
        <v>-200</v>
      </c>
      <c r="K17" s="49">
        <f>K14+K16+K15</f>
        <v>-285</v>
      </c>
      <c r="L17" s="49">
        <f>L14+L16+L15</f>
        <v>-315</v>
      </c>
      <c r="M17" s="49">
        <f>M14+M16+M15</f>
        <v>-257.12011999999993</v>
      </c>
      <c r="N17" s="49">
        <f>N14+N16+N15</f>
        <v>-214.27623598402499</v>
      </c>
      <c r="O17" s="49">
        <f>O14+O16+O15</f>
        <v>-11.780353989367939</v>
      </c>
    </row>
    <row r="18" spans="1:15" ht="12" customHeight="1">
      <c r="A18" s="36" t="s">
        <v>3</v>
      </c>
      <c r="B18" s="37">
        <v>0</v>
      </c>
      <c r="C18" s="37">
        <v>0</v>
      </c>
      <c r="D18" s="37">
        <v>0</v>
      </c>
      <c r="E18" s="48">
        <f t="shared" si="1"/>
        <v>0</v>
      </c>
      <c r="F18" s="39">
        <v>0</v>
      </c>
      <c r="G18" s="37">
        <v>0</v>
      </c>
      <c r="H18" s="37">
        <v>0</v>
      </c>
      <c r="I18" s="37">
        <v>0</v>
      </c>
      <c r="J18" s="48">
        <f t="shared" ref="J18" si="5">SUM(F18:I18)</f>
        <v>0</v>
      </c>
      <c r="K18" s="49">
        <v>0</v>
      </c>
      <c r="L18" s="49">
        <v>0</v>
      </c>
      <c r="M18" s="49">
        <v>0</v>
      </c>
      <c r="N18" s="49">
        <v>0</v>
      </c>
      <c r="O18" s="49">
        <v>0</v>
      </c>
    </row>
    <row r="19" spans="1:15" s="55" customFormat="1" ht="15" hidden="1" customHeight="1">
      <c r="A19" s="50" t="s">
        <v>6</v>
      </c>
      <c r="B19" s="57"/>
      <c r="C19" s="57"/>
      <c r="D19" s="57"/>
      <c r="E19" s="58"/>
      <c r="F19" s="78"/>
      <c r="G19" s="57"/>
      <c r="H19" s="57"/>
      <c r="I19" s="57"/>
      <c r="J19" s="58"/>
      <c r="K19" s="60"/>
      <c r="L19" s="60"/>
      <c r="M19" s="60"/>
      <c r="N19" s="60"/>
      <c r="O19" s="60"/>
    </row>
    <row r="20" spans="1:15" s="55" customFormat="1" ht="15" hidden="1" customHeight="1">
      <c r="A20" s="50"/>
      <c r="B20" s="57"/>
      <c r="C20" s="57"/>
      <c r="D20" s="57"/>
      <c r="E20" s="58"/>
      <c r="F20" s="78"/>
      <c r="G20" s="57"/>
      <c r="H20" s="57"/>
      <c r="I20" s="57"/>
      <c r="J20" s="58"/>
      <c r="K20" s="60"/>
      <c r="L20" s="60"/>
      <c r="M20" s="60"/>
      <c r="N20" s="60"/>
      <c r="O20" s="60"/>
    </row>
    <row r="21" spans="1:15">
      <c r="A21" s="36" t="s">
        <v>12</v>
      </c>
      <c r="B21" s="37">
        <f>B17-B18</f>
        <v>-52.185000000000002</v>
      </c>
      <c r="C21" s="37">
        <f>C17-C18</f>
        <v>-29.418000000000003</v>
      </c>
      <c r="D21" s="37">
        <f>D17-D18</f>
        <v>-79.548000000000002</v>
      </c>
      <c r="E21" s="48">
        <f>SUM(B21:D21)</f>
        <v>-161.15100000000001</v>
      </c>
      <c r="F21" s="39">
        <f>F17-F18</f>
        <v>-46</v>
      </c>
      <c r="G21" s="37">
        <f>G17-G18</f>
        <v>-49</v>
      </c>
      <c r="H21" s="37">
        <f>H17-H18</f>
        <v>-52</v>
      </c>
      <c r="I21" s="37">
        <f>I17-I18</f>
        <v>-53</v>
      </c>
      <c r="J21" s="48">
        <f>SUM(F21:I21)</f>
        <v>-200</v>
      </c>
      <c r="K21" s="49">
        <f t="shared" ref="K21" si="6">K17-K18</f>
        <v>-285</v>
      </c>
      <c r="L21" s="49">
        <f t="shared" ref="L21" si="7">L17-L18</f>
        <v>-315</v>
      </c>
      <c r="M21" s="49">
        <f>M17-M18</f>
        <v>-257.12011999999993</v>
      </c>
      <c r="N21" s="49">
        <f>N17-N18</f>
        <v>-214.27623598402499</v>
      </c>
      <c r="O21" s="49">
        <f>O17-O18</f>
        <v>-11.780353989367939</v>
      </c>
    </row>
    <row r="22" spans="1:15" s="84" customFormat="1" ht="13.9">
      <c r="A22" s="79" t="s">
        <v>13</v>
      </c>
      <c r="B22" s="80">
        <f t="shared" ref="B22:E22" si="8">B21/B23</f>
        <v>-68.45505525858394</v>
      </c>
      <c r="C22" s="80">
        <f t="shared" si="8"/>
        <v>-37.184927325195581</v>
      </c>
      <c r="D22" s="80">
        <f t="shared" si="8"/>
        <v>-2.4743555603651091</v>
      </c>
      <c r="E22" s="81">
        <f t="shared" si="8"/>
        <v>-18.564198609312271</v>
      </c>
      <c r="F22" s="82">
        <f>F21/F23</f>
        <v>-1.0839852955038176</v>
      </c>
      <c r="G22" s="80">
        <f t="shared" ref="G22:J22" si="9">G21/G23</f>
        <v>-1.154679988688849</v>
      </c>
      <c r="H22" s="80">
        <f t="shared" si="9"/>
        <v>-1.1555555555555554</v>
      </c>
      <c r="I22" s="80">
        <f t="shared" si="9"/>
        <v>-1.1041666666666667</v>
      </c>
      <c r="J22" s="81">
        <f t="shared" si="9"/>
        <v>-4.497616263380408</v>
      </c>
      <c r="K22" s="83">
        <f t="shared" ref="K22:L22" si="10">K21/K23</f>
        <v>-5.1537070524412298</v>
      </c>
      <c r="L22" s="83">
        <f t="shared" si="10"/>
        <v>-5.4545454545454541</v>
      </c>
      <c r="M22" s="83">
        <f t="shared" ref="M22:N22" si="11">M21/M23</f>
        <v>-4.4484449826989607</v>
      </c>
      <c r="N22" s="83">
        <f t="shared" si="11"/>
        <v>-3.6503617714484666</v>
      </c>
      <c r="O22" s="83">
        <f t="shared" ref="O22" si="12">O21/O23</f>
        <v>-0.1996670167689481</v>
      </c>
    </row>
    <row r="23" spans="1:15">
      <c r="A23" s="85" t="s">
        <v>16</v>
      </c>
      <c r="B23" s="86">
        <v>0.76232500000000003</v>
      </c>
      <c r="C23" s="86">
        <v>0.79112700000000002</v>
      </c>
      <c r="D23" s="86">
        <v>32.148977000000002</v>
      </c>
      <c r="E23" s="87">
        <v>8.6807409999999994</v>
      </c>
      <c r="F23" s="86">
        <v>42.436</v>
      </c>
      <c r="G23" s="86">
        <v>42.436</v>
      </c>
      <c r="H23" s="86">
        <v>45</v>
      </c>
      <c r="I23" s="86">
        <v>48</v>
      </c>
      <c r="J23" s="87">
        <f>AVERAGE(F23:I23)</f>
        <v>44.468000000000004</v>
      </c>
      <c r="K23" s="86">
        <v>55.3</v>
      </c>
      <c r="L23" s="88">
        <v>57.75</v>
      </c>
      <c r="M23" s="88">
        <v>57.8</v>
      </c>
      <c r="N23" s="88">
        <v>58.7</v>
      </c>
      <c r="O23" s="88">
        <v>59</v>
      </c>
    </row>
    <row r="24" spans="1:15" ht="15" hidden="1" customHeight="1">
      <c r="A24" s="36"/>
      <c r="B24" s="77"/>
      <c r="C24" s="77"/>
      <c r="D24" s="77"/>
      <c r="E24" s="77"/>
      <c r="F24" s="89"/>
      <c r="G24" s="77"/>
      <c r="H24" s="77"/>
      <c r="I24" s="77"/>
      <c r="J24" s="77"/>
      <c r="K24" s="90"/>
      <c r="L24" s="91"/>
      <c r="M24" s="91"/>
      <c r="N24" s="91"/>
      <c r="O24" s="91"/>
    </row>
    <row r="25" spans="1:15" ht="16.5" customHeight="1">
      <c r="A25" s="36" t="s">
        <v>10</v>
      </c>
      <c r="B25" s="92"/>
      <c r="C25" s="92"/>
      <c r="D25" s="92">
        <v>453.096</v>
      </c>
      <c r="E25" s="92"/>
      <c r="F25" s="93"/>
      <c r="G25" s="92"/>
      <c r="H25" s="92"/>
      <c r="I25" s="92"/>
      <c r="J25" s="92">
        <f>D25+J21+250</f>
        <v>503.096</v>
      </c>
      <c r="K25" s="94">
        <f>J25+K21+500</f>
        <v>718.096</v>
      </c>
      <c r="L25" s="94">
        <f>K25+L21</f>
        <v>403.096</v>
      </c>
      <c r="M25" s="94">
        <f>L25+M21</f>
        <v>145.97588000000007</v>
      </c>
      <c r="N25" s="94">
        <f>M25+N21+150</f>
        <v>81.699644015975082</v>
      </c>
      <c r="O25" s="94">
        <f>N25+O21</f>
        <v>69.919290026607143</v>
      </c>
    </row>
    <row r="26" spans="1:15">
      <c r="A26" s="36" t="s">
        <v>14</v>
      </c>
      <c r="B26" s="95"/>
      <c r="C26" s="95"/>
      <c r="D26" s="95">
        <v>0</v>
      </c>
      <c r="E26" s="77"/>
      <c r="F26" s="93"/>
      <c r="G26" s="95"/>
      <c r="H26" s="95"/>
      <c r="I26" s="95"/>
      <c r="J26" s="77"/>
      <c r="K26" s="91"/>
      <c r="L26" s="96"/>
      <c r="M26" s="96"/>
      <c r="N26" s="96"/>
      <c r="O26" s="96"/>
    </row>
    <row r="27" spans="1:15" ht="14.25" thickBot="1">
      <c r="A27" s="97" t="s">
        <v>17</v>
      </c>
      <c r="B27" s="98"/>
      <c r="C27" s="98"/>
      <c r="D27" s="98">
        <f>D25-D26</f>
        <v>453.096</v>
      </c>
      <c r="E27" s="99"/>
      <c r="F27" s="98"/>
      <c r="G27" s="100"/>
      <c r="H27" s="99"/>
      <c r="I27" s="99"/>
      <c r="J27" s="99"/>
      <c r="K27" s="101"/>
      <c r="L27" s="101"/>
      <c r="M27" s="101"/>
      <c r="N27" s="101"/>
      <c r="O27" s="101"/>
    </row>
    <row r="29" spans="1:15">
      <c r="A29" s="47" t="s">
        <v>244</v>
      </c>
      <c r="B29" s="102"/>
      <c r="F29" s="102"/>
      <c r="G29" s="102"/>
    </row>
    <row r="30" spans="1:15">
      <c r="D30" s="102"/>
      <c r="I30" s="102"/>
    </row>
    <row r="32" spans="1:15" ht="15.75">
      <c r="A32" s="103"/>
    </row>
    <row r="33" spans="1:1" ht="15.75">
      <c r="A33" s="104"/>
    </row>
    <row r="34" spans="1:1" ht="15.75">
      <c r="A34" s="104"/>
    </row>
  </sheetData>
  <phoneticPr fontId="3" type="noConversion"/>
  <pageMargins left="0.25" right="0.25" top="1" bottom="1" header="0.5" footer="0.5"/>
  <pageSetup orientation="landscape" r:id="rId1"/>
  <headerFooter alignWithMargins="0">
    <oddHeader>&amp;A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6"/>
  <sheetViews>
    <sheetView workbookViewId="0"/>
  </sheetViews>
  <sheetFormatPr defaultColWidth="9.140625" defaultRowHeight="13.5"/>
  <cols>
    <col min="1" max="1" width="43.7109375" style="47" customWidth="1"/>
    <col min="2" max="16384" width="9.140625" style="47"/>
  </cols>
  <sheetData>
    <row r="1" spans="1:8" s="28" customFormat="1" ht="15.4">
      <c r="A1" s="26" t="s">
        <v>289</v>
      </c>
      <c r="B1" s="26"/>
    </row>
    <row r="2" spans="1:8" s="28" customFormat="1" ht="12" customHeight="1">
      <c r="A2" s="29"/>
      <c r="B2" s="105" t="str">
        <f>Quarterly!E2</f>
        <v>2025A</v>
      </c>
      <c r="C2" s="105" t="str">
        <f>Quarterly!J2</f>
        <v>2026E</v>
      </c>
      <c r="D2" s="105" t="str">
        <f>Quarterly!K2</f>
        <v>2027E</v>
      </c>
      <c r="E2" s="105" t="str">
        <f>Quarterly!L2</f>
        <v>2028E</v>
      </c>
      <c r="F2" s="105" t="str">
        <f>Quarterly!M2</f>
        <v>2029E</v>
      </c>
      <c r="G2" s="105" t="str">
        <f>Quarterly!N2</f>
        <v>2030E</v>
      </c>
      <c r="H2" s="105" t="str">
        <f>Quarterly!O2</f>
        <v>2031E</v>
      </c>
    </row>
    <row r="3" spans="1:8">
      <c r="A3" s="36" t="str">
        <f>Quarterly!A3</f>
        <v>ML-007C-MA Revenue</v>
      </c>
      <c r="B3" s="106">
        <f>Quarterly!E3</f>
        <v>0</v>
      </c>
      <c r="C3" s="106">
        <f>Quarterly!J3</f>
        <v>0</v>
      </c>
      <c r="D3" s="106">
        <f>Quarterly!K3</f>
        <v>0</v>
      </c>
      <c r="E3" s="106">
        <f>Quarterly!L3</f>
        <v>0</v>
      </c>
      <c r="F3" s="106">
        <f>Quarterly!M3</f>
        <v>35.739000000000004</v>
      </c>
      <c r="G3" s="106">
        <f>Quarterly!N3</f>
        <v>174.699743495625</v>
      </c>
      <c r="H3" s="106">
        <f>Quarterly!O3</f>
        <v>390.21747931441399</v>
      </c>
    </row>
    <row r="4" spans="1:8" s="108" customFormat="1" ht="11.25" customHeight="1">
      <c r="A4" s="43" t="str">
        <f>Quarterly!A4</f>
        <v>Total Revenue</v>
      </c>
      <c r="B4" s="107">
        <f>Quarterly!E4</f>
        <v>0</v>
      </c>
      <c r="C4" s="107">
        <f>Quarterly!J4</f>
        <v>0</v>
      </c>
      <c r="D4" s="107">
        <f>Quarterly!K4</f>
        <v>0</v>
      </c>
      <c r="E4" s="107">
        <f>Quarterly!L4</f>
        <v>0</v>
      </c>
      <c r="F4" s="107">
        <f>Quarterly!M4</f>
        <v>35.739000000000004</v>
      </c>
      <c r="G4" s="107">
        <f>Quarterly!N4</f>
        <v>174.699743495625</v>
      </c>
      <c r="H4" s="107">
        <f>Quarterly!O4</f>
        <v>390.21747931441399</v>
      </c>
    </row>
    <row r="5" spans="1:8">
      <c r="A5" s="36" t="str">
        <f>Quarterly!A5</f>
        <v>COGS</v>
      </c>
      <c r="B5" s="109">
        <f>Quarterly!E5</f>
        <v>0</v>
      </c>
      <c r="C5" s="109">
        <f>Quarterly!J5</f>
        <v>0</v>
      </c>
      <c r="D5" s="109">
        <f>Quarterly!K5</f>
        <v>0</v>
      </c>
      <c r="E5" s="109">
        <f>Quarterly!L5</f>
        <v>0</v>
      </c>
      <c r="F5" s="109">
        <f>Quarterly!M5</f>
        <v>2.8591200000000003</v>
      </c>
      <c r="G5" s="109">
        <f>Quarterly!N5</f>
        <v>13.97597947965</v>
      </c>
      <c r="H5" s="109">
        <f>Quarterly!O5</f>
        <v>31.997833303781949</v>
      </c>
    </row>
    <row r="6" spans="1:8" s="55" customFormat="1" hidden="1">
      <c r="A6" s="50" t="str">
        <f>Quarterly!A6</f>
        <v xml:space="preserve">   Gross Margin</v>
      </c>
      <c r="B6" s="109">
        <f>Quarterly!E6</f>
        <v>0</v>
      </c>
      <c r="C6" s="109">
        <f>Quarterly!J6</f>
        <v>0</v>
      </c>
      <c r="D6" s="109">
        <f>Quarterly!K6</f>
        <v>0</v>
      </c>
      <c r="E6" s="109">
        <f>Quarterly!L6</f>
        <v>0</v>
      </c>
      <c r="F6" s="109">
        <f>Quarterly!M6</f>
        <v>0</v>
      </c>
      <c r="G6" s="109">
        <f>Quarterly!N6</f>
        <v>0</v>
      </c>
      <c r="H6" s="109">
        <f>Quarterly!O6</f>
        <v>0</v>
      </c>
    </row>
    <row r="7" spans="1:8" ht="17.25" customHeight="1">
      <c r="A7" s="36" t="str">
        <f>Quarterly!A7</f>
        <v>R&amp;D</v>
      </c>
      <c r="B7" s="109">
        <f>Quarterly!E7</f>
        <v>138.35000000000002</v>
      </c>
      <c r="C7" s="109">
        <f>Quarterly!J7</f>
        <v>153</v>
      </c>
      <c r="D7" s="109">
        <f>Quarterly!K7</f>
        <v>225</v>
      </c>
      <c r="E7" s="109">
        <f>Quarterly!L7</f>
        <v>250</v>
      </c>
      <c r="F7" s="109">
        <f>Quarterly!M7</f>
        <v>165</v>
      </c>
      <c r="G7" s="109">
        <f>Quarterly!N7</f>
        <v>125</v>
      </c>
      <c r="H7" s="109">
        <f>Quarterly!O7</f>
        <v>75</v>
      </c>
    </row>
    <row r="8" spans="1:8" ht="2.25" customHeight="1">
      <c r="A8" s="36"/>
      <c r="B8" s="109">
        <f>Quarterly!E8</f>
        <v>0</v>
      </c>
      <c r="C8" s="109">
        <f>Quarterly!J8</f>
        <v>0</v>
      </c>
      <c r="D8" s="109">
        <f>Quarterly!K8</f>
        <v>0</v>
      </c>
      <c r="E8" s="109">
        <f>Quarterly!L8</f>
        <v>0</v>
      </c>
      <c r="F8" s="109">
        <f>Quarterly!M8</f>
        <v>0</v>
      </c>
      <c r="G8" s="109">
        <f>Quarterly!N8</f>
        <v>0</v>
      </c>
      <c r="H8" s="109">
        <f>Quarterly!O8</f>
        <v>0</v>
      </c>
    </row>
    <row r="9" spans="1:8">
      <c r="A9" s="36" t="str">
        <f>Quarterly!A9</f>
        <v>SG&amp;A</v>
      </c>
      <c r="B9" s="109">
        <f>Quarterly!E9</f>
        <v>30.731999999999999</v>
      </c>
      <c r="C9" s="109">
        <f>Quarterly!J9</f>
        <v>47</v>
      </c>
      <c r="D9" s="109">
        <f>Quarterly!K9</f>
        <v>60</v>
      </c>
      <c r="E9" s="109">
        <f>Quarterly!L9</f>
        <v>65</v>
      </c>
      <c r="F9" s="109">
        <f>Quarterly!M9</f>
        <v>125</v>
      </c>
      <c r="G9" s="109">
        <f>Quarterly!N9</f>
        <v>250</v>
      </c>
      <c r="H9" s="109">
        <f>Quarterly!O9</f>
        <v>295</v>
      </c>
    </row>
    <row r="10" spans="1:8" ht="1.5" customHeight="1">
      <c r="A10" s="36"/>
      <c r="B10" s="109">
        <f>Quarterly!E10</f>
        <v>0</v>
      </c>
      <c r="C10" s="109">
        <f>Quarterly!J10</f>
        <v>0</v>
      </c>
      <c r="D10" s="109">
        <f>Quarterly!K10</f>
        <v>0</v>
      </c>
      <c r="E10" s="109">
        <f>Quarterly!L10</f>
        <v>0</v>
      </c>
      <c r="F10" s="109">
        <f>Quarterly!M10</f>
        <v>0</v>
      </c>
      <c r="G10" s="109">
        <f>Quarterly!N10</f>
        <v>0</v>
      </c>
      <c r="H10" s="109">
        <f>Quarterly!O10</f>
        <v>0</v>
      </c>
    </row>
    <row r="11" spans="1:8" s="108" customFormat="1" ht="12" customHeight="1">
      <c r="A11" s="43" t="str">
        <f>Quarterly!A12</f>
        <v>Operating Expenses</v>
      </c>
      <c r="B11" s="107">
        <f>Quarterly!E12</f>
        <v>169.08199999999999</v>
      </c>
      <c r="C11" s="107">
        <f>Quarterly!J12</f>
        <v>200</v>
      </c>
      <c r="D11" s="107">
        <f>Quarterly!K12</f>
        <v>285</v>
      </c>
      <c r="E11" s="107">
        <f>Quarterly!L12</f>
        <v>315</v>
      </c>
      <c r="F11" s="107">
        <f>Quarterly!M12</f>
        <v>292.85911999999996</v>
      </c>
      <c r="G11" s="107">
        <f>Quarterly!N12</f>
        <v>388.97597947964999</v>
      </c>
      <c r="H11" s="107">
        <f>Quarterly!O12</f>
        <v>401.99783330378193</v>
      </c>
    </row>
    <row r="12" spans="1:8" ht="15" hidden="1" customHeight="1">
      <c r="A12" s="77" t="str">
        <f>Quarterly!A13</f>
        <v>Other Income, net</v>
      </c>
      <c r="B12" s="109">
        <f>Quarterly!E13</f>
        <v>0</v>
      </c>
      <c r="C12" s="109">
        <f>Quarterly!J13</f>
        <v>0</v>
      </c>
      <c r="D12" s="109">
        <f>Quarterly!K13</f>
        <v>0</v>
      </c>
      <c r="E12" s="109">
        <f>Quarterly!L13</f>
        <v>0</v>
      </c>
      <c r="F12" s="109">
        <f>Quarterly!M13</f>
        <v>0</v>
      </c>
      <c r="G12" s="109">
        <f>Quarterly!N13</f>
        <v>0</v>
      </c>
      <c r="H12" s="109">
        <f>Quarterly!O13</f>
        <v>0</v>
      </c>
    </row>
    <row r="13" spans="1:8">
      <c r="A13" s="77" t="str">
        <f>Quarterly!$A$14</f>
        <v>Operating Income / (Loss)</v>
      </c>
      <c r="B13" s="109">
        <f>Quarterly!E14</f>
        <v>-169.08199999999999</v>
      </c>
      <c r="C13" s="109">
        <f>Quarterly!J14</f>
        <v>-200</v>
      </c>
      <c r="D13" s="109">
        <f>Quarterly!K14</f>
        <v>-285</v>
      </c>
      <c r="E13" s="109">
        <f>Quarterly!L14</f>
        <v>-315</v>
      </c>
      <c r="F13" s="109">
        <f>Quarterly!M14</f>
        <v>-257.12011999999993</v>
      </c>
      <c r="G13" s="109">
        <f>Quarterly!N14</f>
        <v>-214.27623598402499</v>
      </c>
      <c r="H13" s="109">
        <f>Quarterly!O14</f>
        <v>-11.780353989367939</v>
      </c>
    </row>
    <row r="14" spans="1:8">
      <c r="A14" s="77" t="str">
        <f>Quarterly!A16</f>
        <v>Other Non-Operating Income, net</v>
      </c>
      <c r="B14" s="109">
        <f>Quarterly!E16</f>
        <v>2.4119999999999999</v>
      </c>
      <c r="C14" s="109">
        <f>Quarterly!J16</f>
        <v>0</v>
      </c>
      <c r="D14" s="109">
        <f>Quarterly!K16</f>
        <v>0</v>
      </c>
      <c r="E14" s="109">
        <f>Quarterly!L16</f>
        <v>0</v>
      </c>
      <c r="F14" s="109">
        <f>Quarterly!M16</f>
        <v>0</v>
      </c>
      <c r="G14" s="109">
        <f>Quarterly!N16</f>
        <v>0</v>
      </c>
      <c r="H14" s="109">
        <f>Quarterly!O16</f>
        <v>0</v>
      </c>
    </row>
    <row r="15" spans="1:8">
      <c r="A15" s="77" t="str">
        <f>Quarterly!A17</f>
        <v>Pretax net income</v>
      </c>
      <c r="B15" s="109">
        <f>Quarterly!E17</f>
        <v>-161.15100000000001</v>
      </c>
      <c r="C15" s="109">
        <f>Quarterly!J17</f>
        <v>-200</v>
      </c>
      <c r="D15" s="109">
        <f>Quarterly!K17</f>
        <v>-285</v>
      </c>
      <c r="E15" s="109">
        <f>Quarterly!L17</f>
        <v>-315</v>
      </c>
      <c r="F15" s="109">
        <f>Quarterly!M17</f>
        <v>-257.12011999999993</v>
      </c>
      <c r="G15" s="109">
        <f>Quarterly!N17</f>
        <v>-214.27623598402499</v>
      </c>
      <c r="H15" s="109">
        <f>Quarterly!O17</f>
        <v>-11.780353989367939</v>
      </c>
    </row>
    <row r="16" spans="1:8" ht="13.5" customHeight="1">
      <c r="A16" s="77" t="str">
        <f>Quarterly!A18</f>
        <v>Taxes</v>
      </c>
      <c r="B16" s="109">
        <f>Quarterly!E18</f>
        <v>0</v>
      </c>
      <c r="C16" s="109">
        <f>Quarterly!J18</f>
        <v>0</v>
      </c>
      <c r="D16" s="109">
        <f>Quarterly!K18</f>
        <v>0</v>
      </c>
      <c r="E16" s="109">
        <f>Quarterly!L18</f>
        <v>0</v>
      </c>
      <c r="F16" s="109">
        <f>Quarterly!M18</f>
        <v>0</v>
      </c>
      <c r="G16" s="109">
        <f>Quarterly!N18</f>
        <v>0</v>
      </c>
      <c r="H16" s="109">
        <f>Quarterly!O18</f>
        <v>0</v>
      </c>
    </row>
    <row r="17" spans="1:8" ht="0.75" customHeight="1">
      <c r="A17" s="77" t="str">
        <f>Quarterly!A19</f>
        <v xml:space="preserve">   Tax Rate</v>
      </c>
      <c r="B17" s="109">
        <f>Quarterly!E19</f>
        <v>0</v>
      </c>
      <c r="C17" s="109">
        <f>Quarterly!J19</f>
        <v>0</v>
      </c>
      <c r="D17" s="109">
        <f>Quarterly!K19</f>
        <v>0</v>
      </c>
      <c r="E17" s="109">
        <f>Quarterly!L19</f>
        <v>0</v>
      </c>
      <c r="F17" s="109">
        <f>Quarterly!M19</f>
        <v>0</v>
      </c>
      <c r="G17" s="109">
        <f>Quarterly!N19</f>
        <v>0</v>
      </c>
      <c r="H17" s="109">
        <f>Quarterly!O19</f>
        <v>0</v>
      </c>
    </row>
    <row r="18" spans="1:8" ht="11.25" customHeight="1">
      <c r="A18" s="77" t="str">
        <f>Quarterly!A21</f>
        <v>GAAP Net Income</v>
      </c>
      <c r="B18" s="109">
        <f>Quarterly!E21</f>
        <v>-161.15100000000001</v>
      </c>
      <c r="C18" s="109">
        <f>Quarterly!J21</f>
        <v>-200</v>
      </c>
      <c r="D18" s="109">
        <f>Quarterly!K21</f>
        <v>-285</v>
      </c>
      <c r="E18" s="109">
        <f>Quarterly!L21</f>
        <v>-315</v>
      </c>
      <c r="F18" s="109">
        <f>Quarterly!M21</f>
        <v>-257.12011999999993</v>
      </c>
      <c r="G18" s="109">
        <f>Quarterly!N21</f>
        <v>-214.27623598402499</v>
      </c>
      <c r="H18" s="109">
        <f>Quarterly!O21</f>
        <v>-11.780353989367939</v>
      </c>
    </row>
    <row r="19" spans="1:8" s="111" customFormat="1" ht="13.9">
      <c r="A19" s="79" t="str">
        <f>Quarterly!A22</f>
        <v>GAAP EPS</v>
      </c>
      <c r="B19" s="110">
        <f>Quarterly!E22</f>
        <v>-18.564198609312271</v>
      </c>
      <c r="C19" s="110">
        <f>Quarterly!J22</f>
        <v>-4.497616263380408</v>
      </c>
      <c r="D19" s="110">
        <f>Quarterly!K22</f>
        <v>-5.1537070524412298</v>
      </c>
      <c r="E19" s="110">
        <f>Quarterly!L22</f>
        <v>-5.4545454545454541</v>
      </c>
      <c r="F19" s="110">
        <f>Quarterly!M22</f>
        <v>-4.4484449826989607</v>
      </c>
      <c r="G19" s="110">
        <f>Quarterly!N22</f>
        <v>-3.6503617714484666</v>
      </c>
      <c r="H19" s="110">
        <f>Quarterly!O22</f>
        <v>-0.1996670167689481</v>
      </c>
    </row>
    <row r="20" spans="1:8">
      <c r="A20" s="85" t="str">
        <f>Quarterly!A23</f>
        <v>Diluted Shares Outstanding (MM)</v>
      </c>
      <c r="B20" s="112">
        <f>Quarterly!E23</f>
        <v>8.6807409999999994</v>
      </c>
      <c r="C20" s="112">
        <f>Quarterly!J23</f>
        <v>44.468000000000004</v>
      </c>
      <c r="D20" s="112">
        <f>Quarterly!K23</f>
        <v>55.3</v>
      </c>
      <c r="E20" s="112">
        <f>Quarterly!L23</f>
        <v>57.75</v>
      </c>
      <c r="F20" s="112">
        <f>Quarterly!M23</f>
        <v>57.8</v>
      </c>
      <c r="G20" s="112">
        <f>Quarterly!N23</f>
        <v>58.7</v>
      </c>
      <c r="H20" s="112">
        <f>Quarterly!O23</f>
        <v>59</v>
      </c>
    </row>
    <row r="21" spans="1:8">
      <c r="A21" s="36"/>
    </row>
    <row r="22" spans="1:8">
      <c r="A22" s="36"/>
    </row>
    <row r="23" spans="1:8" ht="11.25" customHeight="1">
      <c r="A23" s="36"/>
    </row>
    <row r="24" spans="1:8">
      <c r="A24" s="113"/>
    </row>
    <row r="25" spans="1:8" hidden="1">
      <c r="A25" s="113"/>
    </row>
    <row r="26" spans="1:8">
      <c r="A26" s="113"/>
    </row>
  </sheetData>
  <phoneticPr fontId="3" type="noConversion"/>
  <pageMargins left="0.75" right="0.75" top="1" bottom="1"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D9F16-3922-4EBE-B8F7-485D0EB29712}">
  <dimension ref="A1:M50"/>
  <sheetViews>
    <sheetView zoomScale="90" zoomScaleNormal="90" workbookViewId="0"/>
  </sheetViews>
  <sheetFormatPr defaultRowHeight="13.5"/>
  <cols>
    <col min="1" max="1" width="56.78515625" style="47" customWidth="1"/>
    <col min="2" max="10" width="10.5703125" style="47" customWidth="1"/>
    <col min="11" max="16384" width="9.140625" style="47"/>
  </cols>
  <sheetData>
    <row r="1" spans="1:13" ht="15.4">
      <c r="A1" s="114" t="s">
        <v>300</v>
      </c>
      <c r="B1" s="115"/>
      <c r="C1" s="116"/>
      <c r="D1" s="116"/>
      <c r="E1" s="116"/>
    </row>
    <row r="2" spans="1:13" ht="13.9">
      <c r="A2" s="117" t="s">
        <v>265</v>
      </c>
      <c r="B2" s="118" t="s">
        <v>243</v>
      </c>
      <c r="C2" s="118" t="s">
        <v>245</v>
      </c>
      <c r="D2" s="118" t="s">
        <v>251</v>
      </c>
      <c r="E2" s="118" t="s">
        <v>252</v>
      </c>
      <c r="F2" s="118" t="s">
        <v>260</v>
      </c>
      <c r="G2" s="118" t="s">
        <v>261</v>
      </c>
      <c r="H2" s="118" t="s">
        <v>262</v>
      </c>
      <c r="I2" s="118" t="s">
        <v>263</v>
      </c>
      <c r="J2" s="118" t="s">
        <v>264</v>
      </c>
      <c r="K2" s="118" t="s">
        <v>302</v>
      </c>
      <c r="L2" s="118" t="s">
        <v>303</v>
      </c>
      <c r="M2" s="118" t="s">
        <v>304</v>
      </c>
    </row>
    <row r="3" spans="1:13">
      <c r="A3" s="119" t="s">
        <v>259</v>
      </c>
      <c r="B3" s="120">
        <v>2000</v>
      </c>
      <c r="C3" s="120">
        <f>B3*1.005</f>
        <v>2009.9999999999998</v>
      </c>
      <c r="D3" s="120">
        <f>C3*1.005</f>
        <v>2020.0499999999995</v>
      </c>
      <c r="E3" s="120">
        <f t="shared" ref="E3:I3" si="0">D3*1.005</f>
        <v>2030.1502499999992</v>
      </c>
      <c r="F3" s="120">
        <f t="shared" si="0"/>
        <v>2040.301001249999</v>
      </c>
      <c r="G3" s="120">
        <f t="shared" si="0"/>
        <v>2050.5025062562486</v>
      </c>
      <c r="H3" s="120">
        <f t="shared" si="0"/>
        <v>2060.7550187875295</v>
      </c>
      <c r="I3" s="120">
        <f t="shared" si="0"/>
        <v>2071.058793881467</v>
      </c>
      <c r="J3" s="120">
        <f t="shared" ref="J3:M3" si="1">I3*1.005</f>
        <v>2081.4140878508742</v>
      </c>
      <c r="K3" s="120">
        <f t="shared" si="1"/>
        <v>2091.8211582901286</v>
      </c>
      <c r="L3" s="120">
        <f t="shared" si="1"/>
        <v>2102.2802640815789</v>
      </c>
      <c r="M3" s="120">
        <f t="shared" si="1"/>
        <v>2112.7916654019864</v>
      </c>
    </row>
    <row r="4" spans="1:13" s="119" customFormat="1">
      <c r="A4" s="121" t="s">
        <v>267</v>
      </c>
      <c r="B4" s="122">
        <v>0.76</v>
      </c>
      <c r="C4" s="122">
        <f>B4+0.01</f>
        <v>0.77</v>
      </c>
      <c r="D4" s="122">
        <f>C4+0.01</f>
        <v>0.78</v>
      </c>
      <c r="E4" s="122">
        <f t="shared" ref="E4:M4" si="2">D4+0.01</f>
        <v>0.79</v>
      </c>
      <c r="F4" s="122">
        <f t="shared" si="2"/>
        <v>0.8</v>
      </c>
      <c r="G4" s="122">
        <f t="shared" si="2"/>
        <v>0.81</v>
      </c>
      <c r="H4" s="122">
        <f t="shared" si="2"/>
        <v>0.82000000000000006</v>
      </c>
      <c r="I4" s="122">
        <f t="shared" si="2"/>
        <v>0.83000000000000007</v>
      </c>
      <c r="J4" s="122">
        <f t="shared" si="2"/>
        <v>0.84000000000000008</v>
      </c>
      <c r="K4" s="122">
        <f t="shared" si="2"/>
        <v>0.85000000000000009</v>
      </c>
      <c r="L4" s="122">
        <f t="shared" si="2"/>
        <v>0.8600000000000001</v>
      </c>
      <c r="M4" s="122">
        <f t="shared" si="2"/>
        <v>0.87000000000000011</v>
      </c>
    </row>
    <row r="5" spans="1:13" s="119" customFormat="1">
      <c r="A5" s="119" t="s">
        <v>268</v>
      </c>
      <c r="B5" s="123">
        <f>B3*B4</f>
        <v>1520</v>
      </c>
      <c r="C5" s="123">
        <f>C3*C4</f>
        <v>1547.6999999999998</v>
      </c>
      <c r="D5" s="123">
        <f>D3*D4</f>
        <v>1575.6389999999997</v>
      </c>
      <c r="E5" s="123">
        <f t="shared" ref="E5:J5" si="3">E3*E4</f>
        <v>1603.8186974999994</v>
      </c>
      <c r="F5" s="123">
        <f t="shared" si="3"/>
        <v>1632.2408009999992</v>
      </c>
      <c r="G5" s="123">
        <f t="shared" si="3"/>
        <v>1660.9070300675614</v>
      </c>
      <c r="H5" s="123">
        <f t="shared" si="3"/>
        <v>1689.8191154057743</v>
      </c>
      <c r="I5" s="123">
        <f t="shared" si="3"/>
        <v>1718.9787989216177</v>
      </c>
      <c r="J5" s="123">
        <f t="shared" si="3"/>
        <v>1748.3878337947344</v>
      </c>
      <c r="K5" s="123">
        <f t="shared" ref="K5" si="4">K3*K4</f>
        <v>1778.0479845466095</v>
      </c>
      <c r="L5" s="123">
        <f t="shared" ref="L5" si="5">L3*L4</f>
        <v>1807.9610271101581</v>
      </c>
      <c r="M5" s="123">
        <f t="shared" ref="M5" si="6">M3*M4</f>
        <v>1838.1287488997284</v>
      </c>
    </row>
    <row r="6" spans="1:13" s="119" customFormat="1">
      <c r="A6" s="121" t="s">
        <v>272</v>
      </c>
      <c r="B6" s="122">
        <v>0.5</v>
      </c>
      <c r="C6" s="122">
        <v>0.5</v>
      </c>
      <c r="D6" s="122">
        <v>0.5</v>
      </c>
      <c r="E6" s="122">
        <v>0.5</v>
      </c>
      <c r="F6" s="122">
        <v>0.5</v>
      </c>
      <c r="G6" s="122">
        <v>0.5</v>
      </c>
      <c r="H6" s="122">
        <v>0.5</v>
      </c>
      <c r="I6" s="122">
        <v>0.5</v>
      </c>
      <c r="J6" s="122">
        <v>0.5</v>
      </c>
      <c r="K6" s="122">
        <v>0.5</v>
      </c>
      <c r="L6" s="122">
        <v>0.5</v>
      </c>
      <c r="M6" s="122">
        <v>0.5</v>
      </c>
    </row>
    <row r="7" spans="1:13" s="119" customFormat="1">
      <c r="A7" s="119" t="s">
        <v>273</v>
      </c>
      <c r="B7" s="123">
        <f>B5*B6</f>
        <v>760</v>
      </c>
      <c r="C7" s="123">
        <f>C5*C6</f>
        <v>773.84999999999991</v>
      </c>
      <c r="D7" s="123">
        <f t="shared" ref="D7:J7" si="7">D5*D6</f>
        <v>787.81949999999983</v>
      </c>
      <c r="E7" s="123">
        <f t="shared" si="7"/>
        <v>801.90934874999971</v>
      </c>
      <c r="F7" s="123">
        <f t="shared" si="7"/>
        <v>816.12040049999962</v>
      </c>
      <c r="G7" s="123">
        <f t="shared" si="7"/>
        <v>830.45351503378072</v>
      </c>
      <c r="H7" s="123">
        <f t="shared" si="7"/>
        <v>844.90955770288713</v>
      </c>
      <c r="I7" s="123">
        <f t="shared" si="7"/>
        <v>859.48939946080884</v>
      </c>
      <c r="J7" s="123">
        <f t="shared" si="7"/>
        <v>874.19391689736722</v>
      </c>
      <c r="K7" s="123">
        <f t="shared" ref="K7" si="8">K5*K6</f>
        <v>889.02399227330477</v>
      </c>
      <c r="L7" s="123">
        <f t="shared" ref="L7" si="9">L5*L6</f>
        <v>903.98051355507903</v>
      </c>
      <c r="M7" s="123">
        <f t="shared" ref="M7" si="10">M5*M6</f>
        <v>919.0643744498642</v>
      </c>
    </row>
    <row r="8" spans="1:13" s="119" customFormat="1">
      <c r="A8" s="121" t="s">
        <v>305</v>
      </c>
      <c r="B8" s="122">
        <v>2.5000000000000001E-3</v>
      </c>
      <c r="C8" s="122">
        <v>1.2999999999999999E-2</v>
      </c>
      <c r="D8" s="122">
        <v>2.5000000000000001E-2</v>
      </c>
      <c r="E8" s="122">
        <v>3.5000000000000003E-2</v>
      </c>
      <c r="F8" s="122">
        <v>4.4999999999999998E-2</v>
      </c>
      <c r="G8" s="122">
        <v>0.05</v>
      </c>
      <c r="H8" s="122">
        <v>0.05</v>
      </c>
      <c r="I8" s="122">
        <v>0.05</v>
      </c>
      <c r="J8" s="122">
        <v>0.05</v>
      </c>
      <c r="K8" s="122">
        <v>0.05</v>
      </c>
      <c r="L8" s="122">
        <v>0.05</v>
      </c>
      <c r="M8" s="122">
        <v>0.05</v>
      </c>
    </row>
    <row r="9" spans="1:13" s="119" customFormat="1">
      <c r="A9" s="119" t="s">
        <v>314</v>
      </c>
      <c r="B9" s="123">
        <f>B7*B8</f>
        <v>1.9000000000000001</v>
      </c>
      <c r="C9" s="123">
        <f>C7*C8</f>
        <v>10.060049999999999</v>
      </c>
      <c r="D9" s="123">
        <f>D7*D8</f>
        <v>19.695487499999999</v>
      </c>
      <c r="E9" s="123">
        <f t="shared" ref="E9:J9" si="11">E7*E8</f>
        <v>28.066827206249993</v>
      </c>
      <c r="F9" s="123">
        <f t="shared" si="11"/>
        <v>36.72541802249998</v>
      </c>
      <c r="G9" s="123">
        <f t="shared" si="11"/>
        <v>41.522675751689036</v>
      </c>
      <c r="H9" s="123">
        <f t="shared" si="11"/>
        <v>42.245477885144361</v>
      </c>
      <c r="I9" s="123">
        <f t="shared" si="11"/>
        <v>42.974469973040442</v>
      </c>
      <c r="J9" s="123">
        <f t="shared" si="11"/>
        <v>43.709695844868364</v>
      </c>
      <c r="K9" s="123">
        <f t="shared" ref="K9" si="12">K7*K8</f>
        <v>44.451199613665239</v>
      </c>
      <c r="L9" s="123">
        <f t="shared" ref="L9" si="13">L7*L8</f>
        <v>45.199025677753951</v>
      </c>
      <c r="M9" s="123">
        <f t="shared" ref="M9" si="14">M7*M8</f>
        <v>45.953218722493212</v>
      </c>
    </row>
    <row r="10" spans="1:13" s="119" customFormat="1">
      <c r="A10" s="121" t="s">
        <v>269</v>
      </c>
      <c r="B10" s="122">
        <v>0.75</v>
      </c>
      <c r="C10" s="122">
        <v>0.75</v>
      </c>
      <c r="D10" s="122">
        <v>0.75</v>
      </c>
      <c r="E10" s="122">
        <v>0.75</v>
      </c>
      <c r="F10" s="122">
        <v>0.75</v>
      </c>
      <c r="G10" s="122">
        <v>0.75</v>
      </c>
      <c r="H10" s="122">
        <v>0.75</v>
      </c>
      <c r="I10" s="122">
        <v>0.75</v>
      </c>
      <c r="J10" s="122">
        <v>0.75</v>
      </c>
      <c r="K10" s="122">
        <v>0.75</v>
      </c>
      <c r="L10" s="122">
        <v>0.75</v>
      </c>
      <c r="M10" s="122">
        <v>0.75</v>
      </c>
    </row>
    <row r="11" spans="1:13">
      <c r="A11" s="119" t="s">
        <v>257</v>
      </c>
      <c r="B11" s="124">
        <v>19000</v>
      </c>
      <c r="C11" s="124">
        <v>19000</v>
      </c>
      <c r="D11" s="124">
        <v>19000</v>
      </c>
      <c r="E11" s="124">
        <f>D11*1.02</f>
        <v>19380</v>
      </c>
      <c r="F11" s="124">
        <f>E11*1.02</f>
        <v>19767.599999999999</v>
      </c>
      <c r="G11" s="124">
        <f t="shared" ref="G11:I11" si="15">F11*1.02</f>
        <v>20162.951999999997</v>
      </c>
      <c r="H11" s="124">
        <f t="shared" si="15"/>
        <v>20566.211039999998</v>
      </c>
      <c r="I11" s="124">
        <f t="shared" si="15"/>
        <v>20977.535260799999</v>
      </c>
      <c r="J11" s="124">
        <f t="shared" ref="J11:M11" si="16">I11*1.02</f>
        <v>21397.085966015999</v>
      </c>
      <c r="K11" s="124">
        <f t="shared" si="16"/>
        <v>21825.027685336318</v>
      </c>
      <c r="L11" s="124">
        <f t="shared" si="16"/>
        <v>22261.528239043044</v>
      </c>
      <c r="M11" s="124">
        <f t="shared" si="16"/>
        <v>22706.758803823905</v>
      </c>
    </row>
    <row r="12" spans="1:13">
      <c r="A12" s="119" t="s">
        <v>258</v>
      </c>
      <c r="B12" s="125">
        <f>B11*0.6</f>
        <v>11400</v>
      </c>
      <c r="C12" s="125">
        <f>C11*0.6</f>
        <v>11400</v>
      </c>
      <c r="D12" s="125">
        <f>D11*0.7</f>
        <v>13300</v>
      </c>
      <c r="E12" s="125">
        <f t="shared" ref="E12:M12" si="17">E11*0.7</f>
        <v>13566</v>
      </c>
      <c r="F12" s="125">
        <f t="shared" si="17"/>
        <v>13837.319999999998</v>
      </c>
      <c r="G12" s="125">
        <f t="shared" si="17"/>
        <v>14114.066399999998</v>
      </c>
      <c r="H12" s="125">
        <f t="shared" si="17"/>
        <v>14396.347727999997</v>
      </c>
      <c r="I12" s="125">
        <f t="shared" si="17"/>
        <v>14684.274682559999</v>
      </c>
      <c r="J12" s="125">
        <f t="shared" si="17"/>
        <v>14977.960176211198</v>
      </c>
      <c r="K12" s="125">
        <f t="shared" si="17"/>
        <v>15277.51937973542</v>
      </c>
      <c r="L12" s="125">
        <f t="shared" si="17"/>
        <v>15583.069767330129</v>
      </c>
      <c r="M12" s="125">
        <f t="shared" si="17"/>
        <v>15894.731162676731</v>
      </c>
    </row>
    <row r="13" spans="1:13" ht="13.9">
      <c r="A13" s="126" t="s">
        <v>306</v>
      </c>
      <c r="B13" s="127">
        <f>B9*B10*B12/1000</f>
        <v>16.245000000000001</v>
      </c>
      <c r="C13" s="127">
        <f>C9*C10*C12/1000</f>
        <v>86.013427499999992</v>
      </c>
      <c r="D13" s="127">
        <f>D9*D10*D12/1000</f>
        <v>196.46248781249997</v>
      </c>
      <c r="E13" s="127">
        <f t="shared" ref="E13:M13" si="18">E9*E10*E12/1000</f>
        <v>285.56593340999058</v>
      </c>
      <c r="F13" s="127">
        <f t="shared" si="18"/>
        <v>381.1360209833245</v>
      </c>
      <c r="G13" s="127">
        <f t="shared" si="18"/>
        <v>439.54035199875665</v>
      </c>
      <c r="H13" s="127">
        <f t="shared" si="18"/>
        <v>456.13544217755407</v>
      </c>
      <c r="I13" s="127">
        <f t="shared" si="18"/>
        <v>473.28669106616445</v>
      </c>
      <c r="J13" s="127">
        <f t="shared" si="18"/>
        <v>491.01156275905686</v>
      </c>
      <c r="K13" s="127">
        <f t="shared" si="18"/>
        <v>509.32804766269373</v>
      </c>
      <c r="L13" s="127">
        <f t="shared" si="18"/>
        <v>528.25467791383937</v>
      </c>
      <c r="M13" s="127">
        <f t="shared" si="18"/>
        <v>547.81054324028457</v>
      </c>
    </row>
    <row r="14" spans="1:13" s="119" customFormat="1">
      <c r="A14" s="119" t="s">
        <v>268</v>
      </c>
      <c r="B14" s="123">
        <f>B5</f>
        <v>1520</v>
      </c>
      <c r="C14" s="123">
        <f t="shared" ref="C14:M14" si="19">C5</f>
        <v>1547.6999999999998</v>
      </c>
      <c r="D14" s="123">
        <f t="shared" si="19"/>
        <v>1575.6389999999997</v>
      </c>
      <c r="E14" s="123">
        <f t="shared" si="19"/>
        <v>1603.8186974999994</v>
      </c>
      <c r="F14" s="123">
        <f t="shared" si="19"/>
        <v>1632.2408009999992</v>
      </c>
      <c r="G14" s="123">
        <f t="shared" si="19"/>
        <v>1660.9070300675614</v>
      </c>
      <c r="H14" s="123">
        <f t="shared" si="19"/>
        <v>1689.8191154057743</v>
      </c>
      <c r="I14" s="123">
        <f t="shared" si="19"/>
        <v>1718.9787989216177</v>
      </c>
      <c r="J14" s="123">
        <f t="shared" si="19"/>
        <v>1748.3878337947344</v>
      </c>
      <c r="K14" s="123">
        <f t="shared" si="19"/>
        <v>1778.0479845466095</v>
      </c>
      <c r="L14" s="123">
        <f t="shared" si="19"/>
        <v>1807.9610271101581</v>
      </c>
      <c r="M14" s="123">
        <f t="shared" si="19"/>
        <v>1838.1287488997284</v>
      </c>
    </row>
    <row r="15" spans="1:13">
      <c r="A15" s="121" t="s">
        <v>276</v>
      </c>
      <c r="B15" s="122">
        <v>0.3</v>
      </c>
      <c r="C15" s="122">
        <v>0.3</v>
      </c>
      <c r="D15" s="122">
        <v>0.3</v>
      </c>
      <c r="E15" s="122">
        <v>0.3</v>
      </c>
      <c r="F15" s="122">
        <v>0.3</v>
      </c>
      <c r="G15" s="122">
        <v>0.3</v>
      </c>
      <c r="H15" s="122">
        <v>0.3</v>
      </c>
      <c r="I15" s="122">
        <v>0.3</v>
      </c>
      <c r="J15" s="122">
        <v>0.3</v>
      </c>
      <c r="K15" s="122">
        <v>0.3</v>
      </c>
      <c r="L15" s="122">
        <v>0.3</v>
      </c>
      <c r="M15" s="122">
        <v>0.3</v>
      </c>
    </row>
    <row r="16" spans="1:13">
      <c r="A16" s="119" t="s">
        <v>274</v>
      </c>
      <c r="B16" s="123">
        <f>B14*B15</f>
        <v>456</v>
      </c>
      <c r="C16" s="123">
        <f>C14*C15</f>
        <v>464.30999999999995</v>
      </c>
      <c r="D16" s="123">
        <f>D14*D15</f>
        <v>472.69169999999986</v>
      </c>
      <c r="E16" s="123">
        <f t="shared" ref="E16:M16" si="20">E14*E15</f>
        <v>481.14560924999978</v>
      </c>
      <c r="F16" s="123">
        <f t="shared" si="20"/>
        <v>489.67224029999977</v>
      </c>
      <c r="G16" s="123">
        <f t="shared" si="20"/>
        <v>498.27210902026843</v>
      </c>
      <c r="H16" s="123">
        <f t="shared" si="20"/>
        <v>506.94573462173224</v>
      </c>
      <c r="I16" s="123">
        <f t="shared" si="20"/>
        <v>515.6936396764853</v>
      </c>
      <c r="J16" s="123">
        <f t="shared" si="20"/>
        <v>524.51635013842031</v>
      </c>
      <c r="K16" s="123">
        <f t="shared" si="20"/>
        <v>533.41439536398286</v>
      </c>
      <c r="L16" s="123">
        <f t="shared" si="20"/>
        <v>542.38830813304742</v>
      </c>
      <c r="M16" s="123">
        <f t="shared" si="20"/>
        <v>551.43862466991845</v>
      </c>
    </row>
    <row r="17" spans="1:13">
      <c r="A17" s="128" t="s">
        <v>312</v>
      </c>
      <c r="B17" s="123">
        <f>0</f>
        <v>0</v>
      </c>
      <c r="C17" s="123">
        <f>B9</f>
        <v>1.9000000000000001</v>
      </c>
      <c r="D17" s="123">
        <f>C9</f>
        <v>10.060049999999999</v>
      </c>
      <c r="E17" s="123">
        <f>D9</f>
        <v>19.695487499999999</v>
      </c>
      <c r="F17" s="123">
        <f t="shared" ref="F17:M17" si="21">E9</f>
        <v>28.066827206249993</v>
      </c>
      <c r="G17" s="123">
        <f t="shared" si="21"/>
        <v>36.72541802249998</v>
      </c>
      <c r="H17" s="123">
        <f t="shared" si="21"/>
        <v>41.522675751689036</v>
      </c>
      <c r="I17" s="123">
        <f t="shared" si="21"/>
        <v>42.245477885144361</v>
      </c>
      <c r="J17" s="123">
        <f t="shared" si="21"/>
        <v>42.974469973040442</v>
      </c>
      <c r="K17" s="123">
        <f t="shared" si="21"/>
        <v>43.709695844868364</v>
      </c>
      <c r="L17" s="123">
        <f t="shared" si="21"/>
        <v>44.451199613665239</v>
      </c>
      <c r="M17" s="123">
        <f t="shared" si="21"/>
        <v>45.199025677753951</v>
      </c>
    </row>
    <row r="18" spans="1:13">
      <c r="A18" s="128" t="s">
        <v>313</v>
      </c>
      <c r="B18" s="123">
        <f>B16-B17</f>
        <v>456</v>
      </c>
      <c r="C18" s="123">
        <f>C16-C17</f>
        <v>462.40999999999997</v>
      </c>
      <c r="D18" s="123">
        <f>D16-D17</f>
        <v>462.63164999999987</v>
      </c>
      <c r="E18" s="123">
        <f>E16-E17</f>
        <v>461.45012174999977</v>
      </c>
      <c r="F18" s="123">
        <f t="shared" ref="F18:M18" si="22">F16-F17</f>
        <v>461.6054130937498</v>
      </c>
      <c r="G18" s="123">
        <f t="shared" si="22"/>
        <v>461.54669099776845</v>
      </c>
      <c r="H18" s="123">
        <f t="shared" si="22"/>
        <v>465.42305887004318</v>
      </c>
      <c r="I18" s="123">
        <f t="shared" si="22"/>
        <v>473.44816179134097</v>
      </c>
      <c r="J18" s="123">
        <f t="shared" si="22"/>
        <v>481.54188016537989</v>
      </c>
      <c r="K18" s="123">
        <f t="shared" si="22"/>
        <v>489.70469951911451</v>
      </c>
      <c r="L18" s="123">
        <f t="shared" si="22"/>
        <v>497.93710851938215</v>
      </c>
      <c r="M18" s="123">
        <f t="shared" si="22"/>
        <v>506.23959899216447</v>
      </c>
    </row>
    <row r="19" spans="1:13">
      <c r="A19" s="121" t="s">
        <v>305</v>
      </c>
      <c r="B19" s="122">
        <v>5.0000000000000001E-3</v>
      </c>
      <c r="C19" s="122">
        <v>0.02</v>
      </c>
      <c r="D19" s="122">
        <v>3.5000000000000003E-2</v>
      </c>
      <c r="E19" s="122">
        <v>7.0000000000000007E-2</v>
      </c>
      <c r="F19" s="122">
        <v>0.1</v>
      </c>
      <c r="G19" s="122">
        <v>0.125</v>
      </c>
      <c r="H19" s="122">
        <v>0.125</v>
      </c>
      <c r="I19" s="122">
        <v>0.125</v>
      </c>
      <c r="J19" s="122">
        <v>0.125</v>
      </c>
      <c r="K19" s="122">
        <v>0.125</v>
      </c>
      <c r="L19" s="122">
        <v>0.125</v>
      </c>
      <c r="M19" s="122">
        <v>0.125</v>
      </c>
    </row>
    <row r="20" spans="1:13">
      <c r="A20" s="119" t="s">
        <v>314</v>
      </c>
      <c r="B20" s="123">
        <f>B18*B19</f>
        <v>2.2800000000000002</v>
      </c>
      <c r="C20" s="123">
        <f>C18*C19</f>
        <v>9.2481999999999989</v>
      </c>
      <c r="D20" s="123">
        <f t="shared" ref="D20:M20" si="23">D18*D19</f>
        <v>16.192107749999998</v>
      </c>
      <c r="E20" s="123">
        <f t="shared" si="23"/>
        <v>32.301508522499986</v>
      </c>
      <c r="F20" s="123">
        <f>F18*F19</f>
        <v>46.160541309374985</v>
      </c>
      <c r="G20" s="123">
        <f t="shared" si="23"/>
        <v>57.693336374721056</v>
      </c>
      <c r="H20" s="123">
        <f t="shared" si="23"/>
        <v>58.177882358755397</v>
      </c>
      <c r="I20" s="123">
        <f t="shared" si="23"/>
        <v>59.181020223917621</v>
      </c>
      <c r="J20" s="123">
        <f t="shared" si="23"/>
        <v>60.192735020672487</v>
      </c>
      <c r="K20" s="123">
        <f t="shared" si="23"/>
        <v>61.213087439889314</v>
      </c>
      <c r="L20" s="123">
        <f t="shared" si="23"/>
        <v>62.242138564922769</v>
      </c>
      <c r="M20" s="123">
        <f t="shared" si="23"/>
        <v>63.279949874020559</v>
      </c>
    </row>
    <row r="21" spans="1:13">
      <c r="A21" s="121" t="s">
        <v>269</v>
      </c>
      <c r="B21" s="122">
        <v>0.75</v>
      </c>
      <c r="C21" s="122">
        <v>0.75</v>
      </c>
      <c r="D21" s="122">
        <v>0.75</v>
      </c>
      <c r="E21" s="122">
        <v>0.75</v>
      </c>
      <c r="F21" s="122">
        <v>0.75</v>
      </c>
      <c r="G21" s="122">
        <v>0.75</v>
      </c>
      <c r="H21" s="122">
        <v>0.75</v>
      </c>
      <c r="I21" s="122">
        <v>0.75</v>
      </c>
      <c r="J21" s="122">
        <v>0.75</v>
      </c>
      <c r="K21" s="122">
        <v>0.75</v>
      </c>
      <c r="L21" s="122">
        <v>0.75</v>
      </c>
      <c r="M21" s="122">
        <v>0.75</v>
      </c>
    </row>
    <row r="22" spans="1:13">
      <c r="A22" s="119" t="s">
        <v>257</v>
      </c>
      <c r="B22" s="124">
        <f>B11</f>
        <v>19000</v>
      </c>
      <c r="C22" s="124">
        <f t="shared" ref="C22:M22" si="24">C11</f>
        <v>19000</v>
      </c>
      <c r="D22" s="124">
        <f t="shared" si="24"/>
        <v>19000</v>
      </c>
      <c r="E22" s="124">
        <f t="shared" si="24"/>
        <v>19380</v>
      </c>
      <c r="F22" s="124">
        <f t="shared" si="24"/>
        <v>19767.599999999999</v>
      </c>
      <c r="G22" s="124">
        <f t="shared" si="24"/>
        <v>20162.951999999997</v>
      </c>
      <c r="H22" s="124">
        <f t="shared" si="24"/>
        <v>20566.211039999998</v>
      </c>
      <c r="I22" s="124">
        <f t="shared" si="24"/>
        <v>20977.535260799999</v>
      </c>
      <c r="J22" s="124">
        <f t="shared" si="24"/>
        <v>21397.085966015999</v>
      </c>
      <c r="K22" s="124">
        <f t="shared" si="24"/>
        <v>21825.027685336318</v>
      </c>
      <c r="L22" s="124">
        <f t="shared" si="24"/>
        <v>22261.528239043044</v>
      </c>
      <c r="M22" s="124">
        <f t="shared" si="24"/>
        <v>22706.758803823905</v>
      </c>
    </row>
    <row r="23" spans="1:13">
      <c r="A23" s="119" t="s">
        <v>258</v>
      </c>
      <c r="B23" s="125">
        <f>B12</f>
        <v>11400</v>
      </c>
      <c r="C23" s="125">
        <f t="shared" ref="C23:M23" si="25">C12</f>
        <v>11400</v>
      </c>
      <c r="D23" s="125">
        <f t="shared" si="25"/>
        <v>13300</v>
      </c>
      <c r="E23" s="125">
        <f t="shared" si="25"/>
        <v>13566</v>
      </c>
      <c r="F23" s="125">
        <f t="shared" si="25"/>
        <v>13837.319999999998</v>
      </c>
      <c r="G23" s="125">
        <f t="shared" si="25"/>
        <v>14114.066399999998</v>
      </c>
      <c r="H23" s="125">
        <f t="shared" si="25"/>
        <v>14396.347727999997</v>
      </c>
      <c r="I23" s="125">
        <f t="shared" si="25"/>
        <v>14684.274682559999</v>
      </c>
      <c r="J23" s="125">
        <f t="shared" si="25"/>
        <v>14977.960176211198</v>
      </c>
      <c r="K23" s="125">
        <f t="shared" si="25"/>
        <v>15277.51937973542</v>
      </c>
      <c r="L23" s="125">
        <f t="shared" si="25"/>
        <v>15583.069767330129</v>
      </c>
      <c r="M23" s="125">
        <f t="shared" si="25"/>
        <v>15894.731162676731</v>
      </c>
    </row>
    <row r="24" spans="1:13" ht="13.9">
      <c r="A24" s="129" t="s">
        <v>307</v>
      </c>
      <c r="B24" s="130">
        <f>B20*B21*B23/1000</f>
        <v>19.494000000000003</v>
      </c>
      <c r="C24" s="130">
        <f>C20*C21*C23/1000</f>
        <v>79.072109999999995</v>
      </c>
      <c r="D24" s="130">
        <f>D20*D21*D23/1000</f>
        <v>161.51627480624998</v>
      </c>
      <c r="E24" s="130">
        <f t="shared" ref="E24:M24" si="26">E20*E21*E23/1000</f>
        <v>328.65169846217611</v>
      </c>
      <c r="F24" s="130">
        <f>F20*F21*F23/1000</f>
        <v>479.05363610328044</v>
      </c>
      <c r="G24" s="130">
        <f t="shared" si="26"/>
        <v>610.71568532276103</v>
      </c>
      <c r="H24" s="130">
        <f t="shared" si="26"/>
        <v>628.16176838648948</v>
      </c>
      <c r="I24" s="130">
        <f t="shared" si="26"/>
        <v>651.7727677216086</v>
      </c>
      <c r="J24" s="130">
        <f t="shared" si="26"/>
        <v>676.17329102764916</v>
      </c>
      <c r="K24" s="130">
        <f t="shared" si="26"/>
        <v>701.38809724226098</v>
      </c>
      <c r="L24" s="130">
        <f t="shared" si="26"/>
        <v>727.44269079376556</v>
      </c>
      <c r="M24" s="130">
        <f t="shared" si="26"/>
        <v>754.36334342641214</v>
      </c>
    </row>
    <row r="25" spans="1:13" ht="13.9">
      <c r="A25" s="129" t="s">
        <v>308</v>
      </c>
      <c r="B25" s="130">
        <f>B13+B24</f>
        <v>35.739000000000004</v>
      </c>
      <c r="C25" s="130">
        <f t="shared" ref="C25:M25" si="27">C13+C24</f>
        <v>165.08553749999999</v>
      </c>
      <c r="D25" s="130">
        <f t="shared" si="27"/>
        <v>357.97876261874995</v>
      </c>
      <c r="E25" s="130">
        <f t="shared" si="27"/>
        <v>614.21763187216675</v>
      </c>
      <c r="F25" s="130">
        <f t="shared" si="27"/>
        <v>860.18965708660494</v>
      </c>
      <c r="G25" s="130">
        <f t="shared" si="27"/>
        <v>1050.2560373215176</v>
      </c>
      <c r="H25" s="130">
        <f t="shared" si="27"/>
        <v>1084.2972105640436</v>
      </c>
      <c r="I25" s="130">
        <f t="shared" si="27"/>
        <v>1125.0594587877731</v>
      </c>
      <c r="J25" s="130">
        <f t="shared" si="27"/>
        <v>1167.1848537867061</v>
      </c>
      <c r="K25" s="130">
        <f t="shared" si="27"/>
        <v>1210.7161449049547</v>
      </c>
      <c r="L25" s="130">
        <f t="shared" si="27"/>
        <v>1255.6973687076049</v>
      </c>
      <c r="M25" s="130">
        <f t="shared" si="27"/>
        <v>1302.1738866666967</v>
      </c>
    </row>
    <row r="27" spans="1:13" ht="13.9">
      <c r="A27" s="117" t="s">
        <v>266</v>
      </c>
      <c r="B27" s="118" t="s">
        <v>243</v>
      </c>
      <c r="C27" s="118" t="s">
        <v>245</v>
      </c>
      <c r="D27" s="118" t="s">
        <v>251</v>
      </c>
      <c r="E27" s="118" t="s">
        <v>252</v>
      </c>
      <c r="F27" s="118" t="s">
        <v>260</v>
      </c>
      <c r="G27" s="118" t="s">
        <v>261</v>
      </c>
      <c r="H27" s="118" t="s">
        <v>262</v>
      </c>
      <c r="I27" s="118" t="s">
        <v>263</v>
      </c>
      <c r="J27" s="118" t="s">
        <v>264</v>
      </c>
      <c r="K27" s="118" t="s">
        <v>302</v>
      </c>
      <c r="L27" s="118" t="s">
        <v>303</v>
      </c>
      <c r="M27" s="118" t="s">
        <v>304</v>
      </c>
    </row>
    <row r="28" spans="1:13">
      <c r="A28" s="119" t="s">
        <v>259</v>
      </c>
      <c r="B28" s="120">
        <v>2350</v>
      </c>
      <c r="C28" s="120">
        <f>B28*1.005</f>
        <v>2361.7499999999995</v>
      </c>
      <c r="D28" s="120">
        <f>C28*1.005</f>
        <v>2373.5587499999992</v>
      </c>
      <c r="E28" s="120">
        <f t="shared" ref="E28" si="28">D28*1.005</f>
        <v>2385.4265437499989</v>
      </c>
      <c r="F28" s="120">
        <f t="shared" ref="F28" si="29">E28*1.005</f>
        <v>2397.3536764687487</v>
      </c>
      <c r="G28" s="120">
        <f t="shared" ref="G28" si="30">F28*1.005</f>
        <v>2409.3404448510923</v>
      </c>
      <c r="H28" s="120">
        <f t="shared" ref="H28" si="31">G28*1.005</f>
        <v>2421.3871470753475</v>
      </c>
      <c r="I28" s="120">
        <f t="shared" ref="I28" si="32">H28*1.005</f>
        <v>2433.4940828107237</v>
      </c>
      <c r="J28" s="120">
        <f t="shared" ref="J28" si="33">I28*1.005</f>
        <v>2445.661553224777</v>
      </c>
      <c r="K28" s="120">
        <f t="shared" ref="K28" si="34">J28*1.005</f>
        <v>2457.8898609909006</v>
      </c>
      <c r="L28" s="120">
        <f t="shared" ref="L28" si="35">K28*1.005</f>
        <v>2470.179310295855</v>
      </c>
      <c r="M28" s="120">
        <f t="shared" ref="M28" si="36">L28*1.005</f>
        <v>2482.5302068473338</v>
      </c>
    </row>
    <row r="29" spans="1:13">
      <c r="A29" s="121" t="s">
        <v>267</v>
      </c>
      <c r="B29" s="122">
        <f>B4</f>
        <v>0.76</v>
      </c>
      <c r="C29" s="122">
        <f>B29+0.01</f>
        <v>0.77</v>
      </c>
      <c r="D29" s="122">
        <f>C29+0.01</f>
        <v>0.78</v>
      </c>
      <c r="E29" s="122">
        <f t="shared" ref="E29:M29" si="37">D29+0.01</f>
        <v>0.79</v>
      </c>
      <c r="F29" s="122">
        <f t="shared" si="37"/>
        <v>0.8</v>
      </c>
      <c r="G29" s="122">
        <f t="shared" si="37"/>
        <v>0.81</v>
      </c>
      <c r="H29" s="122">
        <f t="shared" si="37"/>
        <v>0.82000000000000006</v>
      </c>
      <c r="I29" s="122">
        <f t="shared" si="37"/>
        <v>0.83000000000000007</v>
      </c>
      <c r="J29" s="122">
        <f t="shared" si="37"/>
        <v>0.84000000000000008</v>
      </c>
      <c r="K29" s="122">
        <f t="shared" si="37"/>
        <v>0.85000000000000009</v>
      </c>
      <c r="L29" s="122">
        <f t="shared" si="37"/>
        <v>0.8600000000000001</v>
      </c>
      <c r="M29" s="122">
        <f t="shared" si="37"/>
        <v>0.87000000000000011</v>
      </c>
    </row>
    <row r="30" spans="1:13">
      <c r="A30" s="119" t="s">
        <v>268</v>
      </c>
      <c r="B30" s="123">
        <f>B28*B29</f>
        <v>1786</v>
      </c>
      <c r="C30" s="123">
        <f>C28*C29</f>
        <v>1818.5474999999997</v>
      </c>
      <c r="D30" s="123">
        <f>D28*D29</f>
        <v>1851.3758249999994</v>
      </c>
      <c r="E30" s="123">
        <f t="shared" ref="E30:M30" si="38">E28*E29</f>
        <v>1884.4869695624993</v>
      </c>
      <c r="F30" s="123">
        <f t="shared" si="38"/>
        <v>1917.8829411749991</v>
      </c>
      <c r="G30" s="123">
        <f t="shared" si="38"/>
        <v>1951.5657603293848</v>
      </c>
      <c r="H30" s="123">
        <f t="shared" si="38"/>
        <v>1985.5374606017851</v>
      </c>
      <c r="I30" s="123">
        <f t="shared" si="38"/>
        <v>2019.8000887329008</v>
      </c>
      <c r="J30" s="123">
        <f t="shared" si="38"/>
        <v>2054.3557047088129</v>
      </c>
      <c r="K30" s="123">
        <f t="shared" si="38"/>
        <v>2089.2063818422657</v>
      </c>
      <c r="L30" s="123">
        <f t="shared" si="38"/>
        <v>2124.3542068544357</v>
      </c>
      <c r="M30" s="123">
        <f t="shared" si="38"/>
        <v>2159.8012799571807</v>
      </c>
    </row>
    <row r="31" spans="1:13">
      <c r="A31" s="121" t="s">
        <v>272</v>
      </c>
      <c r="B31" s="122">
        <f t="shared" ref="B31:M31" si="39">B6</f>
        <v>0.5</v>
      </c>
      <c r="C31" s="122">
        <f t="shared" si="39"/>
        <v>0.5</v>
      </c>
      <c r="D31" s="122">
        <f t="shared" si="39"/>
        <v>0.5</v>
      </c>
      <c r="E31" s="122">
        <f t="shared" si="39"/>
        <v>0.5</v>
      </c>
      <c r="F31" s="122">
        <f t="shared" si="39"/>
        <v>0.5</v>
      </c>
      <c r="G31" s="122">
        <f t="shared" si="39"/>
        <v>0.5</v>
      </c>
      <c r="H31" s="122">
        <f t="shared" si="39"/>
        <v>0.5</v>
      </c>
      <c r="I31" s="122">
        <f t="shared" si="39"/>
        <v>0.5</v>
      </c>
      <c r="J31" s="122">
        <f t="shared" si="39"/>
        <v>0.5</v>
      </c>
      <c r="K31" s="122">
        <f t="shared" si="39"/>
        <v>0.5</v>
      </c>
      <c r="L31" s="122">
        <f t="shared" si="39"/>
        <v>0.5</v>
      </c>
      <c r="M31" s="122">
        <f t="shared" si="39"/>
        <v>0.5</v>
      </c>
    </row>
    <row r="32" spans="1:13">
      <c r="A32" s="119" t="s">
        <v>273</v>
      </c>
      <c r="B32" s="123">
        <f>B30*B31</f>
        <v>893</v>
      </c>
      <c r="C32" s="123">
        <f>C30*C31</f>
        <v>909.27374999999984</v>
      </c>
      <c r="D32" s="123">
        <f t="shared" ref="D32:M32" si="40">D30*D31</f>
        <v>925.6879124999997</v>
      </c>
      <c r="E32" s="123">
        <f t="shared" si="40"/>
        <v>942.24348478124966</v>
      </c>
      <c r="F32" s="123">
        <f t="shared" si="40"/>
        <v>958.94147058749957</v>
      </c>
      <c r="G32" s="123">
        <f t="shared" si="40"/>
        <v>975.78288016469241</v>
      </c>
      <c r="H32" s="123">
        <f t="shared" si="40"/>
        <v>992.76873030089257</v>
      </c>
      <c r="I32" s="123">
        <f t="shared" si="40"/>
        <v>1009.9000443664504</v>
      </c>
      <c r="J32" s="123">
        <f t="shared" si="40"/>
        <v>1027.1778523544065</v>
      </c>
      <c r="K32" s="123">
        <f t="shared" si="40"/>
        <v>1044.6031909211329</v>
      </c>
      <c r="L32" s="123">
        <f t="shared" si="40"/>
        <v>1062.1771034272178</v>
      </c>
      <c r="M32" s="123">
        <f t="shared" si="40"/>
        <v>1079.9006399785903</v>
      </c>
    </row>
    <row r="33" spans="1:13">
      <c r="A33" s="121" t="s">
        <v>305</v>
      </c>
      <c r="B33" s="122">
        <v>0</v>
      </c>
      <c r="C33" s="122">
        <v>3.5000000000000001E-3</v>
      </c>
      <c r="D33" s="122">
        <v>0.01</v>
      </c>
      <c r="E33" s="122">
        <v>0.03</v>
      </c>
      <c r="F33" s="122">
        <v>0.05</v>
      </c>
      <c r="G33" s="122">
        <v>0.05</v>
      </c>
      <c r="H33" s="122">
        <v>0.05</v>
      </c>
      <c r="I33" s="122">
        <v>0.05</v>
      </c>
      <c r="J33" s="122">
        <v>0.05</v>
      </c>
      <c r="K33" s="122">
        <v>0.05</v>
      </c>
      <c r="L33" s="122">
        <v>0.05</v>
      </c>
      <c r="M33" s="122">
        <v>0.05</v>
      </c>
    </row>
    <row r="34" spans="1:13">
      <c r="A34" s="119" t="s">
        <v>317</v>
      </c>
      <c r="B34" s="123">
        <f>B32*B33</f>
        <v>0</v>
      </c>
      <c r="C34" s="123">
        <f>C32*C33</f>
        <v>3.1824581249999997</v>
      </c>
      <c r="D34" s="123">
        <f>D32*D33</f>
        <v>9.2568791249999975</v>
      </c>
      <c r="E34" s="123">
        <f t="shared" ref="E34:M34" si="41">E32*E33</f>
        <v>28.26730454343749</v>
      </c>
      <c r="F34" s="123">
        <f t="shared" si="41"/>
        <v>47.947073529374983</v>
      </c>
      <c r="G34" s="123">
        <f t="shared" si="41"/>
        <v>48.789144008234622</v>
      </c>
      <c r="H34" s="123">
        <f t="shared" si="41"/>
        <v>49.638436515044631</v>
      </c>
      <c r="I34" s="123">
        <f t="shared" si="41"/>
        <v>50.495002218322526</v>
      </c>
      <c r="J34" s="123">
        <f t="shared" si="41"/>
        <v>51.358892617720329</v>
      </c>
      <c r="K34" s="123">
        <f t="shared" si="41"/>
        <v>52.230159546056647</v>
      </c>
      <c r="L34" s="123">
        <f t="shared" si="41"/>
        <v>53.108855171360894</v>
      </c>
      <c r="M34" s="123">
        <f t="shared" si="41"/>
        <v>53.99503199892952</v>
      </c>
    </row>
    <row r="35" spans="1:13">
      <c r="A35" s="121" t="s">
        <v>269</v>
      </c>
      <c r="B35" s="122">
        <f t="shared" ref="B35:M35" si="42">B10</f>
        <v>0.75</v>
      </c>
      <c r="C35" s="122">
        <f t="shared" si="42"/>
        <v>0.75</v>
      </c>
      <c r="D35" s="122">
        <f t="shared" si="42"/>
        <v>0.75</v>
      </c>
      <c r="E35" s="122">
        <f t="shared" si="42"/>
        <v>0.75</v>
      </c>
      <c r="F35" s="122">
        <f t="shared" si="42"/>
        <v>0.75</v>
      </c>
      <c r="G35" s="122">
        <f t="shared" si="42"/>
        <v>0.75</v>
      </c>
      <c r="H35" s="122">
        <f t="shared" si="42"/>
        <v>0.75</v>
      </c>
      <c r="I35" s="122">
        <f t="shared" si="42"/>
        <v>0.75</v>
      </c>
      <c r="J35" s="122">
        <f t="shared" si="42"/>
        <v>0.75</v>
      </c>
      <c r="K35" s="122">
        <f t="shared" si="42"/>
        <v>0.75</v>
      </c>
      <c r="L35" s="122">
        <f t="shared" si="42"/>
        <v>0.75</v>
      </c>
      <c r="M35" s="122">
        <f t="shared" si="42"/>
        <v>0.75</v>
      </c>
    </row>
    <row r="36" spans="1:13">
      <c r="A36" s="119" t="s">
        <v>257</v>
      </c>
      <c r="B36" s="125">
        <f>B11*0.7</f>
        <v>13300</v>
      </c>
      <c r="C36" s="125">
        <f>B36</f>
        <v>13300</v>
      </c>
      <c r="D36" s="125">
        <f>C36</f>
        <v>13300</v>
      </c>
      <c r="E36" s="125">
        <f t="shared" ref="E36:M36" si="43">D36</f>
        <v>13300</v>
      </c>
      <c r="F36" s="125">
        <f t="shared" si="43"/>
        <v>13300</v>
      </c>
      <c r="G36" s="125">
        <f t="shared" si="43"/>
        <v>13300</v>
      </c>
      <c r="H36" s="125">
        <f t="shared" si="43"/>
        <v>13300</v>
      </c>
      <c r="I36" s="125">
        <f t="shared" si="43"/>
        <v>13300</v>
      </c>
      <c r="J36" s="125">
        <f t="shared" si="43"/>
        <v>13300</v>
      </c>
      <c r="K36" s="125">
        <f t="shared" si="43"/>
        <v>13300</v>
      </c>
      <c r="L36" s="125">
        <f t="shared" si="43"/>
        <v>13300</v>
      </c>
      <c r="M36" s="125">
        <f t="shared" si="43"/>
        <v>13300</v>
      </c>
    </row>
    <row r="37" spans="1:13" ht="13.9">
      <c r="A37" s="126" t="s">
        <v>309</v>
      </c>
      <c r="B37" s="127">
        <f>B34*B35*B36/1000</f>
        <v>0</v>
      </c>
      <c r="C37" s="127">
        <f>C34*C35*C36/1000</f>
        <v>31.745019796874995</v>
      </c>
      <c r="D37" s="127">
        <f>D34*D35*D36/1000</f>
        <v>92.337369271874977</v>
      </c>
      <c r="E37" s="127">
        <f t="shared" ref="E37:M37" si="44">E34*E35*E36/1000</f>
        <v>281.96636282078896</v>
      </c>
      <c r="F37" s="127">
        <f t="shared" si="44"/>
        <v>478.27205845551543</v>
      </c>
      <c r="G37" s="127">
        <f t="shared" si="44"/>
        <v>486.67171148214032</v>
      </c>
      <c r="H37" s="127">
        <f t="shared" si="44"/>
        <v>495.14340423757011</v>
      </c>
      <c r="I37" s="127">
        <f t="shared" si="44"/>
        <v>503.68764712776721</v>
      </c>
      <c r="J37" s="127">
        <f t="shared" si="44"/>
        <v>512.30495386176028</v>
      </c>
      <c r="K37" s="127">
        <f t="shared" si="44"/>
        <v>520.99584147191501</v>
      </c>
      <c r="L37" s="127">
        <f t="shared" si="44"/>
        <v>529.76083033432496</v>
      </c>
      <c r="M37" s="127">
        <f t="shared" si="44"/>
        <v>538.60044418932193</v>
      </c>
    </row>
    <row r="38" spans="1:13">
      <c r="A38" s="119" t="s">
        <v>268</v>
      </c>
      <c r="B38" s="123">
        <f>B30</f>
        <v>1786</v>
      </c>
      <c r="C38" s="123">
        <f t="shared" ref="C38:M38" si="45">C30</f>
        <v>1818.5474999999997</v>
      </c>
      <c r="D38" s="123">
        <f t="shared" si="45"/>
        <v>1851.3758249999994</v>
      </c>
      <c r="E38" s="123">
        <f t="shared" si="45"/>
        <v>1884.4869695624993</v>
      </c>
      <c r="F38" s="123">
        <f t="shared" si="45"/>
        <v>1917.8829411749991</v>
      </c>
      <c r="G38" s="123">
        <f t="shared" si="45"/>
        <v>1951.5657603293848</v>
      </c>
      <c r="H38" s="123">
        <f t="shared" si="45"/>
        <v>1985.5374606017851</v>
      </c>
      <c r="I38" s="123">
        <f t="shared" si="45"/>
        <v>2019.8000887329008</v>
      </c>
      <c r="J38" s="123">
        <f t="shared" si="45"/>
        <v>2054.3557047088129</v>
      </c>
      <c r="K38" s="123">
        <f t="shared" si="45"/>
        <v>2089.2063818422657</v>
      </c>
      <c r="L38" s="123">
        <f t="shared" si="45"/>
        <v>2124.3542068544357</v>
      </c>
      <c r="M38" s="123">
        <f t="shared" si="45"/>
        <v>2159.8012799571807</v>
      </c>
    </row>
    <row r="39" spans="1:13">
      <c r="A39" s="121" t="s">
        <v>276</v>
      </c>
      <c r="B39" s="122">
        <f t="shared" ref="B39:M39" si="46">B15</f>
        <v>0.3</v>
      </c>
      <c r="C39" s="122">
        <f t="shared" si="46"/>
        <v>0.3</v>
      </c>
      <c r="D39" s="122">
        <f t="shared" si="46"/>
        <v>0.3</v>
      </c>
      <c r="E39" s="122">
        <f t="shared" si="46"/>
        <v>0.3</v>
      </c>
      <c r="F39" s="122">
        <f t="shared" si="46"/>
        <v>0.3</v>
      </c>
      <c r="G39" s="122">
        <f t="shared" si="46"/>
        <v>0.3</v>
      </c>
      <c r="H39" s="122">
        <f t="shared" si="46"/>
        <v>0.3</v>
      </c>
      <c r="I39" s="122">
        <f t="shared" si="46"/>
        <v>0.3</v>
      </c>
      <c r="J39" s="122">
        <f t="shared" si="46"/>
        <v>0.3</v>
      </c>
      <c r="K39" s="122">
        <f t="shared" si="46"/>
        <v>0.3</v>
      </c>
      <c r="L39" s="122">
        <f t="shared" si="46"/>
        <v>0.3</v>
      </c>
      <c r="M39" s="122">
        <f t="shared" si="46"/>
        <v>0.3</v>
      </c>
    </row>
    <row r="40" spans="1:13">
      <c r="A40" s="119" t="s">
        <v>274</v>
      </c>
      <c r="B40" s="123">
        <f>B38*B39</f>
        <v>535.79999999999995</v>
      </c>
      <c r="C40" s="123">
        <f>C38*C39</f>
        <v>545.5642499999999</v>
      </c>
      <c r="D40" s="123">
        <f>D38*D39</f>
        <v>555.4127474999998</v>
      </c>
      <c r="E40" s="123">
        <f t="shared" ref="E40" si="47">E38*E39</f>
        <v>565.3460908687498</v>
      </c>
      <c r="F40" s="123">
        <f t="shared" ref="F40" si="48">F38*F39</f>
        <v>575.36488235249976</v>
      </c>
      <c r="G40" s="123">
        <f t="shared" ref="G40" si="49">G38*G39</f>
        <v>585.46972809881538</v>
      </c>
      <c r="H40" s="123">
        <f t="shared" ref="H40" si="50">H38*H39</f>
        <v>595.66123818053552</v>
      </c>
      <c r="I40" s="123">
        <f t="shared" ref="I40" si="51">I38*I39</f>
        <v>605.9400266198702</v>
      </c>
      <c r="J40" s="123">
        <f t="shared" ref="J40" si="52">J38*J39</f>
        <v>616.30671141264384</v>
      </c>
      <c r="K40" s="123">
        <f t="shared" ref="K40" si="53">K38*K39</f>
        <v>626.76191455267974</v>
      </c>
      <c r="L40" s="123">
        <f t="shared" ref="L40" si="54">L38*L39</f>
        <v>637.30626205633064</v>
      </c>
      <c r="M40" s="123">
        <f t="shared" ref="M40" si="55">M38*M39</f>
        <v>647.94038398715418</v>
      </c>
    </row>
    <row r="41" spans="1:13">
      <c r="A41" s="128" t="s">
        <v>312</v>
      </c>
      <c r="B41" s="123">
        <f>0</f>
        <v>0</v>
      </c>
      <c r="C41" s="123">
        <f>B34</f>
        <v>0</v>
      </c>
      <c r="D41" s="123">
        <f>C34</f>
        <v>3.1824581249999997</v>
      </c>
      <c r="E41" s="123">
        <f>D34</f>
        <v>9.2568791249999975</v>
      </c>
      <c r="F41" s="123">
        <f>E34</f>
        <v>28.26730454343749</v>
      </c>
      <c r="G41" s="123">
        <f t="shared" ref="G41:M41" si="56">F34</f>
        <v>47.947073529374983</v>
      </c>
      <c r="H41" s="123">
        <f t="shared" si="56"/>
        <v>48.789144008234622</v>
      </c>
      <c r="I41" s="123">
        <f t="shared" si="56"/>
        <v>49.638436515044631</v>
      </c>
      <c r="J41" s="123">
        <f t="shared" si="56"/>
        <v>50.495002218322526</v>
      </c>
      <c r="K41" s="123">
        <f t="shared" si="56"/>
        <v>51.358892617720329</v>
      </c>
      <c r="L41" s="123">
        <f t="shared" si="56"/>
        <v>52.230159546056647</v>
      </c>
      <c r="M41" s="123">
        <f t="shared" si="56"/>
        <v>53.108855171360894</v>
      </c>
    </row>
    <row r="42" spans="1:13">
      <c r="A42" s="128" t="s">
        <v>313</v>
      </c>
      <c r="B42" s="123">
        <f>B40-B41</f>
        <v>535.79999999999995</v>
      </c>
      <c r="C42" s="123">
        <f>C40-C41</f>
        <v>545.5642499999999</v>
      </c>
      <c r="D42" s="123">
        <f>D40-D41</f>
        <v>552.23028937499976</v>
      </c>
      <c r="E42" s="123">
        <f t="shared" ref="E42" si="57">E40-E41</f>
        <v>556.08921174374984</v>
      </c>
      <c r="F42" s="123">
        <f t="shared" ref="F42" si="58">F40-F41</f>
        <v>547.09757780906227</v>
      </c>
      <c r="G42" s="123">
        <f t="shared" ref="G42" si="59">G40-G41</f>
        <v>537.52265456944042</v>
      </c>
      <c r="H42" s="123">
        <f t="shared" ref="H42" si="60">H40-H41</f>
        <v>546.87209417230088</v>
      </c>
      <c r="I42" s="123">
        <f t="shared" ref="I42" si="61">I40-I41</f>
        <v>556.30159010482555</v>
      </c>
      <c r="J42" s="123">
        <f t="shared" ref="J42" si="62">J40-J41</f>
        <v>565.81170919432134</v>
      </c>
      <c r="K42" s="123">
        <f t="shared" ref="K42" si="63">K40-K41</f>
        <v>575.40302193495938</v>
      </c>
      <c r="L42" s="123">
        <f t="shared" ref="L42" si="64">L40-L41</f>
        <v>585.07610251027404</v>
      </c>
      <c r="M42" s="123">
        <f t="shared" ref="M42" si="65">M40-M41</f>
        <v>594.83152881579326</v>
      </c>
    </row>
    <row r="43" spans="1:13">
      <c r="A43" s="121" t="s">
        <v>305</v>
      </c>
      <c r="B43" s="122">
        <v>0</v>
      </c>
      <c r="C43" s="122">
        <v>3.0000000000000001E-3</v>
      </c>
      <c r="D43" s="122">
        <v>1.2500000000000001E-2</v>
      </c>
      <c r="E43" s="122">
        <v>0.02</v>
      </c>
      <c r="F43" s="122">
        <v>3.5000000000000003E-2</v>
      </c>
      <c r="G43" s="122">
        <v>0.05</v>
      </c>
      <c r="H43" s="122">
        <v>0.05</v>
      </c>
      <c r="I43" s="122">
        <v>0.05</v>
      </c>
      <c r="J43" s="122">
        <v>0.05</v>
      </c>
      <c r="K43" s="122">
        <v>0.05</v>
      </c>
      <c r="L43" s="122">
        <v>0.05</v>
      </c>
      <c r="M43" s="122">
        <v>0.05</v>
      </c>
    </row>
    <row r="44" spans="1:13">
      <c r="A44" s="119" t="s">
        <v>314</v>
      </c>
      <c r="B44" s="123">
        <f t="shared" ref="B44:M44" si="66">B42*B43</f>
        <v>0</v>
      </c>
      <c r="C44" s="123">
        <f t="shared" si="66"/>
        <v>1.6366927499999997</v>
      </c>
      <c r="D44" s="123">
        <f t="shared" si="66"/>
        <v>6.902878617187497</v>
      </c>
      <c r="E44" s="123">
        <f t="shared" si="66"/>
        <v>11.121784234874998</v>
      </c>
      <c r="F44" s="123">
        <f t="shared" si="66"/>
        <v>19.14841522331718</v>
      </c>
      <c r="G44" s="123">
        <f t="shared" si="66"/>
        <v>26.876132728472022</v>
      </c>
      <c r="H44" s="123">
        <f t="shared" si="66"/>
        <v>27.343604708615047</v>
      </c>
      <c r="I44" s="123">
        <f t="shared" si="66"/>
        <v>27.815079505241279</v>
      </c>
      <c r="J44" s="123">
        <f t="shared" si="66"/>
        <v>28.29058545971607</v>
      </c>
      <c r="K44" s="123">
        <f t="shared" si="66"/>
        <v>28.77015109674797</v>
      </c>
      <c r="L44" s="123">
        <f t="shared" si="66"/>
        <v>29.253805125513704</v>
      </c>
      <c r="M44" s="123">
        <f t="shared" si="66"/>
        <v>29.741576440789665</v>
      </c>
    </row>
    <row r="45" spans="1:13">
      <c r="A45" s="121" t="s">
        <v>269</v>
      </c>
      <c r="B45" s="122">
        <v>0.75</v>
      </c>
      <c r="C45" s="122">
        <v>0.75</v>
      </c>
      <c r="D45" s="122">
        <v>0.75</v>
      </c>
      <c r="E45" s="122">
        <v>0.75</v>
      </c>
      <c r="F45" s="122">
        <v>0.75</v>
      </c>
      <c r="G45" s="122">
        <v>0.75</v>
      </c>
      <c r="H45" s="122">
        <v>0.75</v>
      </c>
      <c r="I45" s="122">
        <v>0.75</v>
      </c>
      <c r="J45" s="122">
        <v>0.75</v>
      </c>
      <c r="K45" s="122">
        <v>0.75</v>
      </c>
      <c r="L45" s="122">
        <v>0.75</v>
      </c>
      <c r="M45" s="122">
        <v>0.75</v>
      </c>
    </row>
    <row r="46" spans="1:13">
      <c r="A46" s="119" t="s">
        <v>257</v>
      </c>
      <c r="B46" s="124">
        <f>B22*0.7</f>
        <v>13300</v>
      </c>
      <c r="C46" s="124">
        <f>B46</f>
        <v>13300</v>
      </c>
      <c r="D46" s="124">
        <f t="shared" ref="D46:M46" si="67">C46</f>
        <v>13300</v>
      </c>
      <c r="E46" s="124">
        <f t="shared" si="67"/>
        <v>13300</v>
      </c>
      <c r="F46" s="124">
        <f t="shared" si="67"/>
        <v>13300</v>
      </c>
      <c r="G46" s="124">
        <f t="shared" si="67"/>
        <v>13300</v>
      </c>
      <c r="H46" s="124">
        <f t="shared" si="67"/>
        <v>13300</v>
      </c>
      <c r="I46" s="124">
        <f t="shared" si="67"/>
        <v>13300</v>
      </c>
      <c r="J46" s="124">
        <f t="shared" si="67"/>
        <v>13300</v>
      </c>
      <c r="K46" s="124">
        <f t="shared" si="67"/>
        <v>13300</v>
      </c>
      <c r="L46" s="124">
        <f t="shared" si="67"/>
        <v>13300</v>
      </c>
      <c r="M46" s="124">
        <f t="shared" si="67"/>
        <v>13300</v>
      </c>
    </row>
    <row r="47" spans="1:13" ht="13.9">
      <c r="A47" s="129" t="s">
        <v>307</v>
      </c>
      <c r="B47" s="127">
        <f>B44*B45*B46/1000</f>
        <v>0</v>
      </c>
      <c r="C47" s="127">
        <f>C44*C45*C46/1000</f>
        <v>16.326010181249995</v>
      </c>
      <c r="D47" s="127">
        <f>D44*D45*D46/1000</f>
        <v>68.856214206445273</v>
      </c>
      <c r="E47" s="127">
        <f t="shared" ref="E47:M47" si="68">E44*E45*E46/1000</f>
        <v>110.93979774287811</v>
      </c>
      <c r="F47" s="127">
        <f t="shared" si="68"/>
        <v>191.00544185258889</v>
      </c>
      <c r="G47" s="127">
        <f t="shared" si="68"/>
        <v>268.08942396650849</v>
      </c>
      <c r="H47" s="127">
        <f t="shared" si="68"/>
        <v>272.75245696843507</v>
      </c>
      <c r="I47" s="127">
        <f t="shared" si="68"/>
        <v>277.45541806478178</v>
      </c>
      <c r="J47" s="127">
        <f t="shared" si="68"/>
        <v>282.19858996066779</v>
      </c>
      <c r="K47" s="127">
        <f t="shared" si="68"/>
        <v>286.98225719006103</v>
      </c>
      <c r="L47" s="127">
        <f t="shared" si="68"/>
        <v>291.80670612699919</v>
      </c>
      <c r="M47" s="127">
        <f t="shared" si="68"/>
        <v>296.67222499687688</v>
      </c>
    </row>
    <row r="48" spans="1:13" ht="13.9">
      <c r="A48" s="129" t="s">
        <v>310</v>
      </c>
      <c r="B48" s="127">
        <f>B47+B37</f>
        <v>0</v>
      </c>
      <c r="C48" s="127">
        <f t="shared" ref="C48:M48" si="69">C47+C37</f>
        <v>48.07102997812499</v>
      </c>
      <c r="D48" s="127">
        <f t="shared" si="69"/>
        <v>161.19358347832025</v>
      </c>
      <c r="E48" s="127">
        <f t="shared" si="69"/>
        <v>392.90616056366707</v>
      </c>
      <c r="F48" s="127">
        <f t="shared" si="69"/>
        <v>669.27750030810432</v>
      </c>
      <c r="G48" s="127">
        <f t="shared" si="69"/>
        <v>754.76113544864882</v>
      </c>
      <c r="H48" s="127">
        <f t="shared" si="69"/>
        <v>767.89586120600518</v>
      </c>
      <c r="I48" s="127">
        <f t="shared" si="69"/>
        <v>781.14306519254899</v>
      </c>
      <c r="J48" s="127">
        <f t="shared" si="69"/>
        <v>794.50354382242813</v>
      </c>
      <c r="K48" s="127">
        <f t="shared" si="69"/>
        <v>807.97809866197599</v>
      </c>
      <c r="L48" s="127">
        <f t="shared" si="69"/>
        <v>821.56753646132415</v>
      </c>
      <c r="M48" s="127">
        <f t="shared" si="69"/>
        <v>835.27266918619875</v>
      </c>
    </row>
    <row r="49" spans="1:13" ht="13.9">
      <c r="A49" s="129" t="s">
        <v>315</v>
      </c>
      <c r="B49" s="127">
        <f>B48*0.2</f>
        <v>0</v>
      </c>
      <c r="C49" s="127">
        <f t="shared" ref="C49:M49" si="70">C48*0.2</f>
        <v>9.6142059956249994</v>
      </c>
      <c r="D49" s="127">
        <f t="shared" si="70"/>
        <v>32.238716695664053</v>
      </c>
      <c r="E49" s="127">
        <f t="shared" si="70"/>
        <v>78.581232112733417</v>
      </c>
      <c r="F49" s="127">
        <f t="shared" si="70"/>
        <v>133.85550006162086</v>
      </c>
      <c r="G49" s="127">
        <f t="shared" si="70"/>
        <v>150.95222708972977</v>
      </c>
      <c r="H49" s="127">
        <f t="shared" si="70"/>
        <v>153.57917224120104</v>
      </c>
      <c r="I49" s="127">
        <f t="shared" si="70"/>
        <v>156.22861303850982</v>
      </c>
      <c r="J49" s="127">
        <f t="shared" si="70"/>
        <v>158.90070876448564</v>
      </c>
      <c r="K49" s="127">
        <f t="shared" si="70"/>
        <v>161.59561973239522</v>
      </c>
      <c r="L49" s="127">
        <f t="shared" si="70"/>
        <v>164.31350729226483</v>
      </c>
      <c r="M49" s="127">
        <f t="shared" si="70"/>
        <v>167.05453383723977</v>
      </c>
    </row>
    <row r="50" spans="1:13" ht="13.9">
      <c r="A50" s="131" t="s">
        <v>316</v>
      </c>
      <c r="B50" s="132">
        <f>B25+B49</f>
        <v>35.739000000000004</v>
      </c>
      <c r="C50" s="132">
        <f t="shared" ref="C50:M50" si="71">C25+C49</f>
        <v>174.699743495625</v>
      </c>
      <c r="D50" s="132">
        <f t="shared" si="71"/>
        <v>390.21747931441399</v>
      </c>
      <c r="E50" s="132">
        <f t="shared" si="71"/>
        <v>692.79886398490021</v>
      </c>
      <c r="F50" s="132">
        <f t="shared" si="71"/>
        <v>994.04515714822583</v>
      </c>
      <c r="G50" s="132">
        <f t="shared" si="71"/>
        <v>1201.2082644112475</v>
      </c>
      <c r="H50" s="132">
        <f t="shared" si="71"/>
        <v>1237.8763828052447</v>
      </c>
      <c r="I50" s="132">
        <f t="shared" si="71"/>
        <v>1281.2880718262829</v>
      </c>
      <c r="J50" s="132">
        <f t="shared" si="71"/>
        <v>1326.0855625511917</v>
      </c>
      <c r="K50" s="132">
        <f t="shared" si="71"/>
        <v>1372.3117646373498</v>
      </c>
      <c r="L50" s="132">
        <f t="shared" si="71"/>
        <v>1420.0108759998698</v>
      </c>
      <c r="M50" s="132">
        <f t="shared" si="71"/>
        <v>1469.2284205039364</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2ADA-AD75-4D0C-90EB-6FFC620A71FE}">
  <dimension ref="B1:R63"/>
  <sheetViews>
    <sheetView zoomScale="90" zoomScaleNormal="90" workbookViewId="0"/>
  </sheetViews>
  <sheetFormatPr defaultColWidth="9.140625" defaultRowHeight="11.65"/>
  <cols>
    <col min="1" max="1" width="0.42578125" style="133" customWidth="1"/>
    <col min="2" max="2" width="36.5703125" style="133" customWidth="1"/>
    <col min="3" max="3" width="10" style="133" customWidth="1"/>
    <col min="4" max="4" width="9" style="133" customWidth="1"/>
    <col min="5" max="11" width="8.42578125" style="133" customWidth="1"/>
    <col min="12" max="16384" width="9.140625" style="133"/>
  </cols>
  <sheetData>
    <row r="1" spans="2:18" ht="1.5" customHeight="1" thickBot="1"/>
    <row r="2" spans="2:18">
      <c r="B2" s="134" t="s">
        <v>209</v>
      </c>
      <c r="C2" s="135" t="s">
        <v>210</v>
      </c>
      <c r="D2" s="136"/>
      <c r="E2" s="137"/>
    </row>
    <row r="3" spans="2:18">
      <c r="B3" s="138" t="s">
        <v>211</v>
      </c>
      <c r="C3" s="139">
        <f ca="1">TODAY()</f>
        <v>46118</v>
      </c>
      <c r="D3" s="136"/>
      <c r="E3" s="137"/>
    </row>
    <row r="4" spans="2:18" ht="12.75" thickBot="1">
      <c r="B4" s="140" t="s">
        <v>212</v>
      </c>
      <c r="C4" s="141">
        <v>0.11749999999999999</v>
      </c>
      <c r="D4" s="142"/>
      <c r="E4" s="143"/>
    </row>
    <row r="5" spans="2:18" ht="12.75" hidden="1" thickBot="1">
      <c r="B5" s="144" t="s">
        <v>213</v>
      </c>
      <c r="C5" s="145">
        <v>10250</v>
      </c>
      <c r="D5" s="146"/>
      <c r="E5" s="143"/>
    </row>
    <row r="6" spans="2:18">
      <c r="B6" s="147"/>
      <c r="C6" s="147"/>
      <c r="D6" s="146"/>
      <c r="E6" s="143"/>
    </row>
    <row r="7" spans="2:18" ht="12.4">
      <c r="B7" s="148" t="s">
        <v>214</v>
      </c>
      <c r="C7" s="149"/>
      <c r="D7" s="150" t="s">
        <v>240</v>
      </c>
      <c r="E7" s="150" t="s">
        <v>241</v>
      </c>
      <c r="F7" s="150" t="s">
        <v>242</v>
      </c>
      <c r="G7" s="150" t="s">
        <v>243</v>
      </c>
      <c r="H7" s="150" t="s">
        <v>245</v>
      </c>
      <c r="I7" s="150" t="s">
        <v>251</v>
      </c>
      <c r="J7" s="150" t="s">
        <v>252</v>
      </c>
      <c r="K7" s="150" t="s">
        <v>260</v>
      </c>
      <c r="L7" s="150" t="s">
        <v>261</v>
      </c>
      <c r="M7" s="150" t="s">
        <v>262</v>
      </c>
      <c r="N7" s="150" t="s">
        <v>263</v>
      </c>
      <c r="O7" s="150" t="s">
        <v>264</v>
      </c>
      <c r="P7" s="150" t="s">
        <v>302</v>
      </c>
      <c r="Q7" s="150" t="s">
        <v>303</v>
      </c>
      <c r="R7" s="150" t="s">
        <v>304</v>
      </c>
    </row>
    <row r="8" spans="2:18" ht="12.4" hidden="1">
      <c r="B8" s="151" t="s">
        <v>214</v>
      </c>
      <c r="C8" s="152"/>
      <c r="D8" s="153">
        <v>45289.25</v>
      </c>
      <c r="E8" s="153">
        <v>45655.25</v>
      </c>
      <c r="F8" s="153">
        <v>46020.25</v>
      </c>
      <c r="G8" s="153">
        <v>46385.25</v>
      </c>
      <c r="H8" s="153">
        <v>46750.25</v>
      </c>
      <c r="I8" s="153">
        <v>47116.25</v>
      </c>
      <c r="J8" s="153">
        <v>47481.25</v>
      </c>
      <c r="K8" s="153">
        <v>47846.25</v>
      </c>
      <c r="L8" s="153">
        <v>48211.25</v>
      </c>
      <c r="M8" s="153">
        <v>48577.25</v>
      </c>
      <c r="N8" s="153">
        <v>48942.25</v>
      </c>
      <c r="O8" s="153">
        <v>49307.25</v>
      </c>
      <c r="P8" s="153">
        <v>49672.25</v>
      </c>
      <c r="Q8" s="153">
        <v>50038.25</v>
      </c>
      <c r="R8" s="153">
        <v>50403.25</v>
      </c>
    </row>
    <row r="9" spans="2:18" s="154" customFormat="1">
      <c r="D9" s="146"/>
      <c r="E9" s="146"/>
      <c r="F9" s="146"/>
      <c r="G9" s="146"/>
      <c r="H9" s="146"/>
      <c r="I9" s="146"/>
      <c r="J9" s="146"/>
      <c r="K9" s="146"/>
      <c r="L9" s="146"/>
      <c r="M9" s="146"/>
      <c r="N9" s="146"/>
      <c r="O9" s="146"/>
      <c r="P9" s="146"/>
      <c r="Q9" s="146"/>
      <c r="R9" s="146"/>
    </row>
    <row r="10" spans="2:18" s="158" customFormat="1" ht="12.4">
      <c r="B10" s="155" t="s">
        <v>311</v>
      </c>
      <c r="C10" s="156"/>
      <c r="D10" s="157">
        <v>0</v>
      </c>
      <c r="E10" s="157">
        <v>0</v>
      </c>
      <c r="F10" s="157">
        <v>0</v>
      </c>
      <c r="G10" s="157">
        <f>Schizophrenia!B25</f>
        <v>35.739000000000004</v>
      </c>
      <c r="H10" s="157">
        <f>Schizophrenia!C25</f>
        <v>165.08553749999999</v>
      </c>
      <c r="I10" s="157">
        <f>Schizophrenia!D25</f>
        <v>357.97876261874995</v>
      </c>
      <c r="J10" s="157">
        <f>Schizophrenia!E25</f>
        <v>614.21763187216675</v>
      </c>
      <c r="K10" s="157">
        <f>Schizophrenia!F25</f>
        <v>860.18965708660494</v>
      </c>
      <c r="L10" s="157">
        <f>Schizophrenia!G25</f>
        <v>1050.2560373215176</v>
      </c>
      <c r="M10" s="157">
        <f>Schizophrenia!H25</f>
        <v>1084.2972105640436</v>
      </c>
      <c r="N10" s="157">
        <f>Schizophrenia!I25</f>
        <v>1125.0594587877731</v>
      </c>
      <c r="O10" s="157">
        <f>Schizophrenia!J25</f>
        <v>1167.1848537867061</v>
      </c>
      <c r="P10" s="157">
        <f>Schizophrenia!K25</f>
        <v>1210.7161449049547</v>
      </c>
      <c r="Q10" s="157">
        <f>Schizophrenia!L25</f>
        <v>1255.6973687076049</v>
      </c>
      <c r="R10" s="157">
        <f>Schizophrenia!M25</f>
        <v>1302.1738866666967</v>
      </c>
    </row>
    <row r="11" spans="2:18" s="162" customFormat="1">
      <c r="B11" s="159" t="s">
        <v>215</v>
      </c>
      <c r="C11" s="160"/>
      <c r="D11" s="161"/>
      <c r="E11" s="161">
        <v>0</v>
      </c>
      <c r="F11" s="161">
        <v>0</v>
      </c>
      <c r="G11" s="161">
        <v>0</v>
      </c>
      <c r="H11" s="161">
        <f t="shared" ref="H11:K11" si="0">H10/G10-1</f>
        <v>3.6191985645933009</v>
      </c>
      <c r="I11" s="161">
        <f t="shared" si="0"/>
        <v>1.1684441171519944</v>
      </c>
      <c r="J11" s="161">
        <f t="shared" si="0"/>
        <v>0.71579349394621228</v>
      </c>
      <c r="K11" s="161">
        <f t="shared" si="0"/>
        <v>0.40046396008643192</v>
      </c>
      <c r="L11" s="161">
        <f t="shared" ref="L11" si="1">L10/K10-1</f>
        <v>0.22095869052721784</v>
      </c>
      <c r="M11" s="161">
        <f t="shared" ref="M11" si="2">M10/L10-1</f>
        <v>3.2412261422787525E-2</v>
      </c>
      <c r="N11" s="161">
        <f t="shared" ref="N11" si="3">N10/M10-1</f>
        <v>3.7593242725880716E-2</v>
      </c>
      <c r="O11" s="161">
        <f t="shared" ref="O11" si="4">O10/N10-1</f>
        <v>3.7442816617285324E-2</v>
      </c>
      <c r="P11" s="161">
        <f t="shared" ref="P11" si="5">P10/O10-1</f>
        <v>3.7295969851750321E-2</v>
      </c>
      <c r="Q11" s="161">
        <f t="shared" ref="Q11" si="6">Q10/P10-1</f>
        <v>3.7152576177285068E-2</v>
      </c>
      <c r="R11" s="161">
        <f>R10/Q10-1</f>
        <v>3.7012515210513408E-2</v>
      </c>
    </row>
    <row r="12" spans="2:18" s="163" customFormat="1" ht="12.4">
      <c r="B12" s="155" t="s">
        <v>275</v>
      </c>
      <c r="C12" s="156"/>
      <c r="D12" s="157">
        <v>0</v>
      </c>
      <c r="E12" s="157">
        <v>0</v>
      </c>
      <c r="F12" s="157">
        <v>0</v>
      </c>
      <c r="G12" s="157">
        <v>0</v>
      </c>
      <c r="H12" s="157">
        <f>Schizophrenia!C49</f>
        <v>9.6142059956249994</v>
      </c>
      <c r="I12" s="157">
        <f>Schizophrenia!D49</f>
        <v>32.238716695664053</v>
      </c>
      <c r="J12" s="157">
        <f>Schizophrenia!E49</f>
        <v>78.581232112733417</v>
      </c>
      <c r="K12" s="157">
        <f>Schizophrenia!F49</f>
        <v>133.85550006162086</v>
      </c>
      <c r="L12" s="157">
        <f>Schizophrenia!G49</f>
        <v>150.95222708972977</v>
      </c>
      <c r="M12" s="157">
        <f>Schizophrenia!H49</f>
        <v>153.57917224120104</v>
      </c>
      <c r="N12" s="157">
        <f>Schizophrenia!I49</f>
        <v>156.22861303850982</v>
      </c>
      <c r="O12" s="157">
        <f>Schizophrenia!J49</f>
        <v>158.90070876448564</v>
      </c>
      <c r="P12" s="157">
        <f>Schizophrenia!K49</f>
        <v>161.59561973239522</v>
      </c>
      <c r="Q12" s="157">
        <f>Schizophrenia!L49</f>
        <v>164.31350729226483</v>
      </c>
      <c r="R12" s="157">
        <f>Schizophrenia!M49</f>
        <v>167.05453383723977</v>
      </c>
    </row>
    <row r="13" spans="2:18" s="167" customFormat="1" ht="12.4">
      <c r="B13" s="164" t="s">
        <v>216</v>
      </c>
      <c r="C13" s="165"/>
      <c r="D13" s="166">
        <f>D10+D12</f>
        <v>0</v>
      </c>
      <c r="E13" s="166">
        <f t="shared" ref="E13:Q13" si="7">E10+E12</f>
        <v>0</v>
      </c>
      <c r="F13" s="166">
        <f t="shared" si="7"/>
        <v>0</v>
      </c>
      <c r="G13" s="166">
        <f t="shared" si="7"/>
        <v>35.739000000000004</v>
      </c>
      <c r="H13" s="166">
        <f t="shared" si="7"/>
        <v>174.699743495625</v>
      </c>
      <c r="I13" s="166">
        <f t="shared" si="7"/>
        <v>390.21747931441399</v>
      </c>
      <c r="J13" s="166">
        <f t="shared" si="7"/>
        <v>692.79886398490021</v>
      </c>
      <c r="K13" s="166">
        <f t="shared" si="7"/>
        <v>994.04515714822583</v>
      </c>
      <c r="L13" s="166">
        <f t="shared" si="7"/>
        <v>1201.2082644112475</v>
      </c>
      <c r="M13" s="166">
        <f t="shared" si="7"/>
        <v>1237.8763828052447</v>
      </c>
      <c r="N13" s="166">
        <f t="shared" si="7"/>
        <v>1281.2880718262829</v>
      </c>
      <c r="O13" s="166">
        <f t="shared" si="7"/>
        <v>1326.0855625511917</v>
      </c>
      <c r="P13" s="166">
        <f t="shared" si="7"/>
        <v>1372.3117646373498</v>
      </c>
      <c r="Q13" s="166">
        <f t="shared" si="7"/>
        <v>1420.0108759998698</v>
      </c>
      <c r="R13" s="166">
        <f>R10+R12</f>
        <v>1469.2284205039364</v>
      </c>
    </row>
    <row r="14" spans="2:18" s="162" customFormat="1">
      <c r="B14" s="159" t="s">
        <v>215</v>
      </c>
      <c r="C14" s="160"/>
      <c r="D14" s="161"/>
      <c r="E14" s="161">
        <v>0</v>
      </c>
      <c r="F14" s="161">
        <v>0</v>
      </c>
      <c r="G14" s="161">
        <v>0</v>
      </c>
      <c r="H14" s="161">
        <f t="shared" ref="H14:K14" si="8">H13/G13-1</f>
        <v>3.8882101764354058</v>
      </c>
      <c r="I14" s="161">
        <f t="shared" si="8"/>
        <v>1.2336465498255653</v>
      </c>
      <c r="J14" s="161">
        <f t="shared" si="8"/>
        <v>0.77541730114730245</v>
      </c>
      <c r="K14" s="161">
        <f t="shared" si="8"/>
        <v>0.43482503916157023</v>
      </c>
      <c r="L14" s="161">
        <f t="shared" ref="L14" si="9">L13/K13-1</f>
        <v>0.20840412105355766</v>
      </c>
      <c r="M14" s="161">
        <f t="shared" ref="M14" si="10">M13/L13-1</f>
        <v>3.0526029066216598E-2</v>
      </c>
      <c r="N14" s="161">
        <f t="shared" ref="N14" si="11">N13/M13-1</f>
        <v>3.5069486439881503E-2</v>
      </c>
      <c r="O14" s="161">
        <f t="shared" ref="O14" si="12">O13/N13-1</f>
        <v>3.4962856292774847E-2</v>
      </c>
      <c r="P14" s="161">
        <f t="shared" ref="P14" si="13">P13/O13-1</f>
        <v>3.4859139856123322E-2</v>
      </c>
      <c r="Q14" s="161">
        <f t="shared" ref="Q14" si="14">Q13/P13-1</f>
        <v>3.4758217914953926E-2</v>
      </c>
      <c r="R14" s="161">
        <f>R13/Q13-1</f>
        <v>3.4659977142365905E-2</v>
      </c>
    </row>
    <row r="15" spans="2:18" s="154" customFormat="1" ht="12.4">
      <c r="B15" s="168" t="s">
        <v>0</v>
      </c>
      <c r="C15" s="169"/>
      <c r="D15" s="170">
        <v>0</v>
      </c>
      <c r="E15" s="170">
        <v>0</v>
      </c>
      <c r="F15" s="170">
        <f>(F10*0.1)</f>
        <v>0</v>
      </c>
      <c r="G15" s="170">
        <f t="shared" ref="G15:R15" si="15">(G10*0.1)</f>
        <v>3.5739000000000005</v>
      </c>
      <c r="H15" s="170">
        <f t="shared" si="15"/>
        <v>16.508553750000001</v>
      </c>
      <c r="I15" s="170">
        <f t="shared" si="15"/>
        <v>35.797876261874997</v>
      </c>
      <c r="J15" s="170">
        <f t="shared" si="15"/>
        <v>61.421763187216676</v>
      </c>
      <c r="K15" s="170">
        <f t="shared" si="15"/>
        <v>86.018965708660502</v>
      </c>
      <c r="L15" s="170">
        <f t="shared" si="15"/>
        <v>105.02560373215177</v>
      </c>
      <c r="M15" s="170">
        <f t="shared" si="15"/>
        <v>108.42972105640436</v>
      </c>
      <c r="N15" s="170">
        <f t="shared" si="15"/>
        <v>112.50594587877731</v>
      </c>
      <c r="O15" s="170">
        <f t="shared" si="15"/>
        <v>116.71848537867061</v>
      </c>
      <c r="P15" s="170">
        <f t="shared" si="15"/>
        <v>121.07161449049548</v>
      </c>
      <c r="Q15" s="170">
        <f t="shared" si="15"/>
        <v>125.56973687076049</v>
      </c>
      <c r="R15" s="170">
        <f t="shared" si="15"/>
        <v>130.21738866666968</v>
      </c>
    </row>
    <row r="16" spans="2:18" s="162" customFormat="1">
      <c r="B16" s="159" t="s">
        <v>217</v>
      </c>
      <c r="C16" s="160"/>
      <c r="D16" s="161">
        <v>0</v>
      </c>
      <c r="E16" s="161">
        <v>0</v>
      </c>
      <c r="F16" s="161">
        <v>0.1</v>
      </c>
      <c r="G16" s="161">
        <v>0.1</v>
      </c>
      <c r="H16" s="161">
        <v>0.1</v>
      </c>
      <c r="I16" s="161">
        <v>0.1</v>
      </c>
      <c r="J16" s="161">
        <v>0.1</v>
      </c>
      <c r="K16" s="161">
        <v>0.1</v>
      </c>
      <c r="L16" s="161">
        <v>0.1</v>
      </c>
      <c r="M16" s="161">
        <v>0.1</v>
      </c>
      <c r="N16" s="161">
        <v>0.1</v>
      </c>
      <c r="O16" s="161">
        <v>0.1</v>
      </c>
      <c r="P16" s="161">
        <v>0.1</v>
      </c>
      <c r="Q16" s="161">
        <v>0.1</v>
      </c>
      <c r="R16" s="161">
        <v>0.1</v>
      </c>
    </row>
    <row r="17" spans="2:18" s="154" customFormat="1" ht="12.4">
      <c r="B17" s="171" t="s">
        <v>2</v>
      </c>
      <c r="C17" s="169"/>
      <c r="D17" s="170">
        <f>Quarterly!J7</f>
        <v>153</v>
      </c>
      <c r="E17" s="170">
        <f>Quarterly!K7</f>
        <v>225</v>
      </c>
      <c r="F17" s="170">
        <f>Quarterly!L7</f>
        <v>250</v>
      </c>
      <c r="G17" s="170">
        <f>Quarterly!M7</f>
        <v>165</v>
      </c>
      <c r="H17" s="170">
        <f>Quarterly!N7</f>
        <v>125</v>
      </c>
      <c r="I17" s="170">
        <f>Quarterly!O7</f>
        <v>75</v>
      </c>
      <c r="J17" s="170">
        <v>50</v>
      </c>
      <c r="K17" s="170">
        <v>20</v>
      </c>
      <c r="L17" s="170">
        <v>10</v>
      </c>
      <c r="M17" s="170">
        <v>0</v>
      </c>
      <c r="N17" s="170">
        <v>0</v>
      </c>
      <c r="O17" s="170">
        <v>0</v>
      </c>
      <c r="P17" s="170">
        <v>0</v>
      </c>
      <c r="Q17" s="170">
        <v>0</v>
      </c>
      <c r="R17" s="170">
        <v>0</v>
      </c>
    </row>
    <row r="18" spans="2:18" s="162" customFormat="1">
      <c r="B18" s="159" t="s">
        <v>218</v>
      </c>
      <c r="C18" s="160"/>
      <c r="D18" s="161">
        <v>0</v>
      </c>
      <c r="E18" s="161">
        <v>0</v>
      </c>
      <c r="F18" s="161">
        <v>0</v>
      </c>
      <c r="G18" s="161">
        <f t="shared" ref="G18:K18" si="16">G17/G13</f>
        <v>4.6168051708217908</v>
      </c>
      <c r="H18" s="161">
        <f t="shared" si="16"/>
        <v>0.71551335736866939</v>
      </c>
      <c r="I18" s="161">
        <f t="shared" si="16"/>
        <v>0.19220051375394559</v>
      </c>
      <c r="J18" s="161">
        <f t="shared" si="16"/>
        <v>7.2171019034883641E-2</v>
      </c>
      <c r="K18" s="161">
        <f t="shared" si="16"/>
        <v>2.0119810308595189E-2</v>
      </c>
      <c r="L18" s="161">
        <f t="shared" ref="L18:R18" si="17">L17/L13</f>
        <v>8.3249510482691653E-3</v>
      </c>
      <c r="M18" s="161">
        <f t="shared" si="17"/>
        <v>0</v>
      </c>
      <c r="N18" s="161">
        <f t="shared" si="17"/>
        <v>0</v>
      </c>
      <c r="O18" s="161">
        <f t="shared" si="17"/>
        <v>0</v>
      </c>
      <c r="P18" s="161">
        <f t="shared" si="17"/>
        <v>0</v>
      </c>
      <c r="Q18" s="161">
        <f t="shared" si="17"/>
        <v>0</v>
      </c>
      <c r="R18" s="161">
        <f t="shared" si="17"/>
        <v>0</v>
      </c>
    </row>
    <row r="19" spans="2:18" s="154" customFormat="1" ht="12.4">
      <c r="B19" s="171" t="s">
        <v>219</v>
      </c>
      <c r="C19" s="169"/>
      <c r="D19" s="172">
        <f>Annual!C9</f>
        <v>47</v>
      </c>
      <c r="E19" s="172">
        <f>Annual!D9</f>
        <v>60</v>
      </c>
      <c r="F19" s="172">
        <f>Annual!E9</f>
        <v>65</v>
      </c>
      <c r="G19" s="172">
        <f>Annual!F9</f>
        <v>125</v>
      </c>
      <c r="H19" s="172">
        <f>Annual!G9</f>
        <v>250</v>
      </c>
      <c r="I19" s="172">
        <f>Annual!H9</f>
        <v>295</v>
      </c>
      <c r="J19" s="172">
        <v>305</v>
      </c>
      <c r="K19" s="172">
        <v>310</v>
      </c>
      <c r="L19" s="172">
        <v>315</v>
      </c>
      <c r="M19" s="172">
        <v>320</v>
      </c>
      <c r="N19" s="172">
        <v>325</v>
      </c>
      <c r="O19" s="172">
        <v>325</v>
      </c>
      <c r="P19" s="172">
        <v>325</v>
      </c>
      <c r="Q19" s="172">
        <v>325</v>
      </c>
      <c r="R19" s="172">
        <v>325</v>
      </c>
    </row>
    <row r="20" spans="2:18" s="162" customFormat="1">
      <c r="B20" s="159" t="s">
        <v>220</v>
      </c>
      <c r="C20" s="160"/>
      <c r="D20" s="161">
        <v>0</v>
      </c>
      <c r="E20" s="161">
        <v>0</v>
      </c>
      <c r="F20" s="161">
        <v>0</v>
      </c>
      <c r="G20" s="161">
        <f t="shared" ref="G20:K20" si="18">G19/G13</f>
        <v>3.4975796748649932</v>
      </c>
      <c r="H20" s="161">
        <f t="shared" si="18"/>
        <v>1.4310267147373388</v>
      </c>
      <c r="I20" s="161">
        <f t="shared" si="18"/>
        <v>0.75598868743218595</v>
      </c>
      <c r="J20" s="161">
        <f t="shared" si="18"/>
        <v>0.44024321611279027</v>
      </c>
      <c r="K20" s="161">
        <f t="shared" si="18"/>
        <v>0.31185705978322548</v>
      </c>
      <c r="L20" s="161">
        <f t="shared" ref="L20:R20" si="19">L19/L13</f>
        <v>0.26223595802047872</v>
      </c>
      <c r="M20" s="161">
        <f t="shared" si="19"/>
        <v>0.2585072341996088</v>
      </c>
      <c r="N20" s="161">
        <f t="shared" si="19"/>
        <v>0.253650999448361</v>
      </c>
      <c r="O20" s="161">
        <f t="shared" si="19"/>
        <v>0.24508222484132039</v>
      </c>
      <c r="P20" s="161">
        <f t="shared" si="19"/>
        <v>0.23682665147586579</v>
      </c>
      <c r="Q20" s="161">
        <f t="shared" si="19"/>
        <v>0.22887148647446684</v>
      </c>
      <c r="R20" s="161">
        <f t="shared" si="19"/>
        <v>0.22120454210144327</v>
      </c>
    </row>
    <row r="21" spans="2:18" s="174" customFormat="1" ht="12.4">
      <c r="B21" s="164" t="s">
        <v>221</v>
      </c>
      <c r="C21" s="165"/>
      <c r="D21" s="173">
        <f>D13-(SUM(D15+D17+D19))</f>
        <v>-200</v>
      </c>
      <c r="E21" s="173">
        <f t="shared" ref="E21:J21" si="20">E13-(SUM(E15+E17+E19))</f>
        <v>-285</v>
      </c>
      <c r="F21" s="173">
        <f t="shared" si="20"/>
        <v>-315</v>
      </c>
      <c r="G21" s="173">
        <f t="shared" si="20"/>
        <v>-257.83489999999995</v>
      </c>
      <c r="H21" s="173">
        <f t="shared" si="20"/>
        <v>-216.80881025437503</v>
      </c>
      <c r="I21" s="173">
        <f t="shared" si="20"/>
        <v>-15.580396947460997</v>
      </c>
      <c r="J21" s="173">
        <f t="shared" si="20"/>
        <v>276.37710079768351</v>
      </c>
      <c r="K21" s="173">
        <f t="shared" ref="K21:Q21" si="21">K13-(SUM(K15+K17+K19))</f>
        <v>578.02619143956531</v>
      </c>
      <c r="L21" s="173">
        <f t="shared" si="21"/>
        <v>771.18266067909576</v>
      </c>
      <c r="M21" s="173">
        <f t="shared" si="21"/>
        <v>809.44666174884037</v>
      </c>
      <c r="N21" s="173">
        <f t="shared" si="21"/>
        <v>843.78212594750562</v>
      </c>
      <c r="O21" s="173">
        <f t="shared" si="21"/>
        <v>884.36707717252114</v>
      </c>
      <c r="P21" s="173">
        <f t="shared" si="21"/>
        <v>926.24015014685438</v>
      </c>
      <c r="Q21" s="173">
        <f t="shared" si="21"/>
        <v>969.44113912910927</v>
      </c>
      <c r="R21" s="173">
        <f>R13-(SUM(R15+R17+R19))</f>
        <v>1014.0110318372667</v>
      </c>
    </row>
    <row r="22" spans="2:18" s="154" customFormat="1" ht="12.4">
      <c r="B22" s="175" t="s">
        <v>222</v>
      </c>
      <c r="C22" s="169"/>
      <c r="D22" s="176">
        <v>0</v>
      </c>
      <c r="E22" s="176">
        <v>0</v>
      </c>
      <c r="F22" s="176">
        <v>0</v>
      </c>
      <c r="G22" s="176">
        <v>0</v>
      </c>
      <c r="H22" s="176">
        <f>H21*H23</f>
        <v>0</v>
      </c>
      <c r="I22" s="176">
        <v>0</v>
      </c>
      <c r="J22" s="176">
        <f>J21*J23</f>
        <v>55.275420159536708</v>
      </c>
      <c r="K22" s="176">
        <f t="shared" ref="K22" si="22">K21*K23</f>
        <v>115.60523828791307</v>
      </c>
      <c r="L22" s="176">
        <f t="shared" ref="L22:Q22" si="23">L21*L23</f>
        <v>154.23653213581917</v>
      </c>
      <c r="M22" s="176">
        <f t="shared" si="23"/>
        <v>161.8893323497681</v>
      </c>
      <c r="N22" s="176">
        <f t="shared" si="23"/>
        <v>168.75642518950113</v>
      </c>
      <c r="O22" s="176">
        <f t="shared" si="23"/>
        <v>176.87341543450424</v>
      </c>
      <c r="P22" s="176">
        <f t="shared" si="23"/>
        <v>185.24803002937088</v>
      </c>
      <c r="Q22" s="176">
        <f t="shared" si="23"/>
        <v>193.88822782582187</v>
      </c>
      <c r="R22" s="176">
        <f>R21*R23</f>
        <v>202.80220636745335</v>
      </c>
    </row>
    <row r="23" spans="2:18" s="162" customFormat="1">
      <c r="B23" s="159" t="s">
        <v>223</v>
      </c>
      <c r="C23" s="177"/>
      <c r="D23" s="161">
        <v>0</v>
      </c>
      <c r="E23" s="161">
        <v>0</v>
      </c>
      <c r="F23" s="161">
        <v>0</v>
      </c>
      <c r="G23" s="161">
        <v>0</v>
      </c>
      <c r="H23" s="161">
        <v>0</v>
      </c>
      <c r="I23" s="161">
        <v>0.2</v>
      </c>
      <c r="J23" s="161">
        <v>0.2</v>
      </c>
      <c r="K23" s="161">
        <v>0.2</v>
      </c>
      <c r="L23" s="161">
        <v>0.2</v>
      </c>
      <c r="M23" s="161">
        <v>0.2</v>
      </c>
      <c r="N23" s="161">
        <v>0.2</v>
      </c>
      <c r="O23" s="161">
        <v>0.2</v>
      </c>
      <c r="P23" s="161">
        <v>0.2</v>
      </c>
      <c r="Q23" s="161">
        <v>0.2</v>
      </c>
      <c r="R23" s="161">
        <v>0.2</v>
      </c>
    </row>
    <row r="24" spans="2:18" s="167" customFormat="1" ht="12.4">
      <c r="B24" s="178" t="s">
        <v>224</v>
      </c>
      <c r="C24" s="165"/>
      <c r="D24" s="179">
        <f t="shared" ref="D24:K24" si="24">D21-D22</f>
        <v>-200</v>
      </c>
      <c r="E24" s="179">
        <f t="shared" si="24"/>
        <v>-285</v>
      </c>
      <c r="F24" s="179">
        <f t="shared" si="24"/>
        <v>-315</v>
      </c>
      <c r="G24" s="179">
        <f t="shared" si="24"/>
        <v>-257.83489999999995</v>
      </c>
      <c r="H24" s="179">
        <f>H21-H22</f>
        <v>-216.80881025437503</v>
      </c>
      <c r="I24" s="179">
        <f t="shared" si="24"/>
        <v>-15.580396947460997</v>
      </c>
      <c r="J24" s="179">
        <f t="shared" si="24"/>
        <v>221.1016806381468</v>
      </c>
      <c r="K24" s="179">
        <f t="shared" si="24"/>
        <v>462.42095315165227</v>
      </c>
      <c r="L24" s="179">
        <f t="shared" ref="L24:Q24" si="25">L21-L22</f>
        <v>616.94612854327659</v>
      </c>
      <c r="M24" s="179">
        <f t="shared" si="25"/>
        <v>647.55732939907227</v>
      </c>
      <c r="N24" s="179">
        <f t="shared" si="25"/>
        <v>675.02570075800452</v>
      </c>
      <c r="O24" s="179">
        <f t="shared" si="25"/>
        <v>707.49366173801695</v>
      </c>
      <c r="P24" s="179">
        <f t="shared" si="25"/>
        <v>740.99212011748352</v>
      </c>
      <c r="Q24" s="179">
        <f t="shared" si="25"/>
        <v>775.55291130328737</v>
      </c>
      <c r="R24" s="179">
        <f>R21-R22</f>
        <v>811.20882546981341</v>
      </c>
    </row>
    <row r="25" spans="2:18" s="154" customFormat="1">
      <c r="B25" s="180" t="s">
        <v>225</v>
      </c>
      <c r="C25" s="169"/>
      <c r="D25" s="181">
        <f t="shared" ref="D25:Q25" ca="1" si="26">(D8-$C$3)/365.25</f>
        <v>-2.268993839835729</v>
      </c>
      <c r="E25" s="181">
        <f t="shared" ca="1" si="26"/>
        <v>-1.2669404517453799</v>
      </c>
      <c r="F25" s="181">
        <f t="shared" ca="1" si="26"/>
        <v>-0.26762491444216291</v>
      </c>
      <c r="G25" s="181">
        <f t="shared" ca="1" si="26"/>
        <v>0.73169062286105402</v>
      </c>
      <c r="H25" s="181">
        <f t="shared" ca="1" si="26"/>
        <v>1.731006160164271</v>
      </c>
      <c r="I25" s="181">
        <f t="shared" ca="1" si="26"/>
        <v>2.7330595482546203</v>
      </c>
      <c r="J25" s="181">
        <f t="shared" ca="1" si="26"/>
        <v>3.732375085557837</v>
      </c>
      <c r="K25" s="181">
        <f t="shared" ca="1" si="26"/>
        <v>4.7316906228610538</v>
      </c>
      <c r="L25" s="181">
        <f t="shared" ca="1" si="26"/>
        <v>5.731006160164271</v>
      </c>
      <c r="M25" s="181">
        <f t="shared" ca="1" si="26"/>
        <v>6.7330595482546203</v>
      </c>
      <c r="N25" s="181">
        <f t="shared" ca="1" si="26"/>
        <v>7.7323750855578375</v>
      </c>
      <c r="O25" s="181">
        <f t="shared" ca="1" si="26"/>
        <v>8.7316906228610538</v>
      </c>
      <c r="P25" s="181">
        <f t="shared" ca="1" si="26"/>
        <v>9.7310061601642719</v>
      </c>
      <c r="Q25" s="181">
        <f t="shared" ca="1" si="26"/>
        <v>10.733059548254619</v>
      </c>
      <c r="R25" s="181">
        <f ca="1">(R8-$C$3)/365.25</f>
        <v>11.732375085557837</v>
      </c>
    </row>
    <row r="26" spans="2:18" s="154" customFormat="1">
      <c r="B26" s="133" t="s">
        <v>226</v>
      </c>
      <c r="C26" s="169"/>
      <c r="D26" s="182">
        <f t="shared" ref="D26:K26" ca="1" si="27">1/(1+$C$4)^D25</f>
        <v>1.2866883016647259</v>
      </c>
      <c r="E26" s="182">
        <f t="shared" ca="1" si="27"/>
        <v>1.1511363014249498</v>
      </c>
      <c r="F26" s="182">
        <f t="shared" ca="1" si="27"/>
        <v>1.0301779300654164</v>
      </c>
      <c r="G26" s="182">
        <f t="shared" ca="1" si="27"/>
        <v>0.92192954585843812</v>
      </c>
      <c r="H26" s="182">
        <f t="shared" ca="1" si="27"/>
        <v>0.82505561682220629</v>
      </c>
      <c r="I26" s="182">
        <f t="shared" ca="1" si="27"/>
        <v>0.73813640023757132</v>
      </c>
      <c r="J26" s="182">
        <f t="shared" ca="1" si="27"/>
        <v>0.66057497097554208</v>
      </c>
      <c r="K26" s="182">
        <f t="shared" ca="1" si="27"/>
        <v>0.59116349246412281</v>
      </c>
      <c r="L26" s="182">
        <f t="shared" ref="L26:Q26" ca="1" si="28">1/(1+$C$4)^L25</f>
        <v>0.52904558933904611</v>
      </c>
      <c r="M26" s="182">
        <f t="shared" ca="1" si="28"/>
        <v>0.47331088827729251</v>
      </c>
      <c r="N26" s="182">
        <f t="shared" ca="1" si="28"/>
        <v>0.42357662646842892</v>
      </c>
      <c r="O26" s="182">
        <f t="shared" ca="1" si="28"/>
        <v>0.37906830992922813</v>
      </c>
      <c r="P26" s="182">
        <f t="shared" ca="1" si="28"/>
        <v>0.33923681009181322</v>
      </c>
      <c r="Q26" s="182">
        <f t="shared" ca="1" si="28"/>
        <v>0.30349837359292559</v>
      </c>
      <c r="R26" s="182">
        <f ca="1">1/(1+$C$4)^R25</f>
        <v>0.27160756367352273</v>
      </c>
    </row>
    <row r="27" spans="2:18" s="154" customFormat="1">
      <c r="C27" s="169"/>
      <c r="D27" s="146"/>
      <c r="E27" s="146"/>
      <c r="F27" s="146"/>
      <c r="G27" s="146"/>
      <c r="H27" s="146"/>
      <c r="I27" s="146"/>
      <c r="J27" s="146"/>
      <c r="K27" s="146"/>
      <c r="L27" s="146"/>
      <c r="M27" s="146"/>
      <c r="N27" s="146"/>
      <c r="O27" s="146"/>
      <c r="P27" s="146"/>
      <c r="Q27" s="146"/>
      <c r="R27" s="146"/>
    </row>
    <row r="28" spans="2:18" s="154" customFormat="1" ht="12.75" thickBot="1">
      <c r="B28" s="183" t="s">
        <v>227</v>
      </c>
      <c r="C28" s="184"/>
      <c r="D28" s="184">
        <f t="shared" ref="D28:K28" ca="1" si="29">D24/(1+$C$4)^D25</f>
        <v>-257.33766033294518</v>
      </c>
      <c r="E28" s="184">
        <f t="shared" ca="1" si="29"/>
        <v>-328.07384590611071</v>
      </c>
      <c r="F28" s="184">
        <f t="shared" ca="1" si="29"/>
        <v>-324.50604797060618</v>
      </c>
      <c r="G28" s="184">
        <f t="shared" ca="1" si="29"/>
        <v>-237.70561226345575</v>
      </c>
      <c r="H28" s="184">
        <f t="shared" ca="1" si="29"/>
        <v>-178.87932667691209</v>
      </c>
      <c r="I28" s="184">
        <f t="shared" ca="1" si="29"/>
        <v>-11.500458117071306</v>
      </c>
      <c r="J28" s="184">
        <f t="shared" ca="1" si="29"/>
        <v>146.0542362701874</v>
      </c>
      <c r="K28" s="184">
        <f t="shared" ca="1" si="29"/>
        <v>273.36638565371925</v>
      </c>
      <c r="L28" s="184">
        <f t="shared" ref="L28:R28" ca="1" si="30">L24/(1+$C$4)^L25</f>
        <v>326.39262816562064</v>
      </c>
      <c r="M28" s="184">
        <f t="shared" ca="1" si="30"/>
        <v>306.49593478834618</v>
      </c>
      <c r="N28" s="184">
        <f t="shared" ca="1" si="30"/>
        <v>285.92510910656273</v>
      </c>
      <c r="O28" s="184">
        <f t="shared" ca="1" si="30"/>
        <v>268.18842664067108</v>
      </c>
      <c r="P28" s="184">
        <f t="shared" ca="1" si="30"/>
        <v>251.37180313182481</v>
      </c>
      <c r="Q28" s="184">
        <f t="shared" ca="1" si="30"/>
        <v>235.3790472158062</v>
      </c>
      <c r="R28" s="184">
        <f t="shared" ca="1" si="30"/>
        <v>220.33045271631593</v>
      </c>
    </row>
    <row r="29" spans="2:18" s="154" customFormat="1" ht="12" thickTop="1">
      <c r="C29" s="169"/>
      <c r="D29" s="146"/>
      <c r="E29" s="143"/>
      <c r="F29" s="143"/>
    </row>
    <row r="30" spans="2:18" s="154" customFormat="1" ht="13.9">
      <c r="B30" s="185" t="s">
        <v>228</v>
      </c>
      <c r="C30" s="185"/>
      <c r="D30" s="143"/>
      <c r="E30" s="143"/>
    </row>
    <row r="31" spans="2:18" s="154" customFormat="1" ht="12.75" thickBot="1">
      <c r="B31" s="186"/>
      <c r="C31" s="186"/>
      <c r="D31" s="143"/>
      <c r="E31" s="143"/>
    </row>
    <row r="32" spans="2:18" s="154" customFormat="1" ht="13.5">
      <c r="B32" s="187" t="s">
        <v>229</v>
      </c>
      <c r="C32" s="188"/>
      <c r="D32" s="189">
        <f>$R24</f>
        <v>811.20882546981341</v>
      </c>
      <c r="E32" s="143"/>
    </row>
    <row r="33" spans="2:5" s="154" customFormat="1" ht="12.75" customHeight="1">
      <c r="B33" s="190" t="s">
        <v>230</v>
      </c>
      <c r="C33" s="191"/>
      <c r="D33" s="192">
        <v>-1</v>
      </c>
      <c r="E33" s="143"/>
    </row>
    <row r="34" spans="2:5" s="154" customFormat="1" ht="13.9">
      <c r="B34" s="193" t="s">
        <v>231</v>
      </c>
      <c r="C34" s="194"/>
      <c r="D34" s="195">
        <f>D32*(1+D33)/($C4-D33)</f>
        <v>0</v>
      </c>
      <c r="E34" s="143"/>
    </row>
    <row r="35" spans="2:5" s="154" customFormat="1" ht="13.5">
      <c r="B35" s="196" t="s">
        <v>226</v>
      </c>
      <c r="C35" s="194"/>
      <c r="D35" s="197">
        <f ca="1">$R26</f>
        <v>0.27160756367352273</v>
      </c>
      <c r="E35" s="143"/>
    </row>
    <row r="36" spans="2:5" s="154" customFormat="1" ht="13.9">
      <c r="B36" s="193" t="s">
        <v>232</v>
      </c>
      <c r="C36" s="198"/>
      <c r="D36" s="195">
        <f ca="1">D34*D35</f>
        <v>0</v>
      </c>
      <c r="E36" s="143"/>
    </row>
    <row r="37" spans="2:5" s="154" customFormat="1" ht="13.9">
      <c r="B37" s="193" t="s">
        <v>233</v>
      </c>
      <c r="C37" s="198"/>
      <c r="D37" s="199">
        <f ca="1">SUM(E28:R28)+(0.75*D28)</f>
        <v>1039.8354875051893</v>
      </c>
      <c r="E37" s="143"/>
    </row>
    <row r="38" spans="2:5" s="154" customFormat="1" ht="13.9">
      <c r="B38" s="200" t="s">
        <v>234</v>
      </c>
      <c r="C38" s="201"/>
      <c r="D38" s="202">
        <f ca="1">D36+D37</f>
        <v>1039.8354875051893</v>
      </c>
      <c r="E38" s="143"/>
    </row>
    <row r="39" spans="2:5" s="154" customFormat="1" ht="14.25" thickBot="1">
      <c r="B39" s="203" t="s">
        <v>235</v>
      </c>
      <c r="C39" s="204"/>
      <c r="D39" s="205">
        <f ca="1">D38+Quarterly!D25</f>
        <v>1492.9314875051894</v>
      </c>
    </row>
    <row r="40" spans="2:5" s="154" customFormat="1" ht="13.9" thickTop="1">
      <c r="B40" s="206" t="s">
        <v>236</v>
      </c>
      <c r="C40" s="207"/>
      <c r="D40" s="208">
        <f>Quarterly!F23</f>
        <v>42.436</v>
      </c>
    </row>
    <row r="41" spans="2:5" ht="14.25" thickBot="1">
      <c r="B41" s="209" t="s">
        <v>237</v>
      </c>
      <c r="C41" s="210"/>
      <c r="D41" s="211">
        <f ca="1">D39/D40</f>
        <v>35.180777818484053</v>
      </c>
    </row>
    <row r="44" spans="2:5">
      <c r="C44" s="143"/>
    </row>
    <row r="45" spans="2:5" ht="12.4">
      <c r="C45" s="212"/>
    </row>
    <row r="50" spans="3:3" ht="12.4">
      <c r="C50" s="212"/>
    </row>
    <row r="51" spans="3:3" ht="12.4">
      <c r="C51" s="212"/>
    </row>
    <row r="52" spans="3:3" ht="12.4">
      <c r="C52" s="213"/>
    </row>
    <row r="53" spans="3:3" ht="12.4">
      <c r="C53" s="213"/>
    </row>
    <row r="54" spans="3:3" ht="12.4">
      <c r="C54" s="213"/>
    </row>
    <row r="55" spans="3:3" ht="12.4">
      <c r="C55" s="213"/>
    </row>
    <row r="56" spans="3:3" ht="12.4">
      <c r="C56" s="213"/>
    </row>
    <row r="57" spans="3:3" ht="12.4">
      <c r="C57" s="213"/>
    </row>
    <row r="58" spans="3:3" ht="12.4">
      <c r="C58" s="213"/>
    </row>
    <row r="59" spans="3:3" ht="12.4">
      <c r="C59" s="213"/>
    </row>
    <row r="60" spans="3:3" ht="12.4">
      <c r="C60" s="213"/>
    </row>
    <row r="61" spans="3:3" ht="12.4">
      <c r="C61" s="213"/>
    </row>
    <row r="62" spans="3:3" ht="12.4">
      <c r="C62" s="213"/>
    </row>
    <row r="63" spans="3:3">
      <c r="C63" s="214"/>
    </row>
  </sheetData>
  <mergeCells count="2">
    <mergeCell ref="B30:C30"/>
    <mergeCell ref="B31:C31"/>
  </mergeCells>
  <phoneticPr fontId="3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DBD60-DF9E-43E4-8D7D-A18531CBFC86}">
  <dimension ref="A1:C6"/>
  <sheetViews>
    <sheetView topLeftCell="A2" workbookViewId="0">
      <selection activeCell="B2" sqref="B2:C6"/>
    </sheetView>
  </sheetViews>
  <sheetFormatPr defaultRowHeight="12"/>
  <cols>
    <col min="2" max="2" width="23.7109375" customWidth="1"/>
    <col min="3" max="3" width="23.5703125" customWidth="1"/>
  </cols>
  <sheetData>
    <row r="1" spans="1:3" ht="13.9">
      <c r="A1" s="1" t="s">
        <v>246</v>
      </c>
      <c r="B1" s="2"/>
      <c r="C1" s="2"/>
    </row>
    <row r="2" spans="1:3" ht="12.75">
      <c r="A2" s="2"/>
      <c r="B2" s="3" t="s">
        <v>247</v>
      </c>
      <c r="C2" s="4" t="s">
        <v>248</v>
      </c>
    </row>
    <row r="3" spans="1:3" ht="12.75">
      <c r="A3" s="2"/>
      <c r="B3" s="5" t="s">
        <v>254</v>
      </c>
      <c r="C3" s="6" t="e">
        <f>#REF!</f>
        <v>#REF!</v>
      </c>
    </row>
    <row r="4" spans="1:3" ht="12.75">
      <c r="A4" s="2"/>
      <c r="B4" s="7" t="s">
        <v>250</v>
      </c>
      <c r="C4" s="8" t="e">
        <f>'007 NPV'!#REF!</f>
        <v>#REF!</v>
      </c>
    </row>
    <row r="5" spans="1:3" ht="12.75">
      <c r="A5" s="2"/>
      <c r="B5" s="7" t="s">
        <v>253</v>
      </c>
      <c r="C5" s="8" t="e">
        <f>#REF!</f>
        <v>#REF!</v>
      </c>
    </row>
    <row r="6" spans="1:3" ht="12.75">
      <c r="A6" s="2"/>
      <c r="B6" s="9" t="s">
        <v>249</v>
      </c>
      <c r="C6" s="10" t="e">
        <f>SUM(C3:C5)</f>
        <v>#REF!</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P115"/>
  <sheetViews>
    <sheetView workbookViewId="0"/>
  </sheetViews>
  <sheetFormatPr defaultColWidth="9.140625" defaultRowHeight="11.65" outlineLevelRow="1"/>
  <cols>
    <col min="1" max="1" width="22.42578125" style="219" customWidth="1"/>
    <col min="2" max="2" width="19.5703125" style="219" customWidth="1"/>
    <col min="3" max="3" width="50" style="219" customWidth="1"/>
    <col min="4" max="4" width="22.42578125" style="219" customWidth="1"/>
    <col min="5" max="21" width="9.140625" style="219"/>
    <col min="22" max="22" width="20.42578125" style="219" customWidth="1"/>
    <col min="23" max="23" width="16.5703125" style="219" customWidth="1"/>
    <col min="24" max="24" width="18.7109375" style="220" customWidth="1"/>
    <col min="25" max="25" width="15.7109375" style="220" customWidth="1"/>
    <col min="26" max="26" width="15.5703125" style="221" customWidth="1"/>
    <col min="27" max="27" width="18.5703125" style="221" customWidth="1"/>
    <col min="28" max="28" width="20.42578125" style="219" customWidth="1"/>
    <col min="29" max="166" width="9.140625" style="219"/>
    <col min="167" max="167" width="20.42578125" style="219" customWidth="1"/>
    <col min="168" max="168" width="16.5703125" style="219" customWidth="1"/>
    <col min="169" max="169" width="18.7109375" style="219" customWidth="1"/>
    <col min="170" max="170" width="15.7109375" style="219" customWidth="1"/>
    <col min="171" max="171" width="15.5703125" style="219" customWidth="1"/>
    <col min="172" max="172" width="18.5703125" style="219" customWidth="1"/>
    <col min="173" max="173" width="15.5703125" style="219" customWidth="1"/>
    <col min="174" max="174" width="18.5703125" style="219" customWidth="1"/>
    <col min="175" max="16384" width="9.140625" style="219"/>
  </cols>
  <sheetData>
    <row r="1" spans="1:4" ht="15.4">
      <c r="A1" s="215" t="s">
        <v>18</v>
      </c>
      <c r="B1" s="216" t="s">
        <v>290</v>
      </c>
      <c r="C1" s="217"/>
      <c r="D1" s="218"/>
    </row>
    <row r="2" spans="1:4" ht="15">
      <c r="A2" s="222"/>
      <c r="B2" s="223"/>
      <c r="C2" s="223"/>
      <c r="D2" s="223"/>
    </row>
    <row r="3" spans="1:4" s="225" customFormat="1" ht="13.5" hidden="1" outlineLevel="1">
      <c r="A3" s="224" t="s">
        <v>19</v>
      </c>
      <c r="B3" s="224" t="s">
        <v>20</v>
      </c>
      <c r="C3" s="224" t="s">
        <v>21</v>
      </c>
      <c r="D3" s="224" t="s">
        <v>20</v>
      </c>
    </row>
    <row r="4" spans="1:4" s="225" customFormat="1" ht="13.5" hidden="1" outlineLevel="1">
      <c r="A4" s="226" t="s">
        <v>23</v>
      </c>
      <c r="B4" s="226" t="s">
        <v>24</v>
      </c>
      <c r="C4" s="220" t="s">
        <v>25</v>
      </c>
      <c r="D4" s="220" t="s">
        <v>26</v>
      </c>
    </row>
    <row r="5" spans="1:4" s="225" customFormat="1" ht="13.5" hidden="1" outlineLevel="1">
      <c r="A5" s="226" t="s">
        <v>27</v>
      </c>
      <c r="B5" s="226" t="s">
        <v>28</v>
      </c>
      <c r="C5" s="220" t="s">
        <v>29</v>
      </c>
      <c r="D5" s="220" t="s">
        <v>30</v>
      </c>
    </row>
    <row r="6" spans="1:4" s="225" customFormat="1" ht="13.5" hidden="1" outlineLevel="1">
      <c r="A6" s="226" t="s">
        <v>32</v>
      </c>
      <c r="B6" s="226" t="s">
        <v>33</v>
      </c>
      <c r="C6" s="220" t="s">
        <v>34</v>
      </c>
      <c r="D6" s="220" t="s">
        <v>35</v>
      </c>
    </row>
    <row r="7" spans="1:4" s="225" customFormat="1" ht="13.5" hidden="1" outlineLevel="1">
      <c r="A7" s="226" t="s">
        <v>36</v>
      </c>
      <c r="B7" s="226" t="s">
        <v>37</v>
      </c>
      <c r="C7" s="220" t="s">
        <v>38</v>
      </c>
      <c r="D7" s="220" t="s">
        <v>39</v>
      </c>
    </row>
    <row r="8" spans="1:4" s="225" customFormat="1" ht="13.5" hidden="1" outlineLevel="1">
      <c r="A8" s="226" t="s">
        <v>41</v>
      </c>
      <c r="B8" s="226" t="s">
        <v>42</v>
      </c>
      <c r="C8" s="220" t="s">
        <v>43</v>
      </c>
      <c r="D8" s="220" t="s">
        <v>44</v>
      </c>
    </row>
    <row r="9" spans="1:4" s="225" customFormat="1" ht="13.5" hidden="1" outlineLevel="1">
      <c r="A9" s="226" t="s">
        <v>46</v>
      </c>
      <c r="B9" s="226" t="s">
        <v>47</v>
      </c>
      <c r="C9" s="220" t="s">
        <v>48</v>
      </c>
      <c r="D9" s="220" t="s">
        <v>49</v>
      </c>
    </row>
    <row r="10" spans="1:4" s="225" customFormat="1" ht="13.5" hidden="1" outlineLevel="1">
      <c r="A10" s="226" t="s">
        <v>51</v>
      </c>
      <c r="B10" s="226" t="s">
        <v>52</v>
      </c>
      <c r="C10" s="220" t="s">
        <v>53</v>
      </c>
      <c r="D10" s="220" t="s">
        <v>54</v>
      </c>
    </row>
    <row r="11" spans="1:4" s="225" customFormat="1" ht="13.5" hidden="1" outlineLevel="1">
      <c r="A11" s="226" t="s">
        <v>55</v>
      </c>
      <c r="B11" s="226" t="s">
        <v>56</v>
      </c>
      <c r="C11" s="220" t="s">
        <v>57</v>
      </c>
      <c r="D11" s="220"/>
    </row>
    <row r="12" spans="1:4" s="225" customFormat="1" ht="13.5" hidden="1" outlineLevel="1">
      <c r="A12" s="226" t="s">
        <v>58</v>
      </c>
      <c r="B12" s="226" t="s">
        <v>59</v>
      </c>
      <c r="C12" s="220" t="s">
        <v>60</v>
      </c>
      <c r="D12" s="220" t="s">
        <v>60</v>
      </c>
    </row>
    <row r="13" spans="1:4" s="225" customFormat="1" ht="13.5" hidden="1" outlineLevel="1">
      <c r="A13" s="226" t="s">
        <v>61</v>
      </c>
      <c r="B13" s="226" t="s">
        <v>62</v>
      </c>
      <c r="C13" s="220" t="s">
        <v>63</v>
      </c>
      <c r="D13" s="220" t="s">
        <v>64</v>
      </c>
    </row>
    <row r="14" spans="1:4" s="225" customFormat="1" ht="13.5" hidden="1" outlineLevel="1">
      <c r="A14" s="226" t="s">
        <v>48</v>
      </c>
      <c r="B14" s="226" t="s">
        <v>65</v>
      </c>
      <c r="C14" s="220" t="s">
        <v>66</v>
      </c>
      <c r="D14" s="220" t="s">
        <v>66</v>
      </c>
    </row>
    <row r="15" spans="1:4" s="225" customFormat="1" ht="13.5" hidden="1" outlineLevel="1">
      <c r="A15" s="226" t="s">
        <v>67</v>
      </c>
      <c r="B15" s="226" t="s">
        <v>68</v>
      </c>
      <c r="C15" s="220" t="s">
        <v>69</v>
      </c>
      <c r="D15" s="220" t="s">
        <v>69</v>
      </c>
    </row>
    <row r="16" spans="1:4" s="225" customFormat="1" ht="13.5" hidden="1" outlineLevel="1">
      <c r="A16" s="226" t="s">
        <v>70</v>
      </c>
      <c r="B16" s="226" t="s">
        <v>71</v>
      </c>
      <c r="C16" s="220" t="s">
        <v>72</v>
      </c>
      <c r="D16" s="220" t="s">
        <v>73</v>
      </c>
    </row>
    <row r="17" spans="1:4" s="225" customFormat="1" ht="13.5" hidden="1" outlineLevel="1">
      <c r="A17" s="226" t="s">
        <v>74</v>
      </c>
      <c r="B17" s="226" t="s">
        <v>75</v>
      </c>
      <c r="C17" s="220" t="s">
        <v>76</v>
      </c>
      <c r="D17" s="220" t="s">
        <v>77</v>
      </c>
    </row>
    <row r="18" spans="1:4" s="225" customFormat="1" ht="13.5" hidden="1" outlineLevel="1">
      <c r="A18" s="226" t="s">
        <v>78</v>
      </c>
      <c r="B18" s="226" t="s">
        <v>79</v>
      </c>
      <c r="C18" s="220" t="s">
        <v>80</v>
      </c>
      <c r="D18" s="220" t="s">
        <v>81</v>
      </c>
    </row>
    <row r="19" spans="1:4" s="225" customFormat="1" ht="13.5" hidden="1" outlineLevel="1">
      <c r="A19" s="226" t="s">
        <v>82</v>
      </c>
      <c r="B19" s="226" t="s">
        <v>83</v>
      </c>
      <c r="C19" s="220" t="s">
        <v>84</v>
      </c>
      <c r="D19" s="220" t="s">
        <v>85</v>
      </c>
    </row>
    <row r="20" spans="1:4" s="225" customFormat="1" ht="13.5" hidden="1" outlineLevel="1">
      <c r="A20" s="226" t="s">
        <v>86</v>
      </c>
      <c r="B20" s="226" t="s">
        <v>87</v>
      </c>
      <c r="C20" s="220" t="s">
        <v>88</v>
      </c>
      <c r="D20" s="220"/>
    </row>
    <row r="21" spans="1:4" s="225" customFormat="1" ht="13.5" hidden="1" outlineLevel="1">
      <c r="A21" s="226" t="s">
        <v>89</v>
      </c>
      <c r="B21" s="226" t="s">
        <v>90</v>
      </c>
      <c r="C21" s="220" t="s">
        <v>91</v>
      </c>
      <c r="D21" s="220" t="s">
        <v>92</v>
      </c>
    </row>
    <row r="22" spans="1:4" s="225" customFormat="1" ht="13.5" hidden="1" outlineLevel="1">
      <c r="A22" s="226" t="s">
        <v>93</v>
      </c>
      <c r="B22" s="226"/>
      <c r="C22" s="220" t="s">
        <v>94</v>
      </c>
      <c r="D22" s="220" t="s">
        <v>95</v>
      </c>
    </row>
    <row r="23" spans="1:4" s="225" customFormat="1" ht="13.5" hidden="1" outlineLevel="1">
      <c r="A23" s="226" t="s">
        <v>96</v>
      </c>
      <c r="B23" s="226"/>
      <c r="C23" s="220" t="s">
        <v>97</v>
      </c>
      <c r="D23" s="220" t="s">
        <v>98</v>
      </c>
    </row>
    <row r="24" spans="1:4" s="225" customFormat="1" ht="13.5" hidden="1" outlineLevel="1">
      <c r="A24" s="226" t="s">
        <v>99</v>
      </c>
      <c r="B24" s="226" t="s">
        <v>99</v>
      </c>
      <c r="C24" s="220" t="s">
        <v>100</v>
      </c>
      <c r="D24" s="220" t="s">
        <v>101</v>
      </c>
    </row>
    <row r="25" spans="1:4" s="225" customFormat="1" ht="13.5" hidden="1" outlineLevel="1">
      <c r="A25" s="226" t="s">
        <v>102</v>
      </c>
      <c r="B25" s="226" t="s">
        <v>103</v>
      </c>
      <c r="C25" s="220" t="s">
        <v>104</v>
      </c>
      <c r="D25" s="220" t="s">
        <v>105</v>
      </c>
    </row>
    <row r="26" spans="1:4" s="225" customFormat="1" ht="13.5" hidden="1" outlineLevel="1">
      <c r="A26" s="226" t="s">
        <v>102</v>
      </c>
      <c r="B26" s="226" t="s">
        <v>106</v>
      </c>
      <c r="C26" s="220"/>
      <c r="D26" s="220"/>
    </row>
    <row r="27" spans="1:4" s="225" customFormat="1" ht="13.5" hidden="1" outlineLevel="1">
      <c r="A27" s="226" t="s">
        <v>102</v>
      </c>
      <c r="B27" s="226" t="s">
        <v>107</v>
      </c>
      <c r="C27" s="220"/>
      <c r="D27" s="220"/>
    </row>
    <row r="28" spans="1:4" s="225" customFormat="1" ht="13.5" hidden="1" outlineLevel="1">
      <c r="A28" s="226" t="s">
        <v>102</v>
      </c>
      <c r="B28" s="226" t="s">
        <v>108</v>
      </c>
      <c r="C28" s="220"/>
      <c r="D28" s="220"/>
    </row>
    <row r="29" spans="1:4" s="225" customFormat="1" ht="13.5" hidden="1" outlineLevel="1">
      <c r="A29" s="226" t="s">
        <v>102</v>
      </c>
      <c r="B29" s="226" t="s">
        <v>109</v>
      </c>
      <c r="C29" s="220"/>
      <c r="D29" s="220"/>
    </row>
    <row r="30" spans="1:4" s="225" customFormat="1" ht="13.5" hidden="1" outlineLevel="1">
      <c r="A30" s="226" t="s">
        <v>110</v>
      </c>
      <c r="B30" s="226" t="s">
        <v>111</v>
      </c>
      <c r="C30" s="220"/>
      <c r="D30" s="220"/>
    </row>
    <row r="31" spans="1:4" s="225" customFormat="1" ht="13.5" hidden="1" outlineLevel="1">
      <c r="A31" s="226" t="s">
        <v>112</v>
      </c>
      <c r="B31" s="226" t="s">
        <v>113</v>
      </c>
      <c r="C31" s="220"/>
      <c r="D31" s="220"/>
    </row>
    <row r="32" spans="1:4" s="225" customFormat="1" ht="13.5" hidden="1" outlineLevel="1">
      <c r="A32" s="226" t="s">
        <v>114</v>
      </c>
      <c r="B32" s="226" t="s">
        <v>115</v>
      </c>
      <c r="C32" s="220"/>
      <c r="D32" s="220"/>
    </row>
    <row r="33" spans="1:4" s="225" customFormat="1" ht="13.5" hidden="1" outlineLevel="1">
      <c r="A33" s="226" t="s">
        <v>116</v>
      </c>
      <c r="B33" s="226" t="s">
        <v>117</v>
      </c>
      <c r="C33" s="220"/>
      <c r="D33" s="220"/>
    </row>
    <row r="34" spans="1:4" s="225" customFormat="1" ht="13.5" hidden="1" outlineLevel="1">
      <c r="A34" s="226" t="s">
        <v>116</v>
      </c>
      <c r="B34" s="226" t="s">
        <v>118</v>
      </c>
      <c r="C34" s="220"/>
      <c r="D34" s="220"/>
    </row>
    <row r="35" spans="1:4" s="225" customFormat="1" ht="13.5" hidden="1" outlineLevel="1">
      <c r="A35" s="226" t="s">
        <v>116</v>
      </c>
      <c r="B35" s="226" t="s">
        <v>119</v>
      </c>
      <c r="C35" s="220"/>
      <c r="D35" s="220"/>
    </row>
    <row r="36" spans="1:4" s="225" customFormat="1" ht="13.5" hidden="1" outlineLevel="1">
      <c r="A36" s="226" t="s">
        <v>116</v>
      </c>
      <c r="B36" s="226" t="s">
        <v>120</v>
      </c>
      <c r="C36" s="220"/>
      <c r="D36" s="220"/>
    </row>
    <row r="37" spans="1:4" s="225" customFormat="1" ht="13.5" hidden="1" outlineLevel="1">
      <c r="A37" s="226" t="s">
        <v>116</v>
      </c>
      <c r="B37" s="226" t="s">
        <v>121</v>
      </c>
      <c r="C37" s="220"/>
      <c r="D37" s="220"/>
    </row>
    <row r="38" spans="1:4" s="225" customFormat="1" ht="13.5" hidden="1" outlineLevel="1">
      <c r="A38" s="226" t="s">
        <v>122</v>
      </c>
      <c r="B38" s="226" t="s">
        <v>123</v>
      </c>
      <c r="C38" s="220"/>
      <c r="D38" s="220"/>
    </row>
    <row r="39" spans="1:4" s="225" customFormat="1" ht="13.5" hidden="1" outlineLevel="1">
      <c r="A39" s="226" t="s">
        <v>122</v>
      </c>
      <c r="B39" s="226" t="s">
        <v>124</v>
      </c>
      <c r="C39" s="220"/>
      <c r="D39" s="220"/>
    </row>
    <row r="40" spans="1:4" s="225" customFormat="1" ht="13.5" hidden="1" outlineLevel="1">
      <c r="A40" s="226" t="s">
        <v>125</v>
      </c>
      <c r="B40" s="226" t="s">
        <v>126</v>
      </c>
      <c r="C40" s="220"/>
      <c r="D40" s="220"/>
    </row>
    <row r="41" spans="1:4" s="225" customFormat="1" ht="13.5" hidden="1" outlineLevel="1">
      <c r="A41" s="226" t="s">
        <v>127</v>
      </c>
      <c r="B41" s="226" t="s">
        <v>128</v>
      </c>
      <c r="C41" s="220"/>
      <c r="D41" s="220"/>
    </row>
    <row r="42" spans="1:4" s="225" customFormat="1" ht="13.5" hidden="1" outlineLevel="1">
      <c r="A42" s="226" t="s">
        <v>88</v>
      </c>
      <c r="B42" s="226"/>
      <c r="C42" s="220"/>
      <c r="D42" s="220"/>
    </row>
    <row r="43" spans="1:4" s="225" customFormat="1" ht="13.5" hidden="1" outlineLevel="1">
      <c r="A43" s="226" t="s">
        <v>129</v>
      </c>
      <c r="B43" s="226" t="s">
        <v>130</v>
      </c>
      <c r="C43" s="220"/>
      <c r="D43" s="220"/>
    </row>
    <row r="44" spans="1:4" s="225" customFormat="1" ht="13.5" hidden="1" outlineLevel="1">
      <c r="A44" s="226" t="s">
        <v>131</v>
      </c>
      <c r="B44" s="226" t="s">
        <v>132</v>
      </c>
      <c r="C44" s="220"/>
      <c r="D44" s="220"/>
    </row>
    <row r="45" spans="1:4" s="225" customFormat="1" ht="13.5" hidden="1" outlineLevel="1">
      <c r="A45" s="226" t="s">
        <v>133</v>
      </c>
      <c r="B45" s="226" t="s">
        <v>134</v>
      </c>
      <c r="C45" s="220"/>
      <c r="D45" s="220"/>
    </row>
    <row r="46" spans="1:4" s="225" customFormat="1" ht="13.5" hidden="1" outlineLevel="1">
      <c r="A46" s="226" t="s">
        <v>133</v>
      </c>
      <c r="B46" s="226" t="s">
        <v>135</v>
      </c>
      <c r="C46" s="220"/>
      <c r="D46" s="220"/>
    </row>
    <row r="47" spans="1:4" s="225" customFormat="1" ht="13.5" hidden="1" outlineLevel="1">
      <c r="A47" s="226" t="s">
        <v>133</v>
      </c>
      <c r="B47" s="226" t="s">
        <v>136</v>
      </c>
      <c r="C47" s="220"/>
      <c r="D47" s="220"/>
    </row>
    <row r="48" spans="1:4" s="225" customFormat="1" ht="13.5" hidden="1" outlineLevel="1">
      <c r="A48" s="226" t="s">
        <v>133</v>
      </c>
      <c r="B48" s="226" t="s">
        <v>137</v>
      </c>
      <c r="C48" s="220"/>
      <c r="D48" s="220"/>
    </row>
    <row r="49" spans="1:4" s="225" customFormat="1" ht="13.5" hidden="1" outlineLevel="1">
      <c r="A49" s="226" t="s">
        <v>133</v>
      </c>
      <c r="B49" s="226" t="s">
        <v>138</v>
      </c>
      <c r="C49" s="220"/>
      <c r="D49" s="220"/>
    </row>
    <row r="50" spans="1:4" s="225" customFormat="1" ht="13.5" hidden="1" outlineLevel="1">
      <c r="A50" s="226" t="s">
        <v>139</v>
      </c>
      <c r="B50" s="226" t="s">
        <v>140</v>
      </c>
      <c r="C50" s="220"/>
      <c r="D50" s="220"/>
    </row>
    <row r="51" spans="1:4" s="225" customFormat="1" ht="13.5" hidden="1" outlineLevel="1">
      <c r="A51" s="226" t="s">
        <v>139</v>
      </c>
      <c r="B51" s="226" t="s">
        <v>141</v>
      </c>
      <c r="C51" s="220"/>
      <c r="D51" s="220"/>
    </row>
    <row r="52" spans="1:4" s="225" customFormat="1" ht="13.5" hidden="1" outlineLevel="1">
      <c r="A52" s="226" t="s">
        <v>139</v>
      </c>
      <c r="B52" s="226" t="s">
        <v>142</v>
      </c>
      <c r="C52" s="220"/>
      <c r="D52" s="220"/>
    </row>
    <row r="53" spans="1:4" s="225" customFormat="1" ht="13.5" hidden="1" outlineLevel="1">
      <c r="A53" s="226" t="s">
        <v>139</v>
      </c>
      <c r="B53" s="226" t="s">
        <v>143</v>
      </c>
      <c r="C53" s="220"/>
      <c r="D53" s="220"/>
    </row>
    <row r="54" spans="1:4" s="225" customFormat="1" ht="13.5" hidden="1" outlineLevel="1">
      <c r="A54" s="226" t="s">
        <v>139</v>
      </c>
      <c r="B54" s="226" t="s">
        <v>144</v>
      </c>
      <c r="C54" s="220"/>
      <c r="D54" s="220"/>
    </row>
    <row r="55" spans="1:4" s="225" customFormat="1" ht="13.5" hidden="1" outlineLevel="1">
      <c r="A55" s="226" t="s">
        <v>145</v>
      </c>
      <c r="B55" s="226" t="s">
        <v>146</v>
      </c>
      <c r="C55" s="220"/>
      <c r="D55" s="220"/>
    </row>
    <row r="56" spans="1:4" s="225" customFormat="1" ht="13.5" hidden="1" outlineLevel="1">
      <c r="A56" s="226" t="s">
        <v>147</v>
      </c>
      <c r="B56" s="226" t="s">
        <v>146</v>
      </c>
      <c r="C56" s="220"/>
      <c r="D56" s="220"/>
    </row>
    <row r="57" spans="1:4" s="225" customFormat="1" ht="13.5" hidden="1" outlineLevel="1">
      <c r="A57" s="226" t="s">
        <v>148</v>
      </c>
      <c r="B57" s="226" t="s">
        <v>149</v>
      </c>
      <c r="C57" s="220"/>
      <c r="D57" s="220"/>
    </row>
    <row r="58" spans="1:4" s="225" customFormat="1" ht="13.5" hidden="1" outlineLevel="1">
      <c r="A58" s="226" t="s">
        <v>148</v>
      </c>
      <c r="B58" s="226" t="s">
        <v>150</v>
      </c>
      <c r="C58" s="220"/>
      <c r="D58" s="220"/>
    </row>
    <row r="59" spans="1:4" s="225" customFormat="1" ht="13.5" hidden="1" outlineLevel="1">
      <c r="A59" s="226" t="s">
        <v>151</v>
      </c>
      <c r="B59" s="226" t="s">
        <v>152</v>
      </c>
      <c r="C59" s="220"/>
      <c r="D59" s="220"/>
    </row>
    <row r="60" spans="1:4" s="225" customFormat="1" ht="13.5" hidden="1" outlineLevel="1">
      <c r="A60" s="226" t="s">
        <v>153</v>
      </c>
      <c r="B60" s="226" t="s">
        <v>154</v>
      </c>
      <c r="C60" s="220"/>
      <c r="D60" s="220"/>
    </row>
    <row r="61" spans="1:4" s="225" customFormat="1" ht="13.5" hidden="1" outlineLevel="1">
      <c r="A61" s="226" t="s">
        <v>155</v>
      </c>
      <c r="B61" s="226" t="s">
        <v>156</v>
      </c>
      <c r="C61" s="220"/>
      <c r="D61" s="220"/>
    </row>
    <row r="62" spans="1:4" s="225" customFormat="1" ht="13.5" hidden="1" outlineLevel="1">
      <c r="A62" s="226" t="s">
        <v>157</v>
      </c>
      <c r="B62" s="226" t="s">
        <v>158</v>
      </c>
      <c r="C62" s="220"/>
      <c r="D62" s="220"/>
    </row>
    <row r="63" spans="1:4" s="225" customFormat="1" ht="13.5" hidden="1" outlineLevel="1">
      <c r="A63" s="226" t="s">
        <v>159</v>
      </c>
      <c r="B63" s="226" t="s">
        <v>160</v>
      </c>
      <c r="C63" s="220"/>
      <c r="D63" s="220"/>
    </row>
    <row r="64" spans="1:4" s="225" customFormat="1" ht="13.5" hidden="1" outlineLevel="1">
      <c r="A64" s="226" t="s">
        <v>161</v>
      </c>
      <c r="B64" s="226" t="s">
        <v>162</v>
      </c>
      <c r="C64" s="220"/>
      <c r="D64" s="220"/>
    </row>
    <row r="65" spans="1:4" s="225" customFormat="1" ht="13.5" hidden="1" outlineLevel="1">
      <c r="A65" s="226" t="s">
        <v>163</v>
      </c>
      <c r="B65" s="226" t="s">
        <v>164</v>
      </c>
      <c r="C65" s="220"/>
      <c r="D65" s="220"/>
    </row>
    <row r="66" spans="1:4" s="225" customFormat="1" ht="13.5" hidden="1" outlineLevel="1">
      <c r="A66" s="226" t="s">
        <v>165</v>
      </c>
      <c r="B66" s="226" t="s">
        <v>166</v>
      </c>
      <c r="C66" s="220"/>
      <c r="D66" s="220"/>
    </row>
    <row r="67" spans="1:4" s="225" customFormat="1" ht="13.5" hidden="1" outlineLevel="1">
      <c r="A67" s="226" t="s">
        <v>167</v>
      </c>
      <c r="B67" s="226" t="s">
        <v>168</v>
      </c>
      <c r="C67" s="220"/>
      <c r="D67" s="220"/>
    </row>
    <row r="68" spans="1:4" s="225" customFormat="1" ht="13.5" hidden="1" outlineLevel="1">
      <c r="A68" s="226" t="s">
        <v>22</v>
      </c>
      <c r="B68" s="226" t="s">
        <v>169</v>
      </c>
      <c r="C68" s="220"/>
      <c r="D68" s="220"/>
    </row>
    <row r="69" spans="1:4" s="225" customFormat="1" ht="13.5" hidden="1" outlineLevel="1">
      <c r="A69" s="226" t="s">
        <v>170</v>
      </c>
      <c r="B69" s="226" t="s">
        <v>171</v>
      </c>
      <c r="C69" s="220"/>
      <c r="D69" s="220"/>
    </row>
    <row r="70" spans="1:4" s="225" customFormat="1" ht="13.5" hidden="1" outlineLevel="1">
      <c r="A70" s="226" t="s">
        <v>172</v>
      </c>
      <c r="B70" s="226" t="s">
        <v>173</v>
      </c>
      <c r="C70" s="220"/>
      <c r="D70" s="220"/>
    </row>
    <row r="71" spans="1:4" s="225" customFormat="1" ht="13.5" hidden="1" outlineLevel="1">
      <c r="A71" s="226" t="s">
        <v>174</v>
      </c>
      <c r="B71" s="226" t="s">
        <v>174</v>
      </c>
      <c r="C71" s="220"/>
      <c r="D71" s="220"/>
    </row>
    <row r="72" spans="1:4" s="225" customFormat="1" ht="13.5" hidden="1" outlineLevel="1">
      <c r="A72" s="226" t="s">
        <v>174</v>
      </c>
      <c r="B72" s="226" t="s">
        <v>175</v>
      </c>
      <c r="C72" s="220"/>
      <c r="D72" s="220"/>
    </row>
    <row r="73" spans="1:4" s="225" customFormat="1" ht="13.5" hidden="1" outlineLevel="1">
      <c r="A73" s="226" t="s">
        <v>176</v>
      </c>
      <c r="B73" s="226" t="s">
        <v>177</v>
      </c>
      <c r="C73" s="220"/>
      <c r="D73" s="220"/>
    </row>
    <row r="74" spans="1:4" s="225" customFormat="1" ht="13.5" hidden="1" outlineLevel="1">
      <c r="A74" s="226" t="s">
        <v>178</v>
      </c>
      <c r="B74" s="226" t="s">
        <v>178</v>
      </c>
      <c r="C74" s="220"/>
      <c r="D74" s="220"/>
    </row>
    <row r="75" spans="1:4" s="225" customFormat="1" ht="13.5" hidden="1" outlineLevel="1">
      <c r="A75" s="226" t="s">
        <v>179</v>
      </c>
      <c r="B75" s="226" t="s">
        <v>180</v>
      </c>
      <c r="C75" s="220"/>
      <c r="D75" s="220"/>
    </row>
    <row r="76" spans="1:4" s="225" customFormat="1" ht="13.5" hidden="1" outlineLevel="1">
      <c r="A76" s="226" t="s">
        <v>181</v>
      </c>
      <c r="B76" s="226" t="s">
        <v>182</v>
      </c>
      <c r="C76" s="220"/>
      <c r="D76" s="220"/>
    </row>
    <row r="77" spans="1:4" s="225" customFormat="1" ht="13.5" hidden="1" outlineLevel="1">
      <c r="A77" s="226" t="s">
        <v>181</v>
      </c>
      <c r="B77" s="226" t="s">
        <v>183</v>
      </c>
      <c r="C77" s="220"/>
      <c r="D77" s="220"/>
    </row>
    <row r="78" spans="1:4" s="225" customFormat="1" ht="13.5" hidden="1" outlineLevel="1">
      <c r="A78" s="226" t="s">
        <v>181</v>
      </c>
      <c r="B78" s="226" t="s">
        <v>184</v>
      </c>
      <c r="C78" s="220"/>
      <c r="D78" s="220"/>
    </row>
    <row r="79" spans="1:4" s="225" customFormat="1" ht="13.5" hidden="1" outlineLevel="1">
      <c r="A79" s="227" t="s">
        <v>181</v>
      </c>
      <c r="B79" s="227" t="s">
        <v>185</v>
      </c>
    </row>
    <row r="80" spans="1:4" s="225" customFormat="1" ht="13.5" hidden="1" outlineLevel="1">
      <c r="A80" s="227" t="s">
        <v>181</v>
      </c>
      <c r="B80" s="227" t="s">
        <v>186</v>
      </c>
    </row>
    <row r="81" spans="1:172" s="225" customFormat="1" ht="13.5" hidden="1" outlineLevel="1"/>
    <row r="82" spans="1:172" s="225" customFormat="1" ht="13.5" hidden="1" outlineLevel="1"/>
    <row r="83" spans="1:172" s="225" customFormat="1" ht="13.5" collapsed="1">
      <c r="A83" s="228"/>
      <c r="B83" s="229" t="s">
        <v>187</v>
      </c>
      <c r="C83" s="230" t="s">
        <v>188</v>
      </c>
      <c r="D83" s="230" t="s">
        <v>189</v>
      </c>
      <c r="FK83" s="219"/>
      <c r="FL83" s="219"/>
      <c r="FM83" s="219"/>
      <c r="FN83" s="219"/>
      <c r="FO83" s="219"/>
      <c r="FP83" s="219"/>
    </row>
    <row r="84" spans="1:172" s="225" customFormat="1" ht="13.5">
      <c r="A84" s="231" t="s">
        <v>190</v>
      </c>
      <c r="B84" s="232"/>
      <c r="C84" s="233"/>
      <c r="D84" s="233"/>
      <c r="FK84" s="219"/>
      <c r="FL84" s="219"/>
      <c r="FM84" s="219"/>
      <c r="FN84" s="219"/>
      <c r="FO84" s="219"/>
      <c r="FP84" s="219"/>
    </row>
    <row r="85" spans="1:172" s="225" customFormat="1" ht="13.5">
      <c r="A85" s="234" t="s">
        <v>22</v>
      </c>
      <c r="B85" s="235" t="str">
        <f>VLOOKUP(A85,$A$4:$B$80,2,FALSE)</f>
        <v>RATING</v>
      </c>
      <c r="C85" s="233" t="s">
        <v>291</v>
      </c>
      <c r="D85" s="236" t="e">
        <f>_xll.BLUEMATRIX2("/servlet/excelData",#REF!,$B$1,$B85)</f>
        <v>#VALUE!</v>
      </c>
      <c r="FK85" s="219"/>
      <c r="FL85" s="219"/>
      <c r="FM85" s="219"/>
      <c r="FN85" s="219"/>
      <c r="FO85" s="219"/>
      <c r="FP85" s="219"/>
    </row>
    <row r="86" spans="1:172" s="225" customFormat="1" ht="13.5">
      <c r="A86" s="234" t="s">
        <v>159</v>
      </c>
      <c r="B86" s="235" t="str">
        <f>VLOOKUP(A86,$A$4:$B$80,2,FALSE)</f>
        <v>PTARGET</v>
      </c>
      <c r="C86" s="237"/>
      <c r="D86" s="236" t="str">
        <f>_xll.BLUEMATRIX2("/servlet/excelData",C86,$B$1,$B86)</f>
        <v>#</v>
      </c>
      <c r="FK86" s="219"/>
      <c r="FL86" s="219"/>
      <c r="FM86" s="219"/>
      <c r="FN86" s="219"/>
      <c r="FO86" s="219"/>
      <c r="FP86" s="219"/>
    </row>
    <row r="87" spans="1:172" s="225" customFormat="1" ht="13.5">
      <c r="A87" s="231" t="s">
        <v>191</v>
      </c>
      <c r="B87" s="232"/>
      <c r="C87" s="233"/>
      <c r="D87" s="233"/>
      <c r="FK87" s="219"/>
      <c r="FL87" s="219"/>
      <c r="FM87" s="219"/>
      <c r="FN87" s="219"/>
      <c r="FO87" s="219"/>
      <c r="FP87" s="219"/>
    </row>
    <row r="88" spans="1:172">
      <c r="A88" s="238" t="s">
        <v>176</v>
      </c>
      <c r="B88" s="235" t="str">
        <f>VLOOKUP(A88,$A$4:$B$80,2,FALSE)</f>
        <v>SHARES</v>
      </c>
      <c r="C88" s="237">
        <f>Quarterly!G23</f>
        <v>42.436</v>
      </c>
      <c r="D88" s="236" t="str">
        <f>_xll.BLUEMATRIX2("/servlet/excelData",C88,$B$1,$B88)</f>
        <v>Version 6.20.0 is deprecated. Please install latest Add-In version.</v>
      </c>
    </row>
    <row r="89" spans="1:172">
      <c r="A89" s="238" t="s">
        <v>129</v>
      </c>
      <c r="B89" s="235" t="str">
        <f>VLOOKUP(A89,$A$4:$B$80,2,FALSE)</f>
        <v>NET_DEBT</v>
      </c>
      <c r="C89" s="237">
        <f>-Quarterly!D27</f>
        <v>-453.096</v>
      </c>
      <c r="D89" s="236" t="str">
        <f>_xll.BLUEMATRIX2("/servlet/excelData",C89,$B$1,$B89)</f>
        <v>Version 6.20.0 is deprecated. Please install latest Add-In version.</v>
      </c>
    </row>
    <row r="90" spans="1:172" ht="15">
      <c r="A90" s="222"/>
      <c r="B90" s="223"/>
      <c r="C90" s="222"/>
      <c r="D90" s="223"/>
    </row>
    <row r="91" spans="1:172" ht="15.4">
      <c r="A91" s="239"/>
      <c r="B91" s="215"/>
      <c r="C91" s="240"/>
      <c r="D91" s="218"/>
    </row>
    <row r="92" spans="1:172" ht="15.4" hidden="1">
      <c r="A92" s="239"/>
      <c r="B92" s="215"/>
      <c r="C92" s="240"/>
      <c r="D92" s="218"/>
    </row>
    <row r="93" spans="1:172" ht="13.5" hidden="1">
      <c r="A93" s="241" t="s">
        <v>192</v>
      </c>
      <c r="B93" s="242" t="s">
        <v>48</v>
      </c>
      <c r="C93" s="225"/>
      <c r="D93" s="225"/>
    </row>
    <row r="94" spans="1:172" ht="13.5" hidden="1">
      <c r="A94" s="241"/>
      <c r="B94" s="243" t="s">
        <v>31</v>
      </c>
      <c r="C94" s="225"/>
      <c r="D94" s="225"/>
    </row>
    <row r="95" spans="1:172" ht="13.5" hidden="1">
      <c r="A95" s="244"/>
      <c r="B95" s="223"/>
      <c r="C95" s="225"/>
      <c r="D95" s="225"/>
    </row>
    <row r="96" spans="1:172" ht="12.4" hidden="1">
      <c r="A96" s="241" t="s">
        <v>193</v>
      </c>
      <c r="B96" s="242" t="s">
        <v>53</v>
      </c>
      <c r="C96" s="245"/>
      <c r="D96" s="218"/>
    </row>
    <row r="97" spans="1:40" ht="12.4" hidden="1">
      <c r="A97" s="241"/>
      <c r="B97" s="246" t="s">
        <v>45</v>
      </c>
      <c r="C97" s="247"/>
      <c r="D97" s="218"/>
    </row>
    <row r="98" spans="1:40" ht="12.4" hidden="1">
      <c r="A98" s="244"/>
      <c r="B98" s="223"/>
      <c r="C98" s="215"/>
      <c r="D98" s="218"/>
    </row>
    <row r="99" spans="1:40" ht="13.5" hidden="1">
      <c r="A99" s="241" t="s">
        <v>194</v>
      </c>
      <c r="B99" s="242" t="s">
        <v>60</v>
      </c>
      <c r="C99" s="225"/>
      <c r="D99" s="225"/>
    </row>
    <row r="100" spans="1:40" ht="13.5" hidden="1">
      <c r="A100" s="241"/>
      <c r="B100" s="243" t="s">
        <v>40</v>
      </c>
      <c r="C100" s="225"/>
      <c r="D100" s="225"/>
    </row>
    <row r="101" spans="1:40" ht="13.5" hidden="1">
      <c r="A101" s="244"/>
      <c r="B101" s="223"/>
      <c r="C101" s="225"/>
      <c r="D101" s="225"/>
    </row>
    <row r="102" spans="1:40" ht="12.4" hidden="1">
      <c r="A102" s="241" t="s">
        <v>195</v>
      </c>
      <c r="B102" s="242" t="s">
        <v>76</v>
      </c>
      <c r="C102" s="245"/>
      <c r="D102" s="218"/>
    </row>
    <row r="103" spans="1:40" ht="12.4" hidden="1">
      <c r="A103" s="241"/>
      <c r="B103" s="246" t="s">
        <v>50</v>
      </c>
      <c r="C103" s="247"/>
      <c r="D103" s="218"/>
    </row>
    <row r="104" spans="1:40" ht="12.4" hidden="1">
      <c r="A104" s="244"/>
      <c r="B104" s="223"/>
      <c r="C104" s="215"/>
      <c r="D104" s="218"/>
    </row>
    <row r="105" spans="1:40" ht="12.4" hidden="1">
      <c r="A105" s="241" t="s">
        <v>196</v>
      </c>
      <c r="B105" s="242" t="s">
        <v>25</v>
      </c>
      <c r="C105" s="245"/>
      <c r="D105" s="218"/>
    </row>
    <row r="106" spans="1:40" ht="12.4" hidden="1">
      <c r="A106" s="241"/>
      <c r="B106" s="246" t="s">
        <v>45</v>
      </c>
      <c r="C106" s="247"/>
      <c r="D106" s="218"/>
    </row>
    <row r="107" spans="1:40" ht="12.4" hidden="1">
      <c r="A107" s="248"/>
      <c r="B107" s="223"/>
      <c r="C107" s="215"/>
      <c r="D107" s="218"/>
    </row>
    <row r="108" spans="1:40" ht="12.4">
      <c r="A108" s="249"/>
      <c r="B108" s="245"/>
      <c r="E108" s="250">
        <v>2025</v>
      </c>
      <c r="F108" s="250">
        <v>2025</v>
      </c>
      <c r="G108" s="250">
        <v>2025</v>
      </c>
      <c r="H108" s="250">
        <v>2026</v>
      </c>
      <c r="I108" s="250">
        <v>2026</v>
      </c>
      <c r="J108" s="250">
        <v>2026</v>
      </c>
      <c r="K108" s="250">
        <v>2026</v>
      </c>
      <c r="L108" s="250">
        <v>2026</v>
      </c>
      <c r="M108" s="250">
        <v>2027</v>
      </c>
      <c r="N108" s="250">
        <v>2028</v>
      </c>
      <c r="O108" s="250">
        <v>2029</v>
      </c>
      <c r="P108" s="250">
        <v>2030</v>
      </c>
      <c r="Q108" s="250">
        <v>2031</v>
      </c>
      <c r="X108" s="219"/>
      <c r="Z108" s="220"/>
      <c r="AB108" s="221"/>
    </row>
    <row r="109" spans="1:40">
      <c r="E109" s="251"/>
      <c r="F109" s="251"/>
      <c r="G109" s="251" t="s">
        <v>197</v>
      </c>
      <c r="H109" s="251"/>
      <c r="I109" s="251"/>
      <c r="J109" s="251"/>
      <c r="K109" s="251"/>
      <c r="L109" s="251" t="s">
        <v>197</v>
      </c>
      <c r="M109" s="251" t="s">
        <v>197</v>
      </c>
      <c r="N109" s="251" t="s">
        <v>197</v>
      </c>
      <c r="O109" s="251" t="s">
        <v>197</v>
      </c>
      <c r="P109" s="251" t="s">
        <v>197</v>
      </c>
      <c r="Q109" s="251" t="s">
        <v>197</v>
      </c>
      <c r="X109" s="219"/>
      <c r="Z109" s="220"/>
      <c r="AB109" s="221"/>
    </row>
    <row r="110" spans="1:40">
      <c r="E110" s="251" t="s">
        <v>200</v>
      </c>
      <c r="F110" s="251" t="s">
        <v>201</v>
      </c>
      <c r="G110" s="251" t="s">
        <v>202</v>
      </c>
      <c r="H110" s="251" t="s">
        <v>198</v>
      </c>
      <c r="I110" s="251" t="s">
        <v>199</v>
      </c>
      <c r="J110" s="251" t="s">
        <v>200</v>
      </c>
      <c r="K110" s="251" t="s">
        <v>201</v>
      </c>
      <c r="L110" s="251" t="s">
        <v>202</v>
      </c>
      <c r="M110" s="251" t="s">
        <v>202</v>
      </c>
      <c r="N110" s="251" t="s">
        <v>202</v>
      </c>
      <c r="O110" s="251" t="s">
        <v>202</v>
      </c>
      <c r="P110" s="251" t="s">
        <v>202</v>
      </c>
      <c r="Q110" s="251" t="s">
        <v>202</v>
      </c>
      <c r="X110" s="219"/>
      <c r="Z110" s="220"/>
      <c r="AB110" s="221"/>
    </row>
    <row r="111" spans="1:40" ht="12.4">
      <c r="A111" s="252"/>
      <c r="B111" s="253" t="s">
        <v>187</v>
      </c>
      <c r="C111" s="254" t="s">
        <v>203</v>
      </c>
      <c r="D111" s="255"/>
      <c r="E111" s="256" t="s">
        <v>204</v>
      </c>
      <c r="F111" s="256" t="s">
        <v>204</v>
      </c>
      <c r="G111" s="256" t="s">
        <v>204</v>
      </c>
      <c r="H111" s="256" t="s">
        <v>205</v>
      </c>
      <c r="I111" s="256" t="s">
        <v>205</v>
      </c>
      <c r="J111" s="256" t="s">
        <v>205</v>
      </c>
      <c r="K111" s="256" t="s">
        <v>205</v>
      </c>
      <c r="L111" s="256" t="s">
        <v>205</v>
      </c>
      <c r="M111" s="256" t="s">
        <v>205</v>
      </c>
      <c r="N111" s="256" t="s">
        <v>205</v>
      </c>
      <c r="O111" s="256" t="s">
        <v>205</v>
      </c>
      <c r="P111" s="256" t="s">
        <v>205</v>
      </c>
      <c r="Q111" s="256" t="s">
        <v>205</v>
      </c>
      <c r="X111" s="219"/>
      <c r="Z111" s="220"/>
      <c r="AB111" s="221"/>
    </row>
    <row r="112" spans="1:40">
      <c r="A112" s="257" t="s">
        <v>192</v>
      </c>
      <c r="B112" s="258" t="str">
        <f>VLOOKUP($C$25,$C$4:$D$77,2,FALSE)</f>
        <v>Revenue</v>
      </c>
      <c r="C112" s="258" t="s">
        <v>45</v>
      </c>
      <c r="D112" s="258"/>
      <c r="E112" s="259">
        <f>Quarterly!C4</f>
        <v>0</v>
      </c>
      <c r="F112" s="259">
        <f>Quarterly!D4</f>
        <v>0</v>
      </c>
      <c r="G112" s="259">
        <f>Quarterly!E4</f>
        <v>0</v>
      </c>
      <c r="H112" s="259">
        <f>Quarterly!F4</f>
        <v>0</v>
      </c>
      <c r="I112" s="259">
        <f>Quarterly!G4</f>
        <v>0</v>
      </c>
      <c r="J112" s="259">
        <f>Quarterly!H4</f>
        <v>0</v>
      </c>
      <c r="K112" s="259">
        <f>Quarterly!I4</f>
        <v>0</v>
      </c>
      <c r="L112" s="259">
        <f>Quarterly!J4</f>
        <v>0</v>
      </c>
      <c r="M112" s="259">
        <f>Quarterly!K4</f>
        <v>0</v>
      </c>
      <c r="N112" s="259">
        <f>Quarterly!L4</f>
        <v>0</v>
      </c>
      <c r="O112" s="259">
        <f>Quarterly!M4</f>
        <v>35.739000000000004</v>
      </c>
      <c r="P112" s="259">
        <f>Quarterly!N4</f>
        <v>174.699743495625</v>
      </c>
      <c r="Q112" s="259">
        <f>Quarterly!O4</f>
        <v>390.21747931441399</v>
      </c>
      <c r="X112" s="219"/>
      <c r="Y112" s="219"/>
      <c r="Z112" s="219"/>
      <c r="AA112" s="219"/>
      <c r="AK112" s="220"/>
      <c r="AL112" s="220"/>
      <c r="AM112" s="221"/>
      <c r="AN112" s="221"/>
    </row>
    <row r="113" spans="1:40">
      <c r="A113" s="260"/>
      <c r="B113" s="261"/>
      <c r="C113" s="261"/>
      <c r="D113" s="261"/>
      <c r="E113" s="262" t="str">
        <f>_xll.BLUEMATRIX2("/servlet/excelData",E$112,$B$1,$B112&amp;":"&amp;E$108&amp;E$111&amp;":"&amp;E$110&amp;":"&amp;$C112)</f>
        <v>Version 6.20.0 is deprecated. Please install latest Add-In version.</v>
      </c>
      <c r="F113" s="262" t="str">
        <f>_xll.BLUEMATRIX2("/servlet/excelData",F$112,$B$1,$B112&amp;":"&amp;F$108&amp;F$111&amp;":"&amp;F$110&amp;":"&amp;$C112)</f>
        <v>Version 6.20.0 is deprecated. Please install latest Add-In version.</v>
      </c>
      <c r="G113" s="262" t="str">
        <f>_xll.BLUEMATRIX2("/servlet/excelData",G$112,$B$1,$B112&amp;":"&amp;G$108&amp;G$111&amp;":"&amp;G$110&amp;":"&amp;$C112)</f>
        <v>Version 6.20.0 is deprecated. Please install latest Add-In version.</v>
      </c>
      <c r="H113" s="262" t="str">
        <f>_xll.BLUEMATRIX2("/servlet/excelData",H$112,$B$1,$B112&amp;":"&amp;H$108&amp;H$111&amp;":"&amp;H$110&amp;":"&amp;$C112)</f>
        <v>Version 6.20.0 is deprecated. Please install latest Add-In version.</v>
      </c>
      <c r="I113" s="262" t="str">
        <f>_xll.BLUEMATRIX2("/servlet/excelData",I$112,$B$1,$B112&amp;":"&amp;I$108&amp;I$111&amp;":"&amp;I$110&amp;":"&amp;$C112)</f>
        <v>Version 6.20.0 is deprecated. Please install latest Add-In version.</v>
      </c>
      <c r="J113" s="262" t="str">
        <f>_xll.BLUEMATRIX2("/servlet/excelData",J$112,$B$1,$B112&amp;":"&amp;J$108&amp;J$111&amp;":"&amp;J$110&amp;":"&amp;$C112)</f>
        <v>Version 6.20.0 is deprecated. Please install latest Add-In version.</v>
      </c>
      <c r="K113" s="262" t="str">
        <f>_xll.BLUEMATRIX2("/servlet/excelData",K$112,$B$1,$B112&amp;":"&amp;K$108&amp;K$111&amp;":"&amp;K$110&amp;":"&amp;$C112)</f>
        <v>Version 6.20.0 is deprecated. Please install latest Add-In version.</v>
      </c>
      <c r="L113" s="262" t="str">
        <f>_xll.BLUEMATRIX2("/servlet/excelData",L$112,$B$1,$B112&amp;":"&amp;L$108&amp;L$111&amp;":"&amp;L$110&amp;":"&amp;$C112)</f>
        <v>Version 6.20.0 is deprecated. Please install latest Add-In version.</v>
      </c>
      <c r="M113" s="262" t="str">
        <f>_xll.BLUEMATRIX2("/servlet/excelData",M$112,$B$1,$B112&amp;":"&amp;M$108&amp;M$111&amp;":"&amp;M$110&amp;":"&amp;$C112)</f>
        <v>Version 6.20.0 is deprecated. Please install latest Add-In version.</v>
      </c>
      <c r="N113" s="262" t="str">
        <f>_xll.BLUEMATRIX2("/servlet/excelData",N$112,$B$1,$B112&amp;":"&amp;N$108&amp;N$111&amp;":"&amp;N$110&amp;":"&amp;$C112)</f>
        <v>Version 6.20.0 is deprecated. Please install latest Add-In version.</v>
      </c>
      <c r="O113" s="262" t="str">
        <f>_xll.BLUEMATRIX2("/servlet/excelData",O$112,$B$1,$B112&amp;":"&amp;O$108&amp;O$111&amp;":"&amp;O$110&amp;":"&amp;$C112)</f>
        <v>Version 6.20.0 is deprecated. Please install latest Add-In version.</v>
      </c>
      <c r="P113" s="262" t="str">
        <f>_xll.BLUEMATRIX2("/servlet/excelData",P$112,$B$1,$B112&amp;":"&amp;P$108&amp;P$111&amp;":"&amp;P$110&amp;":"&amp;$C112)</f>
        <v>Version 6.20.0 is deprecated. Please install latest Add-In version.</v>
      </c>
      <c r="Q113" s="262" t="str">
        <f>_xll.BLUEMATRIX2("/servlet/excelData",Q$112,$B$1,$B112&amp;":"&amp;Q$108&amp;Q$111&amp;":"&amp;Q$110&amp;":"&amp;$C112)</f>
        <v>Version 6.20.0 is deprecated. Please install latest Add-In version.</v>
      </c>
      <c r="X113" s="219"/>
      <c r="Y113" s="219"/>
      <c r="Z113" s="219"/>
      <c r="AA113" s="219"/>
      <c r="AK113" s="220"/>
      <c r="AL113" s="220"/>
      <c r="AM113" s="221"/>
      <c r="AN113" s="221"/>
    </row>
    <row r="114" spans="1:40">
      <c r="A114" s="257" t="s">
        <v>193</v>
      </c>
      <c r="B114" s="258" t="str">
        <f>VLOOKUP($B$96,$C$4:$D$77,2,FALSE)</f>
        <v>EPS</v>
      </c>
      <c r="C114" s="258" t="str">
        <f>$B$97</f>
        <v>GAAP:FISCAL</v>
      </c>
      <c r="D114" s="258"/>
      <c r="E114" s="259">
        <f>Quarterly!C22</f>
        <v>-37.184927325195581</v>
      </c>
      <c r="F114" s="259">
        <f>Quarterly!D22</f>
        <v>-2.4743555603651091</v>
      </c>
      <c r="G114" s="259">
        <f>Quarterly!E22</f>
        <v>-18.564198609312271</v>
      </c>
      <c r="H114" s="259">
        <f>Quarterly!F22</f>
        <v>-1.0839852955038176</v>
      </c>
      <c r="I114" s="259">
        <f>Quarterly!G22</f>
        <v>-1.154679988688849</v>
      </c>
      <c r="J114" s="259">
        <f>Quarterly!H22</f>
        <v>-1.1555555555555554</v>
      </c>
      <c r="K114" s="259">
        <f>Quarterly!I22</f>
        <v>-1.1041666666666667</v>
      </c>
      <c r="L114" s="259">
        <f>Quarterly!J22</f>
        <v>-4.497616263380408</v>
      </c>
      <c r="M114" s="259">
        <f>Quarterly!K22</f>
        <v>-5.1537070524412298</v>
      </c>
      <c r="N114" s="259">
        <f>Quarterly!L22</f>
        <v>-5.4545454545454541</v>
      </c>
      <c r="O114" s="259">
        <f>Quarterly!M22</f>
        <v>-4.4484449826989607</v>
      </c>
      <c r="P114" s="259">
        <f>Quarterly!N22</f>
        <v>-3.6503617714484666</v>
      </c>
      <c r="Q114" s="259">
        <f>Quarterly!O22</f>
        <v>-0.1996670167689481</v>
      </c>
      <c r="X114" s="219"/>
      <c r="Y114" s="219"/>
      <c r="Z114" s="219"/>
      <c r="AA114" s="219"/>
      <c r="AK114" s="220"/>
      <c r="AL114" s="220"/>
      <c r="AM114" s="221"/>
      <c r="AN114" s="221"/>
    </row>
    <row r="115" spans="1:40">
      <c r="A115" s="260"/>
      <c r="B115" s="261"/>
      <c r="C115" s="261"/>
      <c r="D115" s="261"/>
      <c r="E115" s="263" t="str">
        <f>_xll.BLUEMATRIX2("/servlet/excelData",E$114,$B$1,$B114&amp;":"&amp;E$108&amp;E$111&amp;":"&amp;E$110&amp;":"&amp;$C114)</f>
        <v>Version 6.20.0 is deprecated. Please install latest Add-In version.</v>
      </c>
      <c r="F115" s="263" t="str">
        <f>_xll.BLUEMATRIX2("/servlet/excelData",F$114,$B$1,$B114&amp;":"&amp;F$108&amp;F$111&amp;":"&amp;F$110&amp;":"&amp;$C114)</f>
        <v>Version 6.20.0 is deprecated. Please install latest Add-In version.</v>
      </c>
      <c r="G115" s="263" t="str">
        <f>_xll.BLUEMATRIX2("/servlet/excelData",G$114,$B$1,$B114&amp;":"&amp;G$108&amp;G$111&amp;":"&amp;G$110&amp;":"&amp;$C114)</f>
        <v>Version 6.20.0 is deprecated. Please install latest Add-In version.</v>
      </c>
      <c r="H115" s="263" t="str">
        <f>_xll.BLUEMATRIX2("/servlet/excelData",H$114,$B$1,$B114&amp;":"&amp;H$108&amp;H$111&amp;":"&amp;H$110&amp;":"&amp;$C114)</f>
        <v>Version 6.20.0 is deprecated. Please install latest Add-In version.</v>
      </c>
      <c r="I115" s="263" t="str">
        <f>_xll.BLUEMATRIX2("/servlet/excelData",I$114,$B$1,$B114&amp;":"&amp;I$108&amp;I$111&amp;":"&amp;I$110&amp;":"&amp;$C114)</f>
        <v>Version 6.20.0 is deprecated. Please install latest Add-In version.</v>
      </c>
      <c r="J115" s="263" t="str">
        <f>_xll.BLUEMATRIX2("/servlet/excelData",J$114,$B$1,$B114&amp;":"&amp;J$108&amp;J$111&amp;":"&amp;J$110&amp;":"&amp;$C114)</f>
        <v>Version 6.20.0 is deprecated. Please install latest Add-In version.</v>
      </c>
      <c r="K115" s="263" t="str">
        <f>_xll.BLUEMATRIX2("/servlet/excelData",K$114,$B$1,$B114&amp;":"&amp;K$108&amp;K$111&amp;":"&amp;K$110&amp;":"&amp;$C114)</f>
        <v>Version 6.20.0 is deprecated. Please install latest Add-In version.</v>
      </c>
      <c r="L115" s="263" t="str">
        <f>_xll.BLUEMATRIX2("/servlet/excelData",L$114,$B$1,$B114&amp;":"&amp;L$108&amp;L$111&amp;":"&amp;L$110&amp;":"&amp;$C114)</f>
        <v>Version 6.20.0 is deprecated. Please install latest Add-In version.</v>
      </c>
      <c r="M115" s="263" t="str">
        <f>_xll.BLUEMATRIX2("/servlet/excelData",M$114,$B$1,$B114&amp;":"&amp;M$108&amp;M$111&amp;":"&amp;M$110&amp;":"&amp;$C114)</f>
        <v>Version 6.20.0 is deprecated. Please install latest Add-In version.</v>
      </c>
      <c r="N115" s="263" t="str">
        <f>_xll.BLUEMATRIX2("/servlet/excelData",N$114,$B$1,$B114&amp;":"&amp;N$108&amp;N$111&amp;":"&amp;N$110&amp;":"&amp;$C114)</f>
        <v>Version 6.20.0 is deprecated. Please install latest Add-In version.</v>
      </c>
      <c r="O115" s="263" t="str">
        <f>_xll.BLUEMATRIX2("/servlet/excelData",O$114,$B$1,$B114&amp;":"&amp;O$108&amp;O$111&amp;":"&amp;O$110&amp;":"&amp;$C114)</f>
        <v>Version 6.20.0 is deprecated. Please install latest Add-In version.</v>
      </c>
      <c r="P115" s="263" t="str">
        <f>_xll.BLUEMATRIX2("/servlet/excelData",P$114,$B$1,$B114&amp;":"&amp;P$108&amp;P$111&amp;":"&amp;P$110&amp;":"&amp;$C114)</f>
        <v>Version 6.20.0 is deprecated. Please install latest Add-In version.</v>
      </c>
      <c r="Q115" s="263" t="str">
        <f>_xll.BLUEMATRIX2("/servlet/excelData",Q$114,$B$1,$B114&amp;":"&amp;Q$108&amp;Q$111&amp;":"&amp;Q$110&amp;":"&amp;$C114)</f>
        <v>Version 6.20.0 is deprecated. Please install latest Add-In version.</v>
      </c>
      <c r="X115" s="219"/>
      <c r="Y115" s="219"/>
      <c r="Z115" s="219"/>
      <c r="AA115" s="219"/>
      <c r="AK115" s="220"/>
      <c r="AL115" s="220"/>
      <c r="AM115" s="221"/>
      <c r="AN115" s="221"/>
    </row>
  </sheetData>
  <mergeCells count="2">
    <mergeCell ref="A112:A113"/>
    <mergeCell ref="A114:A115"/>
  </mergeCells>
  <dataValidations count="3">
    <dataValidation type="list" allowBlank="1" showInputMessage="1" showErrorMessage="1" sqref="A85:A86 A88:A89" xr:uid="{00000000-0002-0000-0900-000000000000}">
      <formula1>$A$4:$A$80</formula1>
    </dataValidation>
    <dataValidation type="list" allowBlank="1" showInputMessage="1" showErrorMessage="1" sqref="B93 B96 B99 B102 B105" xr:uid="{00000000-0002-0000-0900-000001000000}">
      <formula1>$C$4:$C$25</formula1>
    </dataValidation>
    <dataValidation type="list" allowBlank="1" showInputMessage="1" showErrorMessage="1" sqref="B94 B106 B103 B100 B97 B108" xr:uid="{00000000-0002-0000-0900-000002000000}">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125C545D03AB44BD1A74E0497B8F76" ma:contentTypeVersion="15" ma:contentTypeDescription="Create a new document." ma:contentTypeScope="" ma:versionID="c5858ca561e7aee6ae101e8f0b40370f">
  <xsd:schema xmlns:xsd="http://www.w3.org/2001/XMLSchema" xmlns:xs="http://www.w3.org/2001/XMLSchema" xmlns:p="http://schemas.microsoft.com/office/2006/metadata/properties" xmlns:ns2="b40484f1-8ecf-451b-a3e2-a81f6d9826ba" xmlns:ns3="87363e36-27a6-4fdc-b48e-7545aa6b31eb" targetNamespace="http://schemas.microsoft.com/office/2006/metadata/properties" ma:root="true" ma:fieldsID="47332c2123f397779704c7547431355e" ns2:_="" ns3:_="">
    <xsd:import namespace="b40484f1-8ecf-451b-a3e2-a81f6d9826ba"/>
    <xsd:import namespace="87363e36-27a6-4fdc-b48e-7545aa6b31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0484f1-8ecf-451b-a3e2-a81f6d9826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853221-597e-41dc-91a1-3bf77b89adc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363e36-27a6-4fdc-b48e-7545aa6b31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9807ce-db71-4af1-9601-6a0da81c796d}" ma:internalName="TaxCatchAll" ma:showField="CatchAllData" ma:web="87363e36-27a6-4fdc-b48e-7545aa6b31e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7363e36-27a6-4fdc-b48e-7545aa6b31eb" xsi:nil="true"/>
    <lcf76f155ced4ddcb4097134ff3c332f xmlns="b40484f1-8ecf-451b-a3e2-a81f6d9826ba">
      <Terms xmlns="http://schemas.microsoft.com/office/infopath/2007/PartnerControls"/>
    </lcf76f155ced4ddcb4097134ff3c332f>
    <SharedWithUsers xmlns="87363e36-27a6-4fdc-b48e-7545aa6b31eb">
      <UserInfo>
        <DisplayName/>
        <AccountId xsi:nil="true"/>
        <AccountType/>
      </UserInfo>
    </SharedWithUsers>
  </documentManagement>
</p:properties>
</file>

<file path=customXml/itemProps1.xml><?xml version="1.0" encoding="utf-8"?>
<ds:datastoreItem xmlns:ds="http://schemas.openxmlformats.org/officeDocument/2006/customXml" ds:itemID="{AAAF2609-8AB1-4C58-92E1-7D2E1FAEF724}"/>
</file>

<file path=customXml/itemProps2.xml><?xml version="1.0" encoding="utf-8"?>
<ds:datastoreItem xmlns:ds="http://schemas.openxmlformats.org/officeDocument/2006/customXml" ds:itemID="{320EB71F-E5BA-42AF-8E75-9D80061C1428}">
  <ds:schemaRefs>
    <ds:schemaRef ds:uri="http://schemas.microsoft.com/sharepoint/v3/contenttype/forms"/>
  </ds:schemaRefs>
</ds:datastoreItem>
</file>

<file path=customXml/itemProps3.xml><?xml version="1.0" encoding="utf-8"?>
<ds:datastoreItem xmlns:ds="http://schemas.openxmlformats.org/officeDocument/2006/customXml" ds:itemID="{16403079-0D71-4B90-939A-26498DD15B3E}">
  <ds:schemaRefs>
    <ds:schemaRef ds:uri="http://schemas.microsoft.com/office/2006/metadata/properties"/>
    <ds:schemaRef ds:uri="http://schemas.microsoft.com/office/infopath/2007/PartnerControls"/>
    <ds:schemaRef ds:uri="51a685b7-a245-4ba0-a185-19ba82e6a9be"/>
    <ds:schemaRef ds:uri="9ed18047-bd26-4e92-aa98-3dd843214b7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Disclosures</vt:lpstr>
      <vt:lpstr>Quarterly</vt:lpstr>
      <vt:lpstr>Annual</vt:lpstr>
      <vt:lpstr>Schizophrenia</vt:lpstr>
      <vt:lpstr>007 NPV</vt:lpstr>
      <vt:lpstr>SOTP</vt:lpstr>
      <vt:lpstr>BlueMatrix</vt:lpstr>
      <vt:lpstr>Annual!Print_Area</vt:lpstr>
      <vt:lpstr>Quarterly!Print_Area</vt:lpstr>
    </vt:vector>
  </TitlesOfParts>
  <Company>Cowen and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Thome, Joseph J (he/him/his)</cp:lastModifiedBy>
  <cp:lastPrinted>2019-07-09T22:58:04Z</cp:lastPrinted>
  <dcterms:created xsi:type="dcterms:W3CDTF">2000-01-11T14:06:29Z</dcterms:created>
  <dcterms:modified xsi:type="dcterms:W3CDTF">2026-04-06T19:19:28Z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5e3f1883-7bf0-4955-b536-0f8fc89efb88</vt:lpwstr>
  </property>
  <property fmtid="{D5CDD505-2E9C-101B-9397-08002B2CF9AE}" pid="3" name="ContentTypeId">
    <vt:lpwstr>0x010100C5125C545D03AB44BD1A74E0497B8F76</vt:lpwstr>
  </property>
  <property fmtid="{D5CDD505-2E9C-101B-9397-08002B2CF9AE}" pid="4" name="MSIP_Label_3db7c0f8-6d74-4949-a071-f96ae6f0ad08_Enabled">
    <vt:lpwstr>true</vt:lpwstr>
  </property>
  <property fmtid="{D5CDD505-2E9C-101B-9397-08002B2CF9AE}" pid="5" name="MSIP_Label_3db7c0f8-6d74-4949-a071-f96ae6f0ad08_SetDate">
    <vt:lpwstr>2024-04-18T11:17:56Z</vt:lpwstr>
  </property>
  <property fmtid="{D5CDD505-2E9C-101B-9397-08002B2CF9AE}" pid="6" name="MSIP_Label_3db7c0f8-6d74-4949-a071-f96ae6f0ad08_Method">
    <vt:lpwstr>Privileged</vt:lpwstr>
  </property>
  <property fmtid="{D5CDD505-2E9C-101B-9397-08002B2CF9AE}" pid="7" name="MSIP_Label_3db7c0f8-6d74-4949-a071-f96ae6f0ad08_Name">
    <vt:lpwstr>3db7c0f8-6d74-4949-a071-f96ae6f0ad08</vt:lpwstr>
  </property>
  <property fmtid="{D5CDD505-2E9C-101B-9397-08002B2CF9AE}" pid="8" name="MSIP_Label_3db7c0f8-6d74-4949-a071-f96ae6f0ad08_SiteId">
    <vt:lpwstr>d9da684f-2c03-432a-a7b6-ed714ffc7683</vt:lpwstr>
  </property>
  <property fmtid="{D5CDD505-2E9C-101B-9397-08002B2CF9AE}" pid="9" name="MSIP_Label_3db7c0f8-6d74-4949-a071-f96ae6f0ad08_ActionId">
    <vt:lpwstr>aaa84cb6-baf1-4b75-b665-f00f728e2d0f</vt:lpwstr>
  </property>
  <property fmtid="{D5CDD505-2E9C-101B-9397-08002B2CF9AE}" pid="10" name="MSIP_Label_3db7c0f8-6d74-4949-a071-f96ae6f0ad08_ContentBits">
    <vt:lpwstr>0</vt:lpwstr>
  </property>
  <property fmtid="{D5CDD505-2E9C-101B-9397-08002B2CF9AE}" pid="11" name="MediaServiceImageTags">
    <vt:lpwstr/>
  </property>
  <property fmtid="{D5CDD505-2E9C-101B-9397-08002B2CF9AE}" pid="12" name="ComplianceAssetId">
    <vt:lpwstr/>
  </property>
  <property fmtid="{D5CDD505-2E9C-101B-9397-08002B2CF9AE}" pid="13" name="_ExtendedDescription">
    <vt:lpwstr/>
  </property>
  <property fmtid="{D5CDD505-2E9C-101B-9397-08002B2CF9AE}" pid="14" name="TriggerFlowInfo">
    <vt:lpwstr/>
  </property>
</Properties>
</file>