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charts/colors2.xml" ContentType="application/vnd.ms-office.chartcolorstyle+xml"/>
  <Override PartName="/xl/charts/style2.xml" ContentType="application/vnd.ms-office.chart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chartEx1.xml" ContentType="application/vnd.ms-office.chartex+xml"/>
  <Override PartName="/xl/charts/style1.xml" ContentType="application/vnd.ms-office.chartsty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3.xml" ContentType="application/vnd.openxmlformats-officedocument.spreadsheetml.externalLink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volatileDependencies.xml" ContentType="application/vnd.openxmlformats-officedocument.spreadsheetml.volatileDependencies+xml"/>
  <Override PartName="/customXml/itemProps1.xml" ContentType="application/vnd.openxmlformats-officedocument.customXml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Fadia\MODELS\DISTRIBUTION MODELS\"/>
    </mc:Choice>
  </mc:AlternateContent>
  <xr:revisionPtr revIDLastSave="0" documentId="13_ncr:1_{F1E2C519-FADC-4059-86DB-821823331AE9}" xr6:coauthVersionLast="36" xr6:coauthVersionMax="36" xr10:uidLastSave="{00000000-0000-0000-0000-000000000000}"/>
  <bookViews>
    <workbookView xWindow="0" yWindow="0" windowWidth="18700" windowHeight="12110" tabRatio="714" firstSheet="1" activeTab="4" xr2:uid="{84B80F89-2863-4F75-BC3D-F8BA057C93AF}"/>
  </bookViews>
  <sheets>
    <sheet name="__FDSCACHE__" sheetId="8" state="veryHidden" r:id="rId1"/>
    <sheet name="Variance" sheetId="13" r:id="rId2"/>
    <sheet name="IS" sheetId="1" r:id="rId3"/>
    <sheet name="OPEX" sheetId="6" r:id="rId4"/>
    <sheet name="REVENUE" sheetId="7" r:id="rId5"/>
    <sheet name="ML007MA_ME" sheetId="19" r:id="rId6"/>
    <sheet name="Ph2 Scenarios" sheetId="18" r:id="rId7"/>
    <sheet name="CF" sheetId="2" r:id="rId8"/>
    <sheet name="BS" sheetId="3" r:id="rId9"/>
    <sheet name="SOTP" sheetId="5" r:id="rId10"/>
    <sheet name="SOTP-FIGURE" sheetId="10" r:id="rId11"/>
    <sheet name="VA Consensus" sheetId="16" r:id="rId12"/>
    <sheet name="TODO" sheetId="17" r:id="rId13"/>
    <sheet name="FactSet" sheetId="11" r:id="rId14"/>
    <sheet name="MARKETING" sheetId="12" r:id="rId15"/>
    <sheet name="CHANGES" sheetId="14" r:id="rId16"/>
  </sheets>
  <externalReferences>
    <externalReference r:id="rId17"/>
    <externalReference r:id="rId18"/>
    <externalReference r:id="rId19"/>
  </externalReferences>
  <definedNames>
    <definedName name="__FDS_HYPERLINK_TOGGLE_STATE__" hidden="1">"ON"</definedName>
    <definedName name="__FDS_USED_FOR_REUSING_RANGE_IDS_RECYCLE" hidden="1">{32,45}</definedName>
    <definedName name="_1__FDSAUDITLINK__" hidden="1">{"fdsup://IBCentral/FAT Viewer?action=UPDATE&amp;creator=factset&amp;DOC_NAME=fat:reuters_qtrly_source_window.fat&amp;display_string=Audit&amp;DYN_ARGS=TRUE&amp;VAR:ID1=11012210&amp;VAR:RCODE=DSTT&amp;VAR:SDATE=20081299&amp;VAR:FREQ=FISCAL_QUARTERLY&amp;VAR:RELITEM=&amp;VAR:CURRENCY=&amp;VAR:CURRSOUR","CE=EXSHARE&amp;VAR:NATFREQ=QUARTERLY&amp;VAR:RFIELD=FINALIZED&amp;VAR:DB_TYPE=&amp;VAR:UNITS=M&amp;window=popup&amp;width=450&amp;height=300&amp;START_MAXIMIZED=FALSE"}</definedName>
    <definedName name="_10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10__FDSAUDITLINK__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1__FDSAUDITLINK__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2__FDSAUDITLINK__" hidden="1">{"fdsup://IBCentral/FAT Viewer?action=UPDATE&amp;creator=factset&amp;DOC_NAME=fat:reuters_annual_source_window.fat&amp;display_string=Audit&amp;DYN_ARGS=TRUE&amp;VAR:ID1=15102010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3__FDSAUDITLINK__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4__FDSAUDITLINK__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5__FDSAUDITLINK__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6__FDSAUDITLINK__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7__FDSAUDITLINK__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18__FDSAUDITLINK__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20__FDSAUDITLINK__" hidden="1">{"fdsup://IBCentral/FAT Viewer?action=UPDATE&amp;creator=factset&amp;DOC_NAME=fat:reuters_annual_source_window.fat&amp;display_string=Audit&amp;DYN_ARGS=TRUE&amp;VAR:ID1=36871040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1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3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27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0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1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2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3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4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6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7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0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2__FDSAUDITLINK__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43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annual_source_window.fat&amp;display_string=Audit&amp;DYN_ARGS=TRUE&amp;VAR:ID1=98302410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47__FDSAUDITLINK__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5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50__FDSAUDITLINK__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52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56__FDSAUDITLINK__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60__FDSAUDITLINK__" hidden="1">{"fdsup://IBCentral/FAT Viewer?action=UPDATE&amp;creator=factset&amp;DOC_NAME=fat:reuters_annual_source_window.fat&amp;display_string=Audit&amp;DYN_ARGS=TRUE&amp;VAR:ID1=71708110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61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5__FDSAUDITLINK__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69__FDSAUDITLINK__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4__FDSAUDITLINK__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76__FDSAUDITLINK__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79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annual_source_window.fat&amp;display_string=Audit&amp;DYN_ARGS=TRUE&amp;VAR:ID1=98302410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1__FDSAUDITLINK__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82__FDSAUDITLINK__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84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5__FDSAUDITLINK__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190__FDSAUDITLINK__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199__FDSAUDITLINK__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11012210&amp;VAR:RCODE=LLTD&amp;VAR:SDATE=20081299&amp;VAR:FREQ=FISCAL_QUARTERLY&amp;VAR:RELITEM=&amp;VAR:CURRENCY=&amp;VAR:CURRSOUR","CE=EXSHARE&amp;VAR:NATFREQ=QUARTERLY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annual_source_window.fat&amp;display_string=Audit&amp;DYN_ARGS=TRUE&amp;VAR:ID1=36871040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09__FDSAUDITLINK__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80660510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6__FDSAUDITLINK__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4__FDSAUDITLINK__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26__FDSAUDITLINK__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1__FDSAUDITLINK__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__FDSAUDITLINK__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6__FDSAUDITLINK__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7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8__FDSAUDITLINK__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59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__FDSAUDITLINK__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60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__FDSAUDITLINK__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70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1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6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qtrly_source_window.fat&amp;display_string=Audit&amp;DYN_ARGS=TRUE&amp;VAR:ID1=92532F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80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15102010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98302410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98302410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80660510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80660510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annual_source_window.fat&amp;display_string=Audit&amp;DYN_ARGS=TRUE&amp;VAR:ID1=71708110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annual_source_window.fat&amp;display_string=Audit&amp;DYN_ARGS=TRUE&amp;VAR:ID1=71708110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299__FDSAUDITLINK__" hidden="1">{"fdsup://IBCentral/FAT Viewer?action=UPDATE&amp;creator=factset&amp;DOC_NAME=fat:reuters_annual_source_window.fat&amp;display_string=Audit&amp;DYN_ARGS=TRUE&amp;VAR:ID1=58933110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92532F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0__FDSAUDITLINK__" hidden="1">{"fdsup://IBCentral/FAT Viewer?action=UPDATE&amp;creator=factset&amp;DOC_NAME=fat:reuters_annual_source_window.fat&amp;display_string=Audit&amp;DYN_ARGS=TRUE&amp;VAR:ID1=58933110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1__FDSAUDITLINK__" hidden="1">{"fdsup://IBCentral/FAT Viewer?action=UPDATE&amp;creator=factset&amp;DOC_NAME=fat:reuters_annual_source_window.fat&amp;display_string=Audit&amp;DYN_ARGS=TRUE&amp;VAR:ID1=53245710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2__FDSAUDITLINK__" hidden="1">{"fdsup://IBCentral/FAT Viewer?action=UPDATE&amp;creator=factset&amp;DOC_NAME=fat:reuters_annual_source_window.fat&amp;display_string=Audit&amp;DYN_ARGS=TRUE&amp;VAR:ID1=53245710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3__FDSAUDITLINK__" hidden="1">{"fdsup://IBCentral/FAT Viewer?action=UPDATE&amp;creator=factset&amp;DOC_NAME=fat:reuters_annual_source_window.fat&amp;display_string=Audit&amp;DYN_ARGS=TRUE&amp;VAR:ID1=11012210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4__FDSAUDITLINK__" hidden="1">{"fdsup://IBCentral/FAT Viewer?action=UPDATE&amp;creator=factset&amp;DOC_NAME=fat:reuters_annual_source_window.fat&amp;display_string=Audit&amp;DYN_ARGS=TRUE&amp;VAR:ID1=11012210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05__FDSAUDITLINK__" hidden="1">{"fdsup://IBCentral/FAT Viewer?action=UPDATE&amp;creator=factset&amp;DOC_NAME=fat:reuters_annual_source_window.fat&amp;display_string=Audit&amp;DYN_ARGS=TRUE&amp;VAR:ID1=98302410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6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07__FDSAUDITLINK__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08__FDSAUDITLINK__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0__FDSAUDITLINK__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71708110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annual_source_window.fat&amp;display_string=Audit&amp;DYN_ARGS=TRUE&amp;VAR:ID1=71708110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98302410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0__FDSAUDITLINK__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21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4__FDSAUDITLINK__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29__FDSAUDITLINK__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__FDSAUDITLINK__" hidden="1">{"fdsup://IBCentral/FAT Viewer?action=UPDATE&amp;creator=factset&amp;DOC_NAME=fat:reuters_annual_source_window.fat&amp;display_string=Audit&amp;DYN_ARGS=TRUE&amp;VAR:ID1=80660510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1__FDSAUDITLINK__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2__FDSAUDITLINK__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3__FDSAUDITLINK__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4__FDSAUDITLINK__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35__FDSAUDITLINK__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6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38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53245710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47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__FDSAUDITLINK__" hidden="1">{"fdsup://IBCentral/FAT Viewer?action=UPDATE&amp;creator=factset&amp;DOC_NAME=fat:reuters_annual_source_window.fat&amp;display_string=Audit&amp;DYN_ARGS=TRUE&amp;VAR:ID1=80660510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1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3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4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annual_source_window.fat&amp;display_string=Audit&amp;DYN_ARGS=TRUE&amp;VAR:ID1=71708110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3__FDSAUDITLINK__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4__FDSAUDITLINK__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5__FDSAUDITLINK__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6__FDSAUDITLINK__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7__FDSAUDITLINK__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8__FDSAUDITLINK__" hidden="1">{"fdsup://IBCentral/FAT Viewer?action=UPDATE&amp;creator=factset&amp;DOC_NAME=fat:reuters_annual_source_window.fat&amp;display_string=Audit&amp;DYN_ARGS=TRUE&amp;VAR:ID1=03116210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369__FDSAUDITLINK__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1__FDSAUDITLINK__" hidden="1">{"fdsup://IBCentral/FAT Viewer?action=UPDATE&amp;creator=factset&amp;DOC_NAME=fat:reuters_annual_source_window.fat&amp;display_string=Audit&amp;DYN_ARGS=TRUE&amp;VAR:ID1=36871040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2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3__FDSAUDITLINK__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4__FDSAUDITLINK__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5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15102010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09062X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09062X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annual_source_window.fat&amp;display_string=Audit&amp;DYN_ARGS=TRUE&amp;VAR:ID1=71708110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0__FDSAUDITLINK__" hidden="1">{"fdsup://IBCentral/FAT Viewer?action=UPDATE&amp;creator=factset&amp;DOC_NAME=fat:reuters_annual_source_window.fat&amp;display_string=Audit&amp;DYN_ARGS=TRUE&amp;VAR:ID1=03116210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81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82__FDSAUDITLINK__" hidden="1">{"fdsup://IBCentral/FAT Viewer?action=UPDATE&amp;creator=factset&amp;DOC_NAME=fat:reuters_annual_source_window.fat&amp;display_string=Audit&amp;DYN_ARGS=TRUE&amp;VAR:ID1=03116210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383__FDSAUDITLINK__" hidden="1">{"fdsup://IBCentral/FAT Viewer?action=UPDATE&amp;creator=factset&amp;DOC_NAME=fat:reuters_annual_source_window.fat&amp;display_string=Audit&amp;DYN_ARGS=TRUE&amp;VAR:ID1=37291710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annual_source_window.fat&amp;display_string=Audit&amp;DYN_ARGS=TRUE&amp;VAR:ID1=37291710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annual_source_window.fat&amp;display_string=Audit&amp;DYN_ARGS=TRUE&amp;VAR:ID1=36871040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annual_source_window.fat&amp;display_string=Audit&amp;DYN_ARGS=TRUE&amp;VAR:ID1=36871040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annual_source_window.fat&amp;display_string=Audit&amp;DYN_ARGS=TRUE&amp;VAR:ID1=15102010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annual_source_window.fat&amp;display_string=Audit&amp;DYN_ARGS=TRUE&amp;VAR:ID1=15102010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annual_source_window.fat&amp;display_string=Audit&amp;DYN_ARGS=TRUE&amp;VAR:ID1=09062X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__FDSAUDITLINK__" hidden="1">{"fdsup://IBCentral/FAT Viewer?action=UPDATE&amp;creator=factset&amp;DOC_NAME=fat:reuters_annual_source_window.fat&amp;display_string=Audit&amp;DYN_ARGS=TRUE&amp;VAR:ID1=58933110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annual_source_window.fat&amp;display_string=Audit&amp;DYN_ARGS=TRUE&amp;VAR:ID1=09062X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annual_source_window.fat&amp;display_string=Audit&amp;DYN_ARGS=TRUE&amp;VAR:ID1=03116210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annual_source_window.fat&amp;display_string=Audit&amp;DYN_ARGS=TRUE&amp;VAR:ID1=03116210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37291710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36871040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7__FDSAUDITLINK__" hidden="1">{"fdsup://IBCentral/FAT Viewer?action=UPDATE&amp;creator=factset&amp;DOC_NAME=fat:reuters_annual_source_window.fat&amp;display_string=Audit&amp;DYN_ARGS=TRUE&amp;VAR:ID1=15102010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399__FDSAUDITLINK__" hidden="1">{"fdsup://IBCentral/FAT Viewer?action=UPDATE&amp;creator=factset&amp;DOC_NAME=fat:reuters_annual_source_window.fat&amp;display_string=Audit&amp;DYN_ARGS=TRUE&amp;VAR:ID1=09062X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0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1__FDSAUDITLINK__" hidden="1">{"fdsup://IBCentral/FAT Viewer?action=UPDATE&amp;creator=factset&amp;DOC_NAME=fat:reuters_annual_source_window.fat&amp;display_string=Audit&amp;DYN_ARGS=TRUE&amp;VAR:ID1=03116210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03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__FDSAUDITLINK__" hidden="1">{"fdsup://IBCentral/FAT Viewer?action=UPDATE&amp;creator=factset&amp;DOC_NAME=fat:reuters_annual_source_window.fat&amp;display_string=Audit&amp;DYN_ARGS=TRUE&amp;VAR:ID1=58933110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10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04269X10&amp;VAR:RCODE=SCSI&amp;VAR:SDATE=20081299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416__FDSAUDITLINK__" hidden="1">{"fdsup://IBCentral/FAT Viewer?action=UPDATE&amp;creator=factset&amp;DOC_NAME=fat:reuters_annual_source_window.fat&amp;display_string=Audit&amp;DYN_ARGS=TRUE&amp;VAR:ID1=98302410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annual_source_window.fat&amp;display_string=Audit&amp;DYN_ARGS=TRUE&amp;VAR:ID1=98302410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19__FDSAUDITLINK__" hidden="1">{"fdsup://IBCentral/FAT Viewer?action=UPDATE&amp;creator=factset&amp;DOC_NAME=fat:reuters_annual_source_window.fat&amp;display_string=Audit&amp;DYN_ARGS=TRUE&amp;VAR:ID1=98302410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53245710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20__FDSAUDITLINK__" hidden="1">{"fdsup://IBCentral/FAT Viewer?action=UPDATE&amp;creator=factset&amp;DOC_NAME=fat:reuters_annual_source_window.fat&amp;display_string=Audit&amp;DYN_ARGS=TRUE&amp;VAR:ID1=98302410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1__FDSAUDITLINK__" hidden="1">{"fdsup://IBCentral/FAT Viewer?action=UPDATE&amp;creator=factset&amp;DOC_NAME=fat:reuters_annual_source_window.fat&amp;display_string=Audit&amp;DYN_ARGS=TRUE&amp;VAR:ID1=98302410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annual_source_window.fat&amp;display_string=Audit&amp;DYN_ARGS=TRUE&amp;VAR:ID1=98302410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23__FDSAUDITLINK__" hidden="1">{"fdsup://IBCentral/FAT Viewer?action=UPDATE&amp;creator=factset&amp;DOC_NAME=fat:reuters_annual_source_window.fat&amp;display_string=Audit&amp;DYN_ARGS=TRUE&amp;VAR:ID1=98302410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4__FDSAUDITLINK__" hidden="1">{"fdsup://IBCentral/FAT Viewer?action=UPDATE&amp;creator=factset&amp;DOC_NAME=fat:reuters_annual_source_window.fat&amp;display_string=Audit&amp;DYN_ARGS=TRUE&amp;VAR:ID1=98302410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25__FDSAUDITLINK__" hidden="1">{"fdsup://IBCentral/FAT Viewer?action=UPDATE&amp;creator=factset&amp;DOC_NAME=fat:reuters_annual_source_window.fat&amp;display_string=Audit&amp;DYN_ARGS=TRUE&amp;VAR:ID1=80660510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annual_source_window.fat&amp;display_string=Audit&amp;DYN_ARGS=TRUE&amp;VAR:ID1=80660510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80660510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80660510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80660510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annual_source_window.fat&amp;display_string=Audit&amp;DYN_ARGS=TRUE&amp;VAR:ID1=80660510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32__FDSAUDITLINK__" hidden="1">{"fdsup://IBCentral/FAT Viewer?action=UPDATE&amp;creator=factset&amp;DOC_NAME=fat:reuters_annual_source_window.fat&amp;display_string=Audit&amp;DYN_ARGS=TRUE&amp;VAR:ID1=80660510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3__FDSAUDITLINK__" hidden="1">{"fdsup://IBCentral/FAT Viewer?action=UPDATE&amp;creator=factset&amp;DOC_NAME=fat:reuters_annual_source_window.fat&amp;display_string=Audit&amp;DYN_ARGS=TRUE&amp;VAR:ID1=80660510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34__FDSAUDITLINK__" hidden="1">{"fdsup://IBCentral/FAT Viewer?action=UPDATE&amp;creator=factset&amp;DOC_NAME=fat:reuters_annual_source_window.fat&amp;display_string=Audit&amp;DYN_ARGS=TRUE&amp;VAR:ID1=71708110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annual_source_window.fat&amp;display_string=Audit&amp;DYN_ARGS=TRUE&amp;VAR:ID1=71708110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37__FDSAUDITLINK__" hidden="1">{"fdsup://IBCentral/FAT Viewer?action=UPDATE&amp;creator=factset&amp;DOC_NAME=fat:reuters_annual_source_window.fat&amp;display_string=Audit&amp;DYN_ARGS=TRUE&amp;VAR:ID1=71708110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8__FDSAUDITLINK__" hidden="1">{"fdsup://IBCentral/FAT Viewer?action=UPDATE&amp;creator=factset&amp;DOC_NAME=fat:reuters_annual_source_window.fat&amp;display_string=Audit&amp;DYN_ARGS=TRUE&amp;VAR:ID1=71708110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39__FDSAUDITLINK__" hidden="1">{"fdsup://IBCentral/FAT Viewer?action=UPDATE&amp;creator=factset&amp;DOC_NAME=fat:reuters_annual_source_window.fat&amp;display_string=Audit&amp;DYN_ARGS=TRUE&amp;VAR:ID1=71708110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__FDSAUDITLINK__" hidden="1">{"fdsup://IBCentral/FAT Viewer?action=UPDATE&amp;creator=factset&amp;DOC_NAME=fat:reuters_annual_source_window.fat&amp;display_string=Audit&amp;DYN_ARGS=TRUE&amp;VAR:ID1=53245710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annual_source_window.fat&amp;display_string=Audit&amp;DYN_ARGS=TRUE&amp;VAR:ID1=71708110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41__FDSAUDITLINK__" hidden="1">{"fdsup://IBCentral/FAT Viewer?action=UPDATE&amp;creator=factset&amp;DOC_NAME=fat:reuters_annual_source_window.fat&amp;display_string=Audit&amp;DYN_ARGS=TRUE&amp;VAR:ID1=71708110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2__FDSAUDITLINK__" hidden="1">{"fdsup://IBCentral/FAT Viewer?action=UPDATE&amp;creator=factset&amp;DOC_NAME=fat:reuters_annual_source_window.fat&amp;display_string=Audit&amp;DYN_ARGS=TRUE&amp;VAR:ID1=71708110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43__FDSAUDITLINK__" hidden="1">{"fdsup://IBCentral/FAT Viewer?action=UPDATE&amp;creator=factset&amp;DOC_NAME=fat:reuters_annual_source_window.fat&amp;display_string=Audit&amp;DYN_ARGS=TRUE&amp;VAR:ID1=58933110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58933110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58933110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58933110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48__FDSAUDITLINK__" hidden="1">{"fdsup://IBCentral/FAT Viewer?action=UPDATE&amp;creator=factset&amp;DOC_NAME=fat:reuters_annual_source_window.fat&amp;display_string=Audit&amp;DYN_ARGS=TRUE&amp;VAR:ID1=58933110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annual_source_window.fat&amp;display_string=Audit&amp;DYN_ARGS=TRUE&amp;VAR:ID1=58933110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annual_source_window.fat&amp;display_string=Audit&amp;DYN_ARGS=TRUE&amp;VAR:ID1=11012210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annual_source_window.fat&amp;display_string=Audit&amp;DYN_ARGS=TRUE&amp;VAR:ID1=58933110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1__FDSAUDITLINK__" hidden="1">{"fdsup://IBCentral/FAT Viewer?action=UPDATE&amp;creator=factset&amp;DOC_NAME=fat:reuters_annual_source_window.fat&amp;display_string=Audit&amp;DYN_ARGS=TRUE&amp;VAR:ID1=58933110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52__FDSAUDITLINK__" hidden="1">{"fdsup://IBCentral/FAT Viewer?action=UPDATE&amp;creator=factset&amp;DOC_NAME=fat:reuters_annual_source_window.fat&amp;display_string=Audit&amp;DYN_ARGS=TRUE&amp;VAR:ID1=53245710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annual_source_window.fat&amp;display_string=Audit&amp;DYN_ARGS=TRUE&amp;VAR:ID1=53245710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55__FDSAUDITLINK__" hidden="1">{"fdsup://IBCentral/FAT Viewer?action=UPDATE&amp;creator=factset&amp;DOC_NAME=fat:reuters_annual_source_window.fat&amp;display_string=Audit&amp;DYN_ARGS=TRUE&amp;VAR:ID1=53245710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6__FDSAUDITLINK__" hidden="1">{"fdsup://IBCentral/FAT Viewer?action=UPDATE&amp;creator=factset&amp;DOC_NAME=fat:reuters_annual_source_window.fat&amp;display_string=Audit&amp;DYN_ARGS=TRUE&amp;VAR:ID1=53245710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57__FDSAUDITLINK__" hidden="1">{"fdsup://IBCentral/FAT Viewer?action=UPDATE&amp;creator=factset&amp;DOC_NAME=fat:reuters_annual_source_window.fat&amp;display_string=Audit&amp;DYN_ARGS=TRUE&amp;VAR:ID1=53245710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annual_source_window.fat&amp;display_string=Audit&amp;DYN_ARGS=TRUE&amp;VAR:ID1=53245710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59__FDSAUDITLINK__" hidden="1">{"fdsup://IBCentral/FAT Viewer?action=UPDATE&amp;creator=factset&amp;DOC_NAME=fat:reuters_annual_source_window.fat&amp;display_string=Audit&amp;DYN_ARGS=TRUE&amp;VAR:ID1=53245710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0__FDSAUDITLINK__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11012210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11012210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11012210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5__FDSAUDITLINK__" hidden="1">{"fdsup://IBCentral/FAT Viewer?action=UPDATE&amp;creator=factset&amp;DOC_NAME=fat:reuters_annual_source_window.fat&amp;display_string=Audit&amp;DYN_ARGS=TRUE&amp;VAR:ID1=11012210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66__FDSAUDITLINK__" hidden="1">{"fdsup://IBCentral/FAT Viewer?action=UPDATE&amp;creator=factset&amp;DOC_NAME=fat:reuters_annual_source_window.fat&amp;display_string=Audit&amp;DYN_ARGS=TRUE&amp;VAR:ID1=11012210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annual_source_window.fat&amp;display_string=Audit&amp;DYN_ARGS=TRUE&amp;VAR:ID1=11012210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68__FDSAUDITLINK__" hidden="1">{"fdsup://IBCentral/FAT Viewer?action=UPDATE&amp;creator=factset&amp;DOC_NAME=fat:reuters_annual_source_window.fat&amp;display_string=Audit&amp;DYN_ARGS=TRUE&amp;VAR:ID1=11012210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69__FDSAUDITLINK__" hidden="1">{"fdsup://IBCentral/FAT Viewer?action=UPDATE&amp;creator=factset&amp;DOC_NAME=fat:reuters_annual_source_window.fat&amp;display_string=Audit&amp;DYN_ARGS=TRUE&amp;VAR:ID1=11012210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annual_source_window.fat&amp;display_string=Audit&amp;DYN_ARGS=TRUE&amp;VAR:ID1=11012210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annual_source_window.fat&amp;display_string=Audit&amp;DYN_ARGS=TRUE&amp;VAR:ID1=37291710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annual_source_window.fat&amp;display_string=Audit&amp;DYN_ARGS=TRUE&amp;VAR:ID1=37291710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annual_source_window.fat&amp;display_string=Audit&amp;DYN_ARGS=TRUE&amp;VAR:ID1=37291710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3__FDSAUDITLINK__" hidden="1">{"fdsup://IBCentral/FAT Viewer?action=UPDATE&amp;creator=factset&amp;DOC_NAME=fat:reuters_annual_source_window.fat&amp;display_string=Audit&amp;DYN_ARGS=TRUE&amp;VAR:ID1=37291710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4__FDSAUDITLINK__" hidden="1">{"fdsup://IBCentral/FAT Viewer?action=UPDATE&amp;creator=factset&amp;DOC_NAME=fat:reuters_annual_source_window.fat&amp;display_string=Audit&amp;DYN_ARGS=TRUE&amp;VAR:ID1=37291710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75__FDSAUDITLINK__" hidden="1">{"fdsup://IBCentral/FAT Viewer?action=UPDATE&amp;creator=factset&amp;DOC_NAME=fat:reuters_annual_source_window.fat&amp;display_string=Audit&amp;DYN_ARGS=TRUE&amp;VAR:ID1=37291710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annual_source_window.fat&amp;display_string=Audit&amp;DYN_ARGS=TRUE&amp;VAR:ID1=37291710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36871040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36871040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98302410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36871040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1__FDSAUDITLINK__" hidden="1">{"fdsup://IBCentral/FAT Viewer?action=UPDATE&amp;creator=factset&amp;DOC_NAME=fat:reuters_annual_source_window.fat&amp;display_string=Audit&amp;DYN_ARGS=TRUE&amp;VAR:ID1=36871040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2__FDSAUDITLINK__" hidden="1">{"fdsup://IBCentral/FAT Viewer?action=UPDATE&amp;creator=factset&amp;DOC_NAME=fat:reuters_annual_source_window.fat&amp;display_string=Audit&amp;DYN_ARGS=TRUE&amp;VAR:ID1=36871040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83__FDSAUDITLINK__" hidden="1">{"fdsup://IBCentral/FAT Viewer?action=UPDATE&amp;creator=factset&amp;DOC_NAME=fat:reuters_annual_source_window.fat&amp;display_string=Audit&amp;DYN_ARGS=TRUE&amp;VAR:ID1=36871040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annual_source_window.fat&amp;display_string=Audit&amp;DYN_ARGS=TRUE&amp;VAR:ID1=36871040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85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86__FDSAUDITLINK__" hidden="1">{"fdsup://IBCentral/FAT Viewer?action=UPDATE&amp;creator=factset&amp;DOC_NAME=fat:reuters_annual_source_window.fat&amp;display_string=Audit&amp;DYN_ARGS=TRUE&amp;VAR:ID1=36871040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87__FDSAUDITLINK__" hidden="1">{"fdsup://IBCentral/FAT Viewer?action=UPDATE&amp;creator=factset&amp;DOC_NAME=fat:reuters_annual_source_window.fat&amp;display_string=Audit&amp;DYN_ARGS=TRUE&amp;VAR:ID1=15102010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annual_source_window.fat&amp;display_string=Audit&amp;DYN_ARGS=TRUE&amp;VAR:ID1=15102010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annual_source_window.fat&amp;display_string=Audit&amp;DYN_ARGS=TRUE&amp;VAR:ID1=15102010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annual_source_window.fat&amp;display_string=Audit&amp;DYN_ARGS=TRUE&amp;VAR:ID1=98302410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0__FDSAUDITLINK__" hidden="1">{"fdsup://IBCentral/FAT Viewer?action=UPDATE&amp;creator=factset&amp;DOC_NAME=fat:reuters_annual_source_window.fat&amp;display_string=Audit&amp;DYN_ARGS=TRUE&amp;VAR:ID1=15102010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1__FDSAUDITLINK__" hidden="1">{"fdsup://IBCentral/FAT Viewer?action=UPDATE&amp;creator=factset&amp;DOC_NAME=fat:reuters_annual_source_window.fat&amp;display_string=Audit&amp;DYN_ARGS=TRUE&amp;VAR:ID1=15102010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492__FDSAUDITLINK__" hidden="1">{"fdsup://IBCentral/FAT Viewer?action=UPDATE&amp;creator=factset&amp;DOC_NAME=fat:reuters_annual_source_window.fat&amp;display_string=Audit&amp;DYN_ARGS=TRUE&amp;VAR:ID1=15102010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annual_source_window.fat&amp;display_string=Audit&amp;DYN_ARGS=TRUE&amp;VAR:ID1=15102010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15102010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15102010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09062X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09062X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annual_source_window.fat&amp;display_string=Audit&amp;DYN_ARGS=TRUE&amp;VAR:ID1=09062X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499__FDSAUDITLINK__" hidden="1">{"fdsup://IBCentral/FAT Viewer?action=UPDATE&amp;creator=factset&amp;DOC_NAME=fat:reuters_annual_source_window.fat&amp;display_string=Audit&amp;DYN_ARGS=TRUE&amp;VAR:ID1=09062X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80660510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0__FDSAUDITLINK__" hidden="1">{"fdsup://IBCentral/FAT Viewer?action=UPDATE&amp;creator=factset&amp;DOC_NAME=fat:reuters_annual_source_window.fat&amp;display_string=Audit&amp;DYN_ARGS=TRUE&amp;VAR:ID1=09062X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1__FDSAUDITLINK__" hidden="1">{"fdsup://IBCentral/FAT Viewer?action=UPDATE&amp;creator=factset&amp;DOC_NAME=fat:reuters_annual_source_window.fat&amp;display_string=Audit&amp;DYN_ARGS=TRUE&amp;VAR:ID1=09062X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2__FDSAUDITLINK__" hidden="1">{"fdsup://IBCentral/FAT Viewer?action=UPDATE&amp;creator=factset&amp;DOC_NAME=fat:reuters_annual_source_window.fat&amp;display_string=Audit&amp;DYN_ARGS=TRUE&amp;VAR:ID1=09062X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03__FDSAUDITLINK__" hidden="1">{"fdsup://IBCentral/FAT Viewer?action=UPDATE&amp;creator=factset&amp;DOC_NAME=fat:reuters_annual_source_window.fat&amp;display_string=Audit&amp;DYN_ARGS=TRUE&amp;VAR:ID1=09062X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4__FDSAUDITLINK__" hidden="1">{"fdsup://IBCentral/FAT Viewer?action=UPDATE&amp;creator=factset&amp;DOC_NAME=fat:reuters_annual_source_window.fat&amp;display_string=Audit&amp;DYN_ARGS=TRUE&amp;VAR:ID1=09062X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05__FDSAUDITLINK__" hidden="1">{"fdsup://IBCentral/FAT Viewer?action=UPDATE&amp;creator=factset&amp;DOC_NAME=fat:reuters_annual_source_window.fat&amp;display_string=Audit&amp;DYN_ARGS=TRUE&amp;VAR:ID1=03116210&amp;VAR:RCODE=TIA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annual_source_window.fat&amp;display_string=Audit&amp;DYN_ARGS=TRUE&amp;VAR:ID1=03116210&amp;VAR:RCODE=SGAFDS&amp;VAR:SDATE=20071299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annual_source_window.fat&amp;display_string=Audit&amp;DYN_ARGS=TRUE&amp;VAR:ID1=03116210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08__FDSAUDITLINK__" hidden="1">{"fdsup://IBCentral/FAT Viewer?action=UPDATE&amp;creator=factset&amp;DOC_NAME=fat:reuters_annual_source_window.fat&amp;display_string=Audit&amp;DYN_ARGS=TRUE&amp;VAR:ID1=03116210&amp;VAR:RCODE=EIBT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09__FDSAUDITLINK__" hidden="1">{"fdsup://IBCentral/FAT Viewer?action=UPDATE&amp;creator=factset&amp;DOC_NAME=fat:reuters_annual_source_window.fat&amp;display_string=Audit&amp;DYN_ARGS=TRUE&amp;VAR:ID1=03116210&amp;VAR:RCODE=NIBX&amp;VAR:SDATE=20071299&amp;VAR:FREQ=FISCAL_YEARLY&amp;VAR:RELITEM=RP&amp;VAR:CURRENCY=&amp;VAR:CURRSOUR","CE=EXSHARE&amp;VA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annual_source_window.fat&amp;display_string=Audit&amp;DYN_ARGS=TRUE&amp;VAR:ID1=80660510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0__FDSAUDITLINK__" hidden="1">{"fdsup://IBCentral/FAT Viewer?action=UPDATE&amp;creator=factset&amp;DOC_NAME=fat:reuters_annual_source_window.fat&amp;display_string=Audit&amp;DYN_ARGS=TRUE&amp;VAR:ID1=03116210&amp;VAR:RCODE=EIBT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03116210&amp;VAR:RCODE=SGAFDS&amp;VAR:SDATE=20071299&amp;VAR:FREQ=FISCAL_YEARLY&amp;VAR:RELITEM=RP&amp;VAR:CURRENCY=&amp;VAR:CURRSO","URCE=EXSHARE&amp;VAR:NATFREQ=ANNUAL&amp;VAR:RFIELD=FINALIZED&amp;VAR:DB_TYPE=&amp;VAR:UNITS=M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03116210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03116210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annual_source_window.fat&amp;display_string=Audit&amp;DYN_ARGS=TRUE&amp;VAR:ID1=98302410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annual_source_window.fat&amp;display_string=Audit&amp;DYN_ARGS=TRUE&amp;VAR:ID1=80660510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annual_source_window.fat&amp;display_string=Audit&amp;DYN_ARGS=TRUE&amp;VAR:ID1=71708110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__FDSAUDITLINK__" hidden="1">{"fdsup://IBCentral/FAT Viewer?action=UPDATE&amp;creator=factset&amp;DOC_NAME=fat:reuters_annual_source_window.fat&amp;display_string=Audit&amp;DYN_ARGS=TRUE&amp;VAR:ID1=71708110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0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1__FDSAUDITLINK__" hidden="1">{"fdsup://IBCentral/FAT Viewer?action=UPDATE&amp;creator=factset&amp;DOC_NAME=fat:reuters_annual_source_window.fat&amp;display_string=Audit&amp;DYN_ARGS=TRUE&amp;VAR:ID1=58933110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annual_source_window.fat&amp;display_string=Audit&amp;DYN_ARGS=TRUE&amp;VAR:ID1=53245710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annual_source_window.fat&amp;display_string=Audit&amp;DYN_ARGS=TRUE&amp;VAR:ID1=11012210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annual_source_window.fat&amp;display_string=Audit&amp;DYN_ARGS=TRUE&amp;VAR:ID1=37291710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annual_source_window.fat&amp;display_string=Audit&amp;DYN_ARGS=TRUE&amp;VAR:ID1=37291710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36871040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36871040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71708110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15102010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15102010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2__FDSAUDITLINK__" hidden="1">{"fdsup://IBCentral/FAT Viewer?action=UPDATE&amp;creator=factset&amp;DOC_NAME=fat:reuters_annual_source_window.fat&amp;display_string=Audit&amp;DYN_ARGS=TRUE&amp;VAR:ID1=09062X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3__FDSAUDITLINK__" hidden="1">{"fdsup://IBCentral/FAT Viewer?action=UPDATE&amp;creator=factset&amp;DOC_NAME=fat:reuters_annual_source_window.fat&amp;display_string=Audit&amp;DYN_ARGS=TRUE&amp;VAR:ID1=09062X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4__FDSAUDITLINK__" hidden="1">{"fdsup://IBCentral/FAT Viewer?action=UPDATE&amp;creator=factset&amp;DOC_NAME=fat:reuters_annual_source_window.fat&amp;display_string=Audit&amp;DYN_ARGS=TRUE&amp;VAR:ID1=03116210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5__FDSAUDITLINK__" hidden="1">{"fdsup://IBCentral/FAT Viewer?action=UPDATE&amp;creator=factset&amp;DOC_NAME=fat:reuters_annual_source_window.fat&amp;display_string=Audit&amp;DYN_ARGS=TRUE&amp;VAR:ID1=03116210&amp;VAR:RCODE=SREV&amp;VAR:SDATE=20061299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92532F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87612C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73244930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annual_source_window.fat&amp;display_string=Audit&amp;DYN_ARGS=TRUE&amp;VAR:ID1=58933110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40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50064W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45884X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45166R20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6__FDSAUDITLINK__" hidden="1">{"fdsup://IBCentral/FAT Viewer?action=UPDATE&amp;creator=factset&amp;DOC_NAME=fat:reuters_qtrly_source_window.fat&amp;display_string=Audit&amp;DYN_ARGS=TRUE&amp;VAR:ID1=40963P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7__FDSAUDITLINK__" hidden="1">{"fdsup://IBCentral/FAT Viewer?action=UPDATE&amp;creator=factset&amp;DOC_NAME=fat:reuters_qtrly_source_window.fat&amp;display_string=Audit&amp;DYN_ARGS=TRUE&amp;VAR:ID1=40052B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qtrly_source_window.fat&amp;display_string=Audit&amp;DYN_ARGS=TRUE&amp;VAR:ID1=16342810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qtrly_source_window.fat&amp;display_string=Audit&amp;DYN_ARGS=TRUE&amp;VAR:ID1=22208310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58933110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50__FDSAUDITLINK__" hidden="1">{"fdsup://IBCentral/FAT Viewer?action=UPDATE&amp;creator=factset&amp;DOC_NAME=fat:reuters_qtrly_source_window.fat&amp;display_string=Audit&amp;DYN_ARGS=TRUE&amp;VAR:ID1=15102010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1__FDSAUDITLINK__" hidden="1">{"fdsup://IBCentral/FAT Viewer?action=UPDATE&amp;creator=factset&amp;DOC_NAME=fat:reuters_qtrly_source_window.fat&amp;display_string=Audit&amp;DYN_ARGS=TRUE&amp;VAR:ID1=22967810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04269E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53245710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53245710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11012210&amp;VAR:RCODE=TIA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59__FDSAUDITLINK__" hidden="1">{"fdsup://IBCentral/FAT Viewer?action=UPDATE&amp;creator=factset&amp;DOC_NAME=fat:reuters_annual_source_window.fat&amp;display_string=Audit&amp;DYN_ARGS=TRUE&amp;VAR:ID1=11012210&amp;VAR:RCODE=EIBT&amp;VAR:SDATE=20081299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6__FDSAUDITLINK__" hidden="1">{"fdsup://IBCentral/FAT Viewer?action=UPDATE&amp;creator=factset&amp;DOC_NAME=fat:reuters_qtrly_source_window.fat&amp;display_string=Audit&amp;DYN_ARGS=TRUE&amp;VAR:ID1=67104010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annual_source_window.fat&amp;display_string=Audit&amp;DYN_ARGS=TRUE&amp;VAR:ID1=98302410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98302410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annual_source_window.fat&amp;display_string=Audit&amp;DYN_ARGS=TRUE&amp;VAR:ID1=80660510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3__FDSAUDITLINK__" hidden="1">{"fdsup://IBCentral/FAT Viewer?action=UPDATE&amp;creator=factset&amp;DOC_NAME=fat:reuters_annual_source_window.fat&amp;display_string=Audit&amp;DYN_ARGS=TRUE&amp;VAR:ID1=80660510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71708110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71708110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annual_source_window.fat&amp;display_string=Audit&amp;DYN_ARGS=TRUE&amp;VAR:ID1=58933110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7__FDSAUDITLINK__" hidden="1">{"fdsup://IBCentral/FAT Viewer?action=UPDATE&amp;creator=factset&amp;DOC_NAME=fat:reuters_annual_source_window.fat&amp;display_string=Audit&amp;DYN_ARGS=TRUE&amp;VAR:ID1=58933110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annual_source_window.fat&amp;display_string=Audit&amp;DYN_ARGS=TRUE&amp;VAR:ID1=53245710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69__FDSAUDITLINK__" hidden="1">{"fdsup://IBCentral/FAT Viewer?action=UPDATE&amp;creator=factset&amp;DOC_NAME=fat:reuters_annual_source_window.fat&amp;display_string=Audit&amp;DYN_ARGS=TRUE&amp;VAR:ID1=53245710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7__FDSAUDITLINK__" hidden="1">{"fdsup://IBCentral/FAT Viewer?action=UPDATE&amp;creator=factset&amp;DOC_NAME=fat:reuters_qtrly_source_window.fat&amp;display_string=Audit&amp;DYN_ARGS=TRUE&amp;VAR:ID1=68339910&amp;VAR:RCODE=SCSI&amp;VAR:SDATE=20080999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annual_source_window.fat&amp;display_string=Audit&amp;DYN_ARGS=TRUE&amp;VAR:ID1=11012210&amp;VAR:RCODE=SGAFDS&amp;VAR:SDATE=20081299&amp;VAR:FREQ=CALENDAR_YEARLY&amp;VAR:RELITEM=RP&amp;VAR:CURRENCY=&amp;VAR:CURR","SOURCE=EXSHARE&amp;VAR:NATFREQ=ANNUAL&amp;VAR:RFIELD=FINALIZED&amp;VAR:DB_TYPE=&amp;VAR:UNITS=MONTHLY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11012210&amp;VAR:RCODE=ERAD&amp;VAR:SDATE=20061299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3__FDSAUDITLINK__" hidden="1">{"fdsup://IBCentral/FAT Viewer?action=UPDATE&amp;creator=factset&amp;DOC_NAME=fat:reuters_annual_source_window.fat&amp;display_string=Audit&amp;DYN_ARGS=TRUE&amp;VAR:ID1=98302410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80660510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71708110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58933110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__FDSAUDITLINK__" hidden="1">{"fdsup://IBCentral/FAT Viewer?action=UPDATE&amp;creator=factset&amp;DOC_NAME=fat:reuters_qtrly_source_window.fat&amp;display_string=Audit&amp;DYN_ARGS=TRUE&amp;VAR:ID1=59990210&amp;VAR:RCODE=SCSI&amp;VAR:SDATE=20080399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53245710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2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3__FDSAUDITLINK__" hidden="1">{"fdsup://IBCentral/FAT Viewer?action=UPDATE&amp;creator=factset&amp;DOC_NAME=fat:reuters_annual_source_window.fat&amp;display_string=Audit&amp;DYN_ARGS=TRUE&amp;VAR:ID1=11012210&amp;VAR:RCODE=SREV&amp;VAR:SDATE=20071299&amp;VAR:FREQ=CALENDAR_YEARLY&amp;VAR:RELITEM=RP&amp;VAR:CURRENCY=&amp;VAR:CURRSO","URCE=EXSHARE&amp;VAR:NATFREQ=ANNUAL&amp;VAR:RFIELD=FINALIZED&amp;VAR:DB_TYPE=&amp;VAR:UNITS=MONTHLY&amp;window=popup&amp;width=450&amp;height=300&amp;START_MAXIMIZED=FALSE"}</definedName>
    <definedName name="_84__FDSAUDITLINK__" hidden="1">{"fdsup://IBCentral/FAT Viewer?action=UPDATE&amp;creator=factset&amp;DOC_NAME=fat:reuters_annual_source_window.fat&amp;display_string=Audit&amp;DYN_ARGS=TRUE&amp;VAR:ID1=37291710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37291710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annual_source_window.fat&amp;display_string=Audit&amp;DYN_ARGS=TRUE&amp;VAR:ID1=36871040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36871040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annual_source_window.fat&amp;display_string=Audit&amp;DYN_ARGS=TRUE&amp;VAR:ID1=15102010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annual_source_window.fat&amp;display_string=Audit&amp;DYN_ARGS=TRUE&amp;VAR:ID1=15102010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__FDSAUDITLINK__" hidden="1">{"fdsup://IBCentral/FAT Viewer?action=UPDATE&amp;creator=factset&amp;DOC_NAME=fat:reuters_qtrly_source_window.fat&amp;display_string=Audit&amp;DYN_ARGS=TRUE&amp;VAR:ID1=55288010&amp;VAR:RCODE=SCSI&amp;VAR:SDATE=20070999&amp;VAR:FREQ=Quarterly&amp;VAR:RELITEM=RF&amp;VAR:CURRENCY=&amp;VAR:CURRSOURCE=EX","SHARE&amp;VAR:NATFREQ=QUARTERLY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annual_source_window.fat&amp;display_string=Audit&amp;DYN_ARGS=TRUE&amp;VAR:ID1=09062X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annual_source_window.fat&amp;display_string=Audit&amp;DYN_ARGS=TRUE&amp;VAR:ID1=09062X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annual_source_window.fat&amp;display_string=Audit&amp;DYN_ARGS=TRUE&amp;VAR:ID1=03116210&amp;VAR:RCODE=NIBX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03116210&amp;VAR:RCODE=EIBT&amp;VAR:SDATE=20081299&amp;VAR:FREQ=FISCAL_YEARLY&amp;VAR:RELITEM=NOAUDIT&amp;VAR:CURRENCY=&amp;VAR:CUR","RSOURCE=EXSHARE&amp;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annual_source_window.fat&amp;display_string=Audit&amp;DYN_ARGS=TRUE&amp;VAR:ID1=37291710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annual_source_window.fat&amp;display_string=Audit&amp;DYN_ARGS=TRUE&amp;VAR:ID1=37291710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annual_source_window.fat&amp;display_string=Audit&amp;DYN_ARGS=TRUE&amp;VAR:ID1=36871040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annual_source_window.fat&amp;display_string=Audit&amp;DYN_ARGS=TRUE&amp;VAR:ID1=36871040&amp;VAR:RCODE=ERAD&amp;VAR:SDATE=20071299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annual_source_window.fat&amp;display_string=Audit&amp;DYN_ARGS=TRUE&amp;VAR:ID1=36871040&amp;VAR:RCODE=COGSFDS&amp;VAR:SDATE=20081299&amp;VAR:FREQ=FISCAL_YEARLY&amp;VAR:RELITEM=NOAUDIT&amp;VAR:CURRENCY=&amp;VAR:","CURRSOURCE=EXSHARE&amp;VAR:NATFREQ=ANNUAL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15102010&amp;VAR:RCODE=SGAFDS&amp;VAR:SDATE=20081299&amp;VAR:FREQ=FISCAL_YEARLY&amp;VAR:RELITEM=NOAUDIT&amp;VAR:CURRENCY=&amp;VAR:C","URRSOURCE=EXSHARE&amp;VAR:NATFREQ=ANNUAL&amp;VAR:RFIELD=FINALIZED&amp;VAR:DB_TYPE=&amp;VAR:UNITS=M&amp;window=popup&amp;width=450&amp;height=300&amp;START_MAXIMIZED=FALSE"}</definedName>
    <definedName name="_bdm.048F4163A7BB4186891DC124FB3B9E66.edm" hidden="1">[1]AUXL!$1:$1048576</definedName>
    <definedName name="_bdm.2a9dfb94252748d594834b6258067a97.edm" localSheetId="14" hidden="1">MARKETING!$C$2:$K$12</definedName>
    <definedName name="_bdm.3a4873f562e64c218ae18c50ccce2b69.edm" localSheetId="14" hidden="1">MARKETING!$L$16:$X$18</definedName>
    <definedName name="_bdm.3CC90336AE594B0CBE7317C53C0D66DD.edm" hidden="1">#REF!</definedName>
    <definedName name="_bdm.3FECBA13036545C79B9A473AA4E3CAED.edm" hidden="1">#REF!</definedName>
    <definedName name="_bdm.73E75839B59247D78AD12A7ABF451BA5.edm" hidden="1">#REF!</definedName>
    <definedName name="_bdm.859f4622ba0f4583bc69cba8128cd9a6.edm" hidden="1">MARKETING!$1:$1048576</definedName>
    <definedName name="_bdm.EB10CA33154A48478593B52CEC155E75.edm" hidden="1">#REF!</definedName>
    <definedName name="_bdm.FastTrackBookmark.6_25_2018_5_35_02_PM.edm" hidden="1">#REF!</definedName>
    <definedName name="_bdm.FastTrackBookmark.6_25_2018_5_35_03_PM.edm" hidden="1">#REF!</definedName>
    <definedName name="_bdm.FastTrackBookmark.6_25_2018_5_58_22_PM.edm" hidden="1">#REF!</definedName>
    <definedName name="_bdm.FastTrackBookmark.6_25_2018_5_58_23_PM.edm" hidden="1">#REF!</definedName>
    <definedName name="_bdm.FastTrackBookmark.7_10_2018_7_55_23_AM.edm" hidden="1">#REF!</definedName>
    <definedName name="_bdm.FastTrackBookmark.7_10_2018_7_55_24_AM.edm" hidden="1">#REF!</definedName>
    <definedName name="_bdm.FastTrackBookmark.9_30_2018_10_38_18_PM.edm" hidden="1">#REF!</definedName>
    <definedName name="_xlchart.v1.0" hidden="1">'SOTP-FIGURE'!$AF$44:$AH$44</definedName>
    <definedName name="_xlchart.v1.1" hidden="1">'SOTP-FIGURE'!$AF$46:$AH$46</definedName>
    <definedName name="as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h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LPH1" hidden="1">'[2]Price Perf'!#REF!</definedName>
    <definedName name="c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BWorkbookPriority" hidden="1">-802538173</definedName>
    <definedName name="CIQWBGuid" hidden="1">"AMGN projection modelv2.xlsx"</definedName>
    <definedName name="FDP_0_1_aUrv" hidden="1">#REF!</definedName>
    <definedName name="FDP_1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0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1_1_aUrv" hidden="1">#REF!</definedName>
    <definedName name="FDP_153_1_aU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9_1_aUrv" hidden="1">#REF!</definedName>
    <definedName name="FDP_18_1_aUr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3_1_aDrv" hidden="1">#REF!</definedName>
    <definedName name="FDP_25_1_aUrv" hidden="1">#REF!</definedName>
    <definedName name="FDP_26_1_aUrv" hidden="1">#REF!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40_1_aUrv" hidden="1">#REF!</definedName>
    <definedName name="FDP_43_1_aUrv" hidden="1">#REF!</definedName>
    <definedName name="FDP_44_1_aUrv" hidden="1">#REF!</definedName>
    <definedName name="FDP_47_1_aUrv" hidden="1">#REF!</definedName>
    <definedName name="FDP_49_1_aUrv" hidden="1">#REF!</definedName>
    <definedName name="FDP_50_1_aUrv" hidden="1">#REF!</definedName>
    <definedName name="FDP_51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0_1_aUrv" hidden="1">#REF!</definedName>
    <definedName name="FDP_63_1_aUrv" hidden="1">#REF!</definedName>
    <definedName name="FDP_65_1_aSrv" hidden="1">#REF!</definedName>
    <definedName name="FDP_67_1_aUrv" hidden="1">#REF!</definedName>
    <definedName name="FDP_7_1_aUrv" hidden="1">#REF!</definedName>
    <definedName name="FDP_71_1_aUrv" hidden="1">#REF!</definedName>
    <definedName name="FDP_77_1_aUrv" hidden="1">#REF!</definedName>
    <definedName name="FDP_79_1_aUrv" hidden="1">#REF!</definedName>
    <definedName name="FDP_82_1_aUrv" hidden="1">#REF!</definedName>
    <definedName name="FDP_84_1_aUrv" hidden="1">#REF!</definedName>
    <definedName name="FDP_85_1_aUrv" hidden="1">#REF!</definedName>
    <definedName name="FDP_90_1_aUrv" hidden="1">#REF!</definedName>
    <definedName name="FDP_91_1_aUrv" hidden="1">#REF!</definedName>
    <definedName name="FDP_92_1_aSrv" hidden="1">#REF!</definedName>
    <definedName name="FDP_95_1_aUrv" hidden="1">#REF!</definedName>
    <definedName name="FDP_96_1_aUrv" hidden="1">#REF!</definedName>
    <definedName name="FDP_99_1_aUrv" hidden="1">#REF!</definedName>
    <definedName name="IP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42209.4748263889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38890.6228125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NDTI">#REF!</definedName>
    <definedName name="ne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w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nn" hidden="1">{"fdsup://IBCentral/FAT Viewer?action=UPDATE&amp;creator=factset&amp;DOC_NAME=fat:reuters_annual_source_window.fat&amp;display_string=Audit&amp;DYN_ARGS=TRUE&amp;VAR:ID1=53245710&amp;VAR:RCODE=COGSFDS&amp;VAR:SDATE=20071299&amp;VAR:FREQ=FISCAL_YEARLY&amp;VAR:RELITEM=RP&amp;VAR:CURRENCY=&amp;VAR:CURRS","OURCE=EXSHARE&amp;VAR:NATFREQ=ANNUAL&amp;VAR:RFIELD=FINALIZED&amp;VAR:DB_TYPE=&amp;VAR:UNITS=M&amp;window=popup&amp;width=450&amp;height=300&amp;START_MAXIMIZED=FALSE"}</definedName>
    <definedName name="Notes" localSheetId="5">ML007MA_ME!$C$62,ML007MA_ME!$C$63:$C$65</definedName>
    <definedName name="Notes">'[3]VA Consensus'!$C$172,'[3]VA Consensus'!$C$173:$C$175</definedName>
    <definedName name="NPA">#REF!</definedName>
    <definedName name="RP_PP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_IS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xcz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achovia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model." hidden="1">{#N/A,#N/A,FALSE,"AMS Prod Sales"}</definedName>
    <definedName name="wrn.model._1" hidden="1">{#N/A,#N/A,FALSE,"AMS Prod Sales"}</definedName>
    <definedName name="wrn.model._1_1" hidden="1">{#N/A,#N/A,FALSE,"AMS Prod Sales"}</definedName>
    <definedName name="wrn.model._1_2" hidden="1">{#N/A,#N/A,FALSE,"AMS Prod Sales"}</definedName>
    <definedName name="wrn.model._2" hidden="1">{#N/A,#N/A,FALSE,"AMS Prod Sales"}</definedName>
    <definedName name="wrn.model._3" hidden="1">{#N/A,#N/A,FALSE,"AMS Prod Sales"}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9" l="1"/>
  <c r="E1" i="19"/>
  <c r="C2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AA38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AA40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Y44" i="19"/>
  <c r="Z44" i="19"/>
  <c r="AA44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Z45" i="19"/>
  <c r="AA45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V46" i="19"/>
  <c r="W46" i="19"/>
  <c r="X46" i="19"/>
  <c r="Y46" i="19"/>
  <c r="Z46" i="19"/>
  <c r="AA46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U48" i="19"/>
  <c r="V48" i="19"/>
  <c r="W48" i="19"/>
  <c r="X48" i="19"/>
  <c r="Y48" i="19"/>
  <c r="Z48" i="19"/>
  <c r="AA48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X49" i="19"/>
  <c r="Y49" i="19"/>
  <c r="Z49" i="19"/>
  <c r="AA49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U50" i="19"/>
  <c r="V50" i="19"/>
  <c r="W50" i="19"/>
  <c r="X50" i="19"/>
  <c r="Y50" i="19"/>
  <c r="Z50" i="19"/>
  <c r="AA50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U52" i="19"/>
  <c r="V52" i="19"/>
  <c r="W52" i="19"/>
  <c r="X52" i="19"/>
  <c r="Y52" i="19"/>
  <c r="Z52" i="19"/>
  <c r="AA52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Z53" i="19"/>
  <c r="AA53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Z58" i="19"/>
  <c r="AA58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W15" i="7" l="1"/>
  <c r="AV15" i="7"/>
  <c r="AU15" i="7"/>
  <c r="AT15" i="7"/>
  <c r="AS15" i="7"/>
  <c r="AR15" i="7"/>
  <c r="AQ15" i="7"/>
  <c r="AP15" i="7"/>
  <c r="AW13" i="7"/>
  <c r="AV13" i="7"/>
  <c r="AU13" i="7"/>
  <c r="AT13" i="7"/>
  <c r="AS13" i="7"/>
  <c r="AR13" i="7"/>
  <c r="AQ13" i="7"/>
  <c r="AP13" i="7"/>
  <c r="AW10" i="7"/>
  <c r="AV10" i="7"/>
  <c r="AU10" i="7"/>
  <c r="AT10" i="7"/>
  <c r="AS10" i="7"/>
  <c r="AR10" i="7"/>
  <c r="AQ10" i="7"/>
  <c r="AP10" i="7"/>
  <c r="AW8" i="7"/>
  <c r="AV8" i="7"/>
  <c r="AU8" i="7"/>
  <c r="AT8" i="7"/>
  <c r="AS8" i="7"/>
  <c r="AR8" i="7"/>
  <c r="AQ8" i="7"/>
  <c r="AP8" i="7"/>
  <c r="AG45" i="10"/>
  <c r="AF45" i="10"/>
  <c r="AF46" i="10"/>
  <c r="X54" i="6" l="1"/>
  <c r="O19" i="5"/>
  <c r="AH46" i="10" l="1"/>
  <c r="T18" i="10"/>
  <c r="U18" i="10"/>
  <c r="G7" i="18" l="1"/>
  <c r="G6" i="18"/>
  <c r="G5" i="18"/>
  <c r="S15" i="11" a="1"/>
  <c r="L17" i="11" a="1"/>
  <c r="S45" i="11" a="1"/>
  <c r="S40" i="11" a="1"/>
  <c r="R21" i="11"/>
  <c r="S18" i="11" a="1"/>
  <c r="L16" i="11" a="1"/>
  <c r="R36" i="11"/>
  <c r="L25" i="11" a="1"/>
  <c r="B28" i="11" a="1"/>
  <c r="B14" i="11" a="1"/>
  <c r="W18" i="11" a="1"/>
  <c r="N15" i="11" a="1"/>
  <c r="W17" i="11" a="1"/>
  <c r="L38" i="11" a="1"/>
  <c r="N21" i="11" a="1"/>
  <c r="W30" i="11" a="1"/>
  <c r="N9" i="11" a="1"/>
  <c r="B35" i="11" a="1"/>
  <c r="L37" i="11" a="1"/>
  <c r="L24" i="11" a="1"/>
  <c r="W15" i="11" a="1"/>
  <c r="W37" i="11" a="1"/>
  <c r="R24" i="11"/>
  <c r="N40" i="11" a="1"/>
  <c r="W24" i="11" a="1"/>
  <c r="L43" i="11" a="1"/>
  <c r="S30" i="11" a="1"/>
  <c r="S18" i="12"/>
  <c r="W20" i="11" a="1"/>
  <c r="S44" i="11" a="1"/>
  <c r="W39" i="11" a="1"/>
  <c r="B39" i="11" a="1"/>
  <c r="S21" i="11" a="1"/>
  <c r="W36" i="11" a="1"/>
  <c r="B24" i="11" a="1"/>
  <c r="W16" i="11" a="1"/>
  <c r="N41" i="11" a="1"/>
  <c r="W41" i="11" a="1"/>
  <c r="S38" i="11" a="1"/>
  <c r="S42" i="11" a="1"/>
  <c r="B6" i="11" a="1"/>
  <c r="L41" i="11" a="1"/>
  <c r="B25" i="11" a="1"/>
  <c r="R15" i="11"/>
  <c r="R28" i="11"/>
  <c r="S31" i="11" a="1"/>
  <c r="S19" i="11" a="1"/>
  <c r="B15" i="11" a="1"/>
  <c r="L9" i="11" a="1"/>
  <c r="B23" i="11" a="1"/>
  <c r="S24" i="11" a="1"/>
  <c r="N38" i="11" a="1"/>
  <c r="N44" i="11" a="1"/>
  <c r="R26" i="11"/>
  <c r="R39" i="11"/>
  <c r="L39" i="11" a="1"/>
  <c r="R38" i="11"/>
  <c r="W27" i="11" a="1"/>
  <c r="R19" i="11"/>
  <c r="L18" i="11" a="1"/>
  <c r="R30" i="11"/>
  <c r="S6" i="11" a="1"/>
  <c r="N23" i="11" a="1"/>
  <c r="N28" i="11" a="1"/>
  <c r="N19" i="11" a="1"/>
  <c r="R42" i="11"/>
  <c r="L45" i="11" a="1"/>
  <c r="N27" i="11" a="1"/>
  <c r="U18" i="12"/>
  <c r="W8" i="11" a="1"/>
  <c r="N20" i="11" a="1"/>
  <c r="L31" i="11" a="1"/>
  <c r="S22" i="11" a="1"/>
  <c r="N39" i="11" a="1"/>
  <c r="S16" i="11" a="1"/>
  <c r="R17" i="11"/>
  <c r="R16" i="11"/>
  <c r="S29" i="11" a="1"/>
  <c r="W29" i="11" a="1"/>
  <c r="S43" i="11" a="1"/>
  <c r="L27" i="11" a="1"/>
  <c r="W40" i="11" a="1"/>
  <c r="N43" i="11" a="1"/>
  <c r="B36" i="11" a="1"/>
  <c r="B8" i="11" a="1"/>
  <c r="W45" i="11" a="1"/>
  <c r="W9" i="11" a="1"/>
  <c r="R29" i="11"/>
  <c r="R41" i="11"/>
  <c r="N37" i="11" a="1"/>
  <c r="S17" i="11" a="1"/>
  <c r="W6" i="11" a="1"/>
  <c r="R31" i="11"/>
  <c r="R6" i="11"/>
  <c r="W43" i="11" a="1"/>
  <c r="W38" i="11" a="1"/>
  <c r="B37" i="11" a="1"/>
  <c r="B19" i="11" a="1"/>
  <c r="R37" i="11"/>
  <c r="S36" i="11" a="1"/>
  <c r="W31" i="11" a="1"/>
  <c r="L28" i="11" a="1"/>
  <c r="W21" i="11" a="1"/>
  <c r="B27" i="11" a="1"/>
  <c r="B17" i="11" a="1"/>
  <c r="W19" i="11" a="1"/>
  <c r="N7" i="11" a="1"/>
  <c r="S39" i="11" a="1"/>
  <c r="B18" i="11" a="1"/>
  <c r="R18" i="11"/>
  <c r="W28" i="11" a="1"/>
  <c r="L44" i="11" a="1"/>
  <c r="B22" i="11" a="1"/>
  <c r="W23" i="11" a="1"/>
  <c r="L7" i="11" a="1"/>
  <c r="B26" i="11" a="1"/>
  <c r="R40" i="11"/>
  <c r="B40" i="11" a="1"/>
  <c r="L42" i="11" a="1"/>
  <c r="S41" i="11" a="1"/>
  <c r="L21" i="11" a="1"/>
  <c r="N26" i="11" a="1"/>
  <c r="S23" i="11" a="1"/>
  <c r="N25" i="11" a="1"/>
  <c r="S27" i="11" a="1"/>
  <c r="B20" i="11" a="1"/>
  <c r="S28" i="11" a="1"/>
  <c r="B16" i="11" a="1"/>
  <c r="S20" i="11" a="1"/>
  <c r="L40" i="11" a="1"/>
  <c r="B38" i="11" a="1"/>
  <c r="N42" i="11" a="1"/>
  <c r="R27" i="11"/>
  <c r="S8" i="11" a="1"/>
  <c r="S25" i="11" a="1"/>
  <c r="L20" i="11" a="1"/>
  <c r="B21" i="11" a="1"/>
  <c r="R9" i="11"/>
  <c r="B42" i="11" a="1"/>
  <c r="R44" i="11"/>
  <c r="N6" i="11" a="1"/>
  <c r="N8" i="11" a="1"/>
  <c r="L29" i="11" a="1"/>
  <c r="L15" i="11" a="1"/>
  <c r="L23" i="11" a="1"/>
  <c r="N30" i="11" a="1"/>
  <c r="W7" i="11" a="1"/>
  <c r="R25" i="11"/>
  <c r="S37" i="11" a="1"/>
  <c r="R20" i="11"/>
  <c r="N29" i="11" a="1"/>
  <c r="N16" i="11" a="1"/>
  <c r="B41" i="11" a="1"/>
  <c r="B29" i="11" a="1"/>
  <c r="N18" i="11" a="1"/>
  <c r="W42" i="11" a="1"/>
  <c r="R43" i="11"/>
  <c r="N31" i="11" a="1"/>
  <c r="L19" i="11" a="1"/>
  <c r="B7" i="11" a="1"/>
  <c r="R23" i="11"/>
  <c r="L22" i="11" a="1"/>
  <c r="B43" i="11" a="1"/>
  <c r="N17" i="11" a="1"/>
  <c r="L8" i="11" a="1"/>
  <c r="W26" i="11" a="1"/>
  <c r="N22" i="11" a="1"/>
  <c r="W44" i="11" a="1"/>
  <c r="S7" i="11" a="1"/>
  <c r="S26" i="11" a="1"/>
  <c r="N24" i="11" a="1"/>
  <c r="R8" i="11"/>
  <c r="L36" i="11" a="1"/>
  <c r="L26" i="11" a="1"/>
  <c r="R45" i="11"/>
  <c r="N36" i="11" a="1"/>
  <c r="N45" i="11" a="1"/>
  <c r="R22" i="11"/>
  <c r="R7" i="11"/>
  <c r="T18" i="12"/>
  <c r="L6" i="11" a="1"/>
  <c r="S9" i="11" a="1"/>
  <c r="W22" i="11" a="1"/>
  <c r="L30" i="11" a="1"/>
  <c r="W25" i="11" a="1"/>
  <c r="M6" i="11" l="1"/>
  <c r="L6" i="11"/>
  <c r="Q6" i="11"/>
  <c r="P6" i="11"/>
  <c r="O6" i="11"/>
  <c r="N6" i="11"/>
  <c r="V6" i="11"/>
  <c r="U6" i="11"/>
  <c r="T6" i="11"/>
  <c r="S6" i="11"/>
  <c r="X6" i="11"/>
  <c r="W6" i="11"/>
  <c r="M7" i="11"/>
  <c r="L7" i="11"/>
  <c r="Q7" i="11"/>
  <c r="P7" i="11"/>
  <c r="O7" i="11"/>
  <c r="N7" i="11"/>
  <c r="V7" i="11"/>
  <c r="U7" i="11"/>
  <c r="T7" i="11"/>
  <c r="S7" i="11"/>
  <c r="X7" i="11"/>
  <c r="W7" i="11"/>
  <c r="M8" i="11"/>
  <c r="L8" i="11"/>
  <c r="Q8" i="11"/>
  <c r="O8" i="11"/>
  <c r="N8" i="11"/>
  <c r="P8" i="11"/>
  <c r="V8" i="11"/>
  <c r="U8" i="11"/>
  <c r="T8" i="11"/>
  <c r="S8" i="11"/>
  <c r="W8" i="11"/>
  <c r="X8" i="11"/>
  <c r="M9" i="11"/>
  <c r="L9" i="11"/>
  <c r="Q9" i="11"/>
  <c r="O9" i="11"/>
  <c r="N9" i="11"/>
  <c r="P9" i="11"/>
  <c r="T9" i="11"/>
  <c r="S9" i="11"/>
  <c r="V9" i="11"/>
  <c r="U9" i="11"/>
  <c r="X9" i="11"/>
  <c r="W9" i="11"/>
  <c r="G6" i="11"/>
  <c r="F6" i="11"/>
  <c r="E6" i="11"/>
  <c r="D6" i="11"/>
  <c r="B6" i="11"/>
  <c r="H6" i="11"/>
  <c r="C6" i="11"/>
  <c r="G7" i="11"/>
  <c r="J11" i="12" s="1"/>
  <c r="F7" i="11"/>
  <c r="I11" i="12" s="1"/>
  <c r="D7" i="11"/>
  <c r="G11" i="12" s="1"/>
  <c r="H7" i="11"/>
  <c r="K11" i="12" s="1"/>
  <c r="E7" i="11"/>
  <c r="H11" i="12" s="1"/>
  <c r="C7" i="11"/>
  <c r="B7" i="11"/>
  <c r="F8" i="11"/>
  <c r="E8" i="11"/>
  <c r="D8" i="11"/>
  <c r="C8" i="11"/>
  <c r="B8" i="11"/>
  <c r="H8" i="11"/>
  <c r="G8" i="11"/>
  <c r="F14" i="11"/>
  <c r="E14" i="11"/>
  <c r="D14" i="11"/>
  <c r="C14" i="11"/>
  <c r="B14" i="11"/>
  <c r="G14" i="11"/>
  <c r="H14" i="11"/>
  <c r="G15" i="11"/>
  <c r="J6" i="12" s="1"/>
  <c r="F15" i="11"/>
  <c r="I6" i="12" s="1"/>
  <c r="E15" i="11"/>
  <c r="H6" i="12" s="1"/>
  <c r="D15" i="11"/>
  <c r="G6" i="12" s="1"/>
  <c r="C15" i="11"/>
  <c r="B15" i="11"/>
  <c r="H15" i="11"/>
  <c r="K6" i="12" s="1"/>
  <c r="D16" i="11"/>
  <c r="C16" i="11"/>
  <c r="B16" i="11"/>
  <c r="H16" i="11"/>
  <c r="G16" i="11"/>
  <c r="F16" i="11"/>
  <c r="E16" i="11"/>
  <c r="E17" i="11"/>
  <c r="D17" i="11"/>
  <c r="C17" i="11"/>
  <c r="B17" i="11"/>
  <c r="H17" i="11"/>
  <c r="G17" i="11"/>
  <c r="F17" i="11"/>
  <c r="G18" i="11"/>
  <c r="B18" i="11"/>
  <c r="F18" i="11"/>
  <c r="E18" i="11"/>
  <c r="D18" i="11"/>
  <c r="C18" i="11"/>
  <c r="H18" i="11"/>
  <c r="F19" i="11"/>
  <c r="E19" i="11"/>
  <c r="D19" i="11"/>
  <c r="C19" i="11"/>
  <c r="B19" i="11"/>
  <c r="H19" i="11"/>
  <c r="G19" i="11"/>
  <c r="D20" i="11"/>
  <c r="C20" i="11"/>
  <c r="B20" i="11"/>
  <c r="H20" i="11"/>
  <c r="G20" i="11"/>
  <c r="F20" i="11"/>
  <c r="E20" i="11"/>
  <c r="C21" i="11"/>
  <c r="B21" i="11"/>
  <c r="G21" i="11"/>
  <c r="F21" i="11"/>
  <c r="E21" i="11"/>
  <c r="D21" i="11"/>
  <c r="H21" i="11"/>
  <c r="F22" i="11"/>
  <c r="E22" i="11"/>
  <c r="D22" i="11"/>
  <c r="C22" i="11"/>
  <c r="B22" i="11"/>
  <c r="H22" i="11"/>
  <c r="G22" i="11"/>
  <c r="F23" i="11"/>
  <c r="E23" i="11"/>
  <c r="C23" i="11"/>
  <c r="B23" i="11"/>
  <c r="H23" i="11"/>
  <c r="G23" i="11"/>
  <c r="D23" i="11"/>
  <c r="E24" i="11"/>
  <c r="D24" i="11"/>
  <c r="C24" i="11"/>
  <c r="B24" i="11"/>
  <c r="H24" i="11"/>
  <c r="G24" i="11"/>
  <c r="F24" i="11"/>
  <c r="E25" i="11"/>
  <c r="D25" i="11"/>
  <c r="C25" i="11"/>
  <c r="B25" i="11"/>
  <c r="H25" i="11"/>
  <c r="G25" i="11"/>
  <c r="F25" i="11"/>
  <c r="F26" i="11"/>
  <c r="E26" i="11"/>
  <c r="D26" i="11"/>
  <c r="C26" i="11"/>
  <c r="B26" i="11"/>
  <c r="H26" i="11"/>
  <c r="G26" i="11"/>
  <c r="F27" i="11"/>
  <c r="E27" i="11"/>
  <c r="D27" i="11"/>
  <c r="C27" i="11"/>
  <c r="B27" i="11"/>
  <c r="H27" i="11"/>
  <c r="G27" i="11"/>
  <c r="F28" i="11"/>
  <c r="E28" i="11"/>
  <c r="D28" i="11"/>
  <c r="C28" i="11"/>
  <c r="B28" i="11"/>
  <c r="H28" i="11"/>
  <c r="G28" i="11"/>
  <c r="B29" i="11"/>
  <c r="H29" i="11"/>
  <c r="G29" i="11"/>
  <c r="F29" i="11"/>
  <c r="E29" i="11"/>
  <c r="D29" i="11"/>
  <c r="C29" i="11"/>
  <c r="M15" i="11"/>
  <c r="L15" i="11"/>
  <c r="N15" i="11"/>
  <c r="Q15" i="11"/>
  <c r="P15" i="11"/>
  <c r="O15" i="11"/>
  <c r="V15" i="11"/>
  <c r="U15" i="11"/>
  <c r="T15" i="11"/>
  <c r="S15" i="11"/>
  <c r="X15" i="11"/>
  <c r="W15" i="11"/>
  <c r="M16" i="11"/>
  <c r="L16" i="11"/>
  <c r="Q16" i="11"/>
  <c r="P16" i="11"/>
  <c r="O16" i="11"/>
  <c r="N16" i="11"/>
  <c r="V16" i="11"/>
  <c r="S16" i="11"/>
  <c r="U16" i="11"/>
  <c r="T16" i="11"/>
  <c r="X16" i="11"/>
  <c r="W16" i="11"/>
  <c r="M17" i="11"/>
  <c r="L17" i="11"/>
  <c r="Q17" i="11"/>
  <c r="P17" i="11"/>
  <c r="O17" i="11"/>
  <c r="N17" i="11"/>
  <c r="V17" i="11"/>
  <c r="T17" i="11"/>
  <c r="U17" i="11"/>
  <c r="S17" i="11"/>
  <c r="X17" i="11"/>
  <c r="W17" i="11"/>
  <c r="M18" i="11"/>
  <c r="L18" i="11"/>
  <c r="Q18" i="11"/>
  <c r="P18" i="11"/>
  <c r="O18" i="11"/>
  <c r="N18" i="11"/>
  <c r="V18" i="11"/>
  <c r="U18" i="11"/>
  <c r="T18" i="11"/>
  <c r="S18" i="11"/>
  <c r="X18" i="11"/>
  <c r="W18" i="11"/>
  <c r="L19" i="11"/>
  <c r="M19" i="11"/>
  <c r="Q19" i="11"/>
  <c r="O19" i="11"/>
  <c r="P19" i="11"/>
  <c r="N19" i="11"/>
  <c r="V19" i="11"/>
  <c r="U19" i="11"/>
  <c r="T19" i="11"/>
  <c r="S19" i="11"/>
  <c r="X19" i="11"/>
  <c r="W19" i="11"/>
  <c r="M20" i="11"/>
  <c r="L20" i="11"/>
  <c r="Q20" i="11"/>
  <c r="P20" i="11"/>
  <c r="N20" i="11"/>
  <c r="O20" i="11"/>
  <c r="V20" i="11"/>
  <c r="U20" i="11"/>
  <c r="T20" i="11"/>
  <c r="S20" i="11"/>
  <c r="X20" i="11"/>
  <c r="W20" i="11"/>
  <c r="M21" i="11"/>
  <c r="L21" i="11"/>
  <c r="Q21" i="11"/>
  <c r="P21" i="11"/>
  <c r="O21" i="11"/>
  <c r="N21" i="11"/>
  <c r="V21" i="11"/>
  <c r="U21" i="11"/>
  <c r="T21" i="11"/>
  <c r="S21" i="11"/>
  <c r="X21" i="11"/>
  <c r="W21" i="11"/>
  <c r="M22" i="11"/>
  <c r="L22" i="11"/>
  <c r="Q22" i="11"/>
  <c r="P22" i="11"/>
  <c r="O22" i="11"/>
  <c r="N22" i="11"/>
  <c r="V22" i="11"/>
  <c r="U22" i="11"/>
  <c r="S22" i="11"/>
  <c r="T22" i="11"/>
  <c r="X22" i="11"/>
  <c r="W22" i="11"/>
  <c r="M23" i="11"/>
  <c r="L23" i="11"/>
  <c r="Q23" i="11"/>
  <c r="P23" i="11"/>
  <c r="O23" i="11"/>
  <c r="N23" i="11"/>
  <c r="V23" i="11"/>
  <c r="U23" i="11"/>
  <c r="T23" i="11"/>
  <c r="S23" i="11"/>
  <c r="X23" i="11"/>
  <c r="W23" i="11"/>
  <c r="M24" i="11"/>
  <c r="L24" i="11"/>
  <c r="Q24" i="11"/>
  <c r="P24" i="11"/>
  <c r="O24" i="11"/>
  <c r="N24" i="11"/>
  <c r="V24" i="11"/>
  <c r="U24" i="11"/>
  <c r="T24" i="11"/>
  <c r="S24" i="11"/>
  <c r="X24" i="11"/>
  <c r="W24" i="11"/>
  <c r="L25" i="11"/>
  <c r="M25" i="11"/>
  <c r="Q25" i="11"/>
  <c r="P25" i="11"/>
  <c r="O25" i="11"/>
  <c r="N25" i="11"/>
  <c r="V25" i="11"/>
  <c r="U25" i="11"/>
  <c r="T25" i="11"/>
  <c r="S25" i="11"/>
  <c r="X25" i="11"/>
  <c r="W25" i="11"/>
  <c r="M26" i="11"/>
  <c r="L26" i="11"/>
  <c r="Q26" i="11"/>
  <c r="P26" i="11"/>
  <c r="O26" i="11"/>
  <c r="N26" i="11"/>
  <c r="V26" i="11"/>
  <c r="U26" i="11"/>
  <c r="T26" i="11"/>
  <c r="S26" i="11"/>
  <c r="X26" i="11"/>
  <c r="W26" i="11"/>
  <c r="M27" i="11"/>
  <c r="L27" i="11"/>
  <c r="Q27" i="11"/>
  <c r="P27" i="11"/>
  <c r="N27" i="11"/>
  <c r="O27" i="11"/>
  <c r="V27" i="11"/>
  <c r="U27" i="11"/>
  <c r="T27" i="11"/>
  <c r="S27" i="11"/>
  <c r="X27" i="11"/>
  <c r="W27" i="11"/>
  <c r="M28" i="11"/>
  <c r="L28" i="11"/>
  <c r="O28" i="11"/>
  <c r="N28" i="11"/>
  <c r="Q28" i="11"/>
  <c r="P28" i="11"/>
  <c r="T28" i="11"/>
  <c r="S28" i="11"/>
  <c r="V28" i="11"/>
  <c r="U28" i="11"/>
  <c r="X28" i="11"/>
  <c r="W28" i="11"/>
  <c r="M29" i="11"/>
  <c r="L29" i="11"/>
  <c r="O29" i="11"/>
  <c r="N29" i="11"/>
  <c r="Q29" i="11"/>
  <c r="P29" i="11"/>
  <c r="T29" i="11"/>
  <c r="S29" i="11"/>
  <c r="V29" i="11"/>
  <c r="U29" i="11"/>
  <c r="W29" i="11"/>
  <c r="X29" i="11"/>
  <c r="L30" i="11"/>
  <c r="M30" i="11"/>
  <c r="O30" i="11"/>
  <c r="N30" i="11"/>
  <c r="P30" i="11"/>
  <c r="Q30" i="11"/>
  <c r="S30" i="11"/>
  <c r="U30" i="11"/>
  <c r="V30" i="11"/>
  <c r="T30" i="11"/>
  <c r="X30" i="11"/>
  <c r="W30" i="11"/>
  <c r="M31" i="11"/>
  <c r="L31" i="11"/>
  <c r="O31" i="11"/>
  <c r="N31" i="11"/>
  <c r="Q31" i="11"/>
  <c r="P31" i="11"/>
  <c r="V31" i="11"/>
  <c r="U31" i="11"/>
  <c r="T31" i="11"/>
  <c r="S31" i="11"/>
  <c r="W31" i="11"/>
  <c r="X31" i="11"/>
  <c r="C35" i="11"/>
  <c r="B35" i="11"/>
  <c r="H35" i="11"/>
  <c r="G35" i="11"/>
  <c r="F35" i="11"/>
  <c r="E35" i="11"/>
  <c r="D35" i="11"/>
  <c r="E36" i="11"/>
  <c r="D36" i="11"/>
  <c r="C36" i="11"/>
  <c r="B36" i="11"/>
  <c r="H36" i="11"/>
  <c r="G36" i="11"/>
  <c r="F36" i="11"/>
  <c r="D37" i="11"/>
  <c r="C37" i="11"/>
  <c r="B37" i="11"/>
  <c r="H37" i="11"/>
  <c r="E37" i="11"/>
  <c r="G37" i="11"/>
  <c r="F37" i="11"/>
  <c r="C38" i="11"/>
  <c r="B38" i="11"/>
  <c r="H38" i="11"/>
  <c r="G38" i="11"/>
  <c r="F38" i="11"/>
  <c r="E38" i="11"/>
  <c r="D38" i="11"/>
  <c r="B39" i="11"/>
  <c r="H39" i="11"/>
  <c r="G39" i="11"/>
  <c r="F39" i="11"/>
  <c r="E39" i="11"/>
  <c r="D39" i="11"/>
  <c r="C39" i="11"/>
  <c r="C40" i="11"/>
  <c r="B40" i="11"/>
  <c r="H40" i="11"/>
  <c r="G40" i="11"/>
  <c r="F40" i="11"/>
  <c r="E40" i="11"/>
  <c r="D40" i="11"/>
  <c r="C41" i="11"/>
  <c r="B41" i="11"/>
  <c r="H41" i="11"/>
  <c r="G41" i="11"/>
  <c r="F41" i="11"/>
  <c r="E41" i="11"/>
  <c r="D41" i="11"/>
  <c r="E42" i="11"/>
  <c r="D42" i="11"/>
  <c r="B42" i="11"/>
  <c r="C42" i="11"/>
  <c r="H42" i="11"/>
  <c r="G42" i="11"/>
  <c r="F42" i="11"/>
  <c r="E43" i="11"/>
  <c r="D43" i="11"/>
  <c r="C43" i="11"/>
  <c r="B43" i="11"/>
  <c r="H43" i="11"/>
  <c r="G43" i="11"/>
  <c r="F43" i="11"/>
  <c r="M36" i="11"/>
  <c r="L36" i="11"/>
  <c r="O36" i="11"/>
  <c r="N36" i="11"/>
  <c r="Q36" i="11"/>
  <c r="P36" i="11"/>
  <c r="T36" i="11"/>
  <c r="S36" i="11"/>
  <c r="V36" i="11"/>
  <c r="U36" i="11"/>
  <c r="W36" i="11"/>
  <c r="X36" i="11"/>
  <c r="M37" i="11"/>
  <c r="L37" i="11"/>
  <c r="Q37" i="11"/>
  <c r="P37" i="11"/>
  <c r="O37" i="11"/>
  <c r="N37" i="11"/>
  <c r="V37" i="11"/>
  <c r="U37" i="11"/>
  <c r="T37" i="11"/>
  <c r="S37" i="11"/>
  <c r="X37" i="11"/>
  <c r="W37" i="11"/>
  <c r="M38" i="11"/>
  <c r="L38" i="11"/>
  <c r="P38" i="11"/>
  <c r="O38" i="11"/>
  <c r="N38" i="11"/>
  <c r="Q38" i="11"/>
  <c r="V38" i="11"/>
  <c r="U38" i="11"/>
  <c r="T38" i="11"/>
  <c r="S38" i="11"/>
  <c r="W38" i="11"/>
  <c r="X38" i="11"/>
  <c r="M39" i="11"/>
  <c r="L39" i="11"/>
  <c r="Q39" i="11"/>
  <c r="P39" i="11"/>
  <c r="O39" i="11"/>
  <c r="N39" i="11"/>
  <c r="U39" i="11"/>
  <c r="S39" i="11"/>
  <c r="T39" i="11"/>
  <c r="V39" i="11"/>
  <c r="W39" i="11"/>
  <c r="X39" i="11"/>
  <c r="M40" i="11"/>
  <c r="L40" i="11"/>
  <c r="Q40" i="11"/>
  <c r="P40" i="11"/>
  <c r="O40" i="11"/>
  <c r="N40" i="11"/>
  <c r="T40" i="11"/>
  <c r="V40" i="11"/>
  <c r="U40" i="11"/>
  <c r="S40" i="11"/>
  <c r="X40" i="11"/>
  <c r="W40" i="11"/>
  <c r="M41" i="11"/>
  <c r="L41" i="11"/>
  <c r="Q41" i="11"/>
  <c r="O41" i="11"/>
  <c r="P41" i="11"/>
  <c r="N41" i="11"/>
  <c r="U41" i="11"/>
  <c r="V41" i="11"/>
  <c r="T41" i="11"/>
  <c r="S41" i="11"/>
  <c r="X41" i="11"/>
  <c r="W41" i="11"/>
  <c r="M42" i="11"/>
  <c r="L42" i="11"/>
  <c r="P42" i="11"/>
  <c r="O42" i="11"/>
  <c r="Q42" i="11"/>
  <c r="N42" i="11"/>
  <c r="V42" i="11"/>
  <c r="T42" i="11"/>
  <c r="S42" i="11"/>
  <c r="U42" i="11"/>
  <c r="X42" i="11"/>
  <c r="W42" i="11"/>
  <c r="M43" i="11"/>
  <c r="L43" i="11"/>
  <c r="Q43" i="11"/>
  <c r="P43" i="11"/>
  <c r="O43" i="11"/>
  <c r="N43" i="11"/>
  <c r="V43" i="11"/>
  <c r="U43" i="11"/>
  <c r="T43" i="11"/>
  <c r="S43" i="11"/>
  <c r="W43" i="11"/>
  <c r="X43" i="11"/>
  <c r="M44" i="11"/>
  <c r="L44" i="11"/>
  <c r="Q44" i="11"/>
  <c r="P44" i="11"/>
  <c r="O44" i="11"/>
  <c r="N44" i="11"/>
  <c r="V44" i="11"/>
  <c r="U44" i="11"/>
  <c r="T44" i="11"/>
  <c r="S44" i="11"/>
  <c r="X44" i="11"/>
  <c r="W44" i="11"/>
  <c r="L45" i="11"/>
  <c r="M45" i="11"/>
  <c r="O45" i="11"/>
  <c r="Q45" i="11"/>
  <c r="P45" i="11"/>
  <c r="N45" i="11"/>
  <c r="S45" i="11"/>
  <c r="V45" i="11"/>
  <c r="U45" i="11"/>
  <c r="T45" i="11"/>
  <c r="X45" i="11"/>
  <c r="W45" i="11"/>
  <c r="D26" i="3"/>
  <c r="D23" i="2" s="1"/>
  <c r="D23" i="3"/>
  <c r="D13" i="2" s="1"/>
  <c r="E21" i="3"/>
  <c r="F21" i="3" s="1"/>
  <c r="G21" i="3" s="1"/>
  <c r="H21" i="3" s="1"/>
  <c r="D16" i="3"/>
  <c r="D14" i="3"/>
  <c r="E14" i="3" s="1"/>
  <c r="D12" i="3"/>
  <c r="E12" i="3" s="1"/>
  <c r="E23" i="3" l="1"/>
  <c r="F23" i="3" s="1"/>
  <c r="G23" i="3" s="1"/>
  <c r="H23" i="3" s="1"/>
  <c r="I23" i="3" s="1"/>
  <c r="J23" i="3" s="1"/>
  <c r="K23" i="3" s="1"/>
  <c r="L23" i="3" s="1"/>
  <c r="M23" i="3" s="1"/>
  <c r="M13" i="2" s="1"/>
  <c r="E26" i="3"/>
  <c r="AE63" i="6"/>
  <c r="H13" i="2" l="1"/>
  <c r="K13" i="2"/>
  <c r="G13" i="2"/>
  <c r="F13" i="2"/>
  <c r="E13" i="2"/>
  <c r="L13" i="2"/>
  <c r="J13" i="2"/>
  <c r="I13" i="2"/>
  <c r="F26" i="3"/>
  <c r="E23" i="2"/>
  <c r="D30" i="3"/>
  <c r="D24" i="3"/>
  <c r="E24" i="3" s="1"/>
  <c r="F24" i="3" s="1"/>
  <c r="G24" i="3" s="1"/>
  <c r="H24" i="3" s="1"/>
  <c r="I24" i="3" s="1"/>
  <c r="J24" i="3" s="1"/>
  <c r="K24" i="3" s="1"/>
  <c r="L24" i="3" s="1"/>
  <c r="M24" i="3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D11" i="2"/>
  <c r="E11" i="2" s="1"/>
  <c r="F11" i="2" s="1"/>
  <c r="G11" i="2" s="1"/>
  <c r="H11" i="2" s="1"/>
  <c r="I11" i="2" s="1"/>
  <c r="J11" i="2" s="1"/>
  <c r="K11" i="2" s="1"/>
  <c r="L11" i="2" s="1"/>
  <c r="M11" i="2" s="1"/>
  <c r="D10" i="3"/>
  <c r="E10" i="3" s="1"/>
  <c r="F10" i="3" s="1"/>
  <c r="G10" i="3" s="1"/>
  <c r="H10" i="3" s="1"/>
  <c r="I10" i="3" s="1"/>
  <c r="J10" i="3" s="1"/>
  <c r="K10" i="3" s="1"/>
  <c r="L10" i="3" s="1"/>
  <c r="M10" i="3" s="1"/>
  <c r="D8" i="3"/>
  <c r="E8" i="3" s="1"/>
  <c r="F8" i="3" s="1"/>
  <c r="G8" i="3" s="1"/>
  <c r="H8" i="3" s="1"/>
  <c r="I28" i="2"/>
  <c r="J28" i="2" s="1"/>
  <c r="K28" i="2" s="1"/>
  <c r="L28" i="2" s="1"/>
  <c r="M28" i="2" s="1"/>
  <c r="F29" i="2"/>
  <c r="G29" i="2" l="1"/>
  <c r="F12" i="3"/>
  <c r="G26" i="3"/>
  <c r="F23" i="2"/>
  <c r="I8" i="3"/>
  <c r="J8" i="3" s="1"/>
  <c r="K8" i="3" s="1"/>
  <c r="L8" i="3" s="1"/>
  <c r="M8" i="3" s="1"/>
  <c r="S103" i="5"/>
  <c r="T103" i="5" s="1"/>
  <c r="U103" i="5" s="1"/>
  <c r="V103" i="5" s="1"/>
  <c r="W103" i="5" s="1"/>
  <c r="X103" i="5" s="1"/>
  <c r="T142" i="5"/>
  <c r="U142" i="5" s="1"/>
  <c r="E48" i="2"/>
  <c r="G12" i="3" l="1"/>
  <c r="H26" i="3"/>
  <c r="G23" i="2"/>
  <c r="D35" i="3"/>
  <c r="D32" i="3"/>
  <c r="N86" i="6"/>
  <c r="N68" i="6"/>
  <c r="N33" i="6" s="1"/>
  <c r="N32" i="6" s="1"/>
  <c r="N13" i="6"/>
  <c r="N12" i="6" s="1"/>
  <c r="O13" i="6"/>
  <c r="N9" i="5"/>
  <c r="AF39" i="1"/>
  <c r="AG39" i="1" s="1"/>
  <c r="AH39" i="1" s="1"/>
  <c r="AE29" i="1"/>
  <c r="D13" i="3"/>
  <c r="I26" i="3" l="1"/>
  <c r="H23" i="2"/>
  <c r="E13" i="3"/>
  <c r="F13" i="3" s="1"/>
  <c r="G13" i="3" s="1"/>
  <c r="H13" i="3" s="1"/>
  <c r="I13" i="3" s="1"/>
  <c r="J13" i="3" s="1"/>
  <c r="K13" i="3" s="1"/>
  <c r="L13" i="3" s="1"/>
  <c r="M13" i="3" s="1"/>
  <c r="O13" i="3"/>
  <c r="O30" i="3"/>
  <c r="E32" i="3"/>
  <c r="F32" i="3" s="1"/>
  <c r="G32" i="3" s="1"/>
  <c r="H32" i="3" s="1"/>
  <c r="I32" i="3" s="1"/>
  <c r="J32" i="3" s="1"/>
  <c r="K32" i="3" s="1"/>
  <c r="L32" i="3" s="1"/>
  <c r="M32" i="3" s="1"/>
  <c r="O32" i="3"/>
  <c r="E35" i="3"/>
  <c r="F35" i="3" s="1"/>
  <c r="G35" i="3" s="1"/>
  <c r="H35" i="3" s="1"/>
  <c r="I35" i="3" s="1"/>
  <c r="J35" i="3" s="1"/>
  <c r="K35" i="3" s="1"/>
  <c r="L35" i="3" s="1"/>
  <c r="M35" i="3" s="1"/>
  <c r="O35" i="3"/>
  <c r="J26" i="3" l="1"/>
  <c r="I23" i="2"/>
  <c r="AS25" i="7"/>
  <c r="K26" i="3" l="1"/>
  <c r="J23" i="2"/>
  <c r="AT25" i="7"/>
  <c r="L26" i="3" l="1"/>
  <c r="K23" i="2"/>
  <c r="AU25" i="7"/>
  <c r="M26" i="3" l="1"/>
  <c r="M23" i="2" s="1"/>
  <c r="L23" i="2"/>
  <c r="AV25" i="7"/>
  <c r="AW25" i="7" l="1"/>
  <c r="W23" i="6" l="1"/>
  <c r="K70" i="5" s="1"/>
  <c r="W22" i="6"/>
  <c r="K41" i="5" s="1"/>
  <c r="P23" i="6"/>
  <c r="P22" i="6"/>
  <c r="W19" i="6"/>
  <c r="W24" i="6" s="1"/>
  <c r="K97" i="5" s="1"/>
  <c r="X17" i="6"/>
  <c r="Y17" i="6" s="1"/>
  <c r="Z17" i="6" s="1"/>
  <c r="AA17" i="6" s="1"/>
  <c r="AB17" i="6" s="1"/>
  <c r="AC17" i="6" s="1"/>
  <c r="V18" i="6"/>
  <c r="V23" i="6" s="1"/>
  <c r="J70" i="5" s="1"/>
  <c r="V17" i="6"/>
  <c r="Q18" i="6"/>
  <c r="R18" i="6" s="1"/>
  <c r="Q17" i="6"/>
  <c r="P19" i="6"/>
  <c r="P24" i="6" s="1"/>
  <c r="U9" i="6"/>
  <c r="V9" i="6" s="1"/>
  <c r="W9" i="6" s="1"/>
  <c r="Z7" i="6"/>
  <c r="T7" i="6"/>
  <c r="U7" i="6" s="1"/>
  <c r="U23" i="6" s="1"/>
  <c r="I70" i="5" s="1"/>
  <c r="AI28" i="1"/>
  <c r="S13" i="6"/>
  <c r="R13" i="6"/>
  <c r="Q13" i="6"/>
  <c r="P13" i="6"/>
  <c r="M13" i="6"/>
  <c r="Q19" i="6" l="1"/>
  <c r="Q24" i="6" s="1"/>
  <c r="Q23" i="6"/>
  <c r="V19" i="6"/>
  <c r="V24" i="6" s="1"/>
  <c r="J97" i="5" s="1"/>
  <c r="W25" i="6"/>
  <c r="U22" i="6"/>
  <c r="I41" i="5" s="1"/>
  <c r="X22" i="6"/>
  <c r="R23" i="6"/>
  <c r="V22" i="6"/>
  <c r="P25" i="6"/>
  <c r="Y22" i="6"/>
  <c r="R17" i="6"/>
  <c r="Q22" i="6"/>
  <c r="Z22" i="6"/>
  <c r="X18" i="6"/>
  <c r="X23" i="6" s="1"/>
  <c r="L70" i="5" s="1"/>
  <c r="S18" i="6"/>
  <c r="S23" i="6" s="1"/>
  <c r="X9" i="6"/>
  <c r="Y9" i="6" s="1"/>
  <c r="AA7" i="6"/>
  <c r="AA22" i="6" s="1"/>
  <c r="Q25" i="6" l="1"/>
  <c r="T23" i="6"/>
  <c r="H70" i="5" s="1"/>
  <c r="O41" i="5"/>
  <c r="S17" i="6"/>
  <c r="S22" i="6" s="1"/>
  <c r="R22" i="6"/>
  <c r="M41" i="5"/>
  <c r="J41" i="5"/>
  <c r="V25" i="6"/>
  <c r="L41" i="5"/>
  <c r="R19" i="6"/>
  <c r="R24" i="6" s="1"/>
  <c r="N41" i="5"/>
  <c r="X19" i="6"/>
  <c r="X24" i="6" s="1"/>
  <c r="L97" i="5" s="1"/>
  <c r="Y18" i="6"/>
  <c r="Y23" i="6" s="1"/>
  <c r="M70" i="5" s="1"/>
  <c r="U19" i="6"/>
  <c r="U24" i="6" s="1"/>
  <c r="Z9" i="6"/>
  <c r="AB7" i="6"/>
  <c r="AB22" i="6" s="1"/>
  <c r="T22" i="6" l="1"/>
  <c r="H41" i="5" s="1"/>
  <c r="S19" i="6"/>
  <c r="S24" i="6" s="1"/>
  <c r="S25" i="6" s="1"/>
  <c r="X25" i="6"/>
  <c r="P41" i="5"/>
  <c r="I97" i="5"/>
  <c r="U25" i="6"/>
  <c r="R25" i="6"/>
  <c r="Z18" i="6"/>
  <c r="Z23" i="6" s="1"/>
  <c r="Y19" i="6"/>
  <c r="Y24" i="6" s="1"/>
  <c r="AA9" i="6"/>
  <c r="AC7" i="6"/>
  <c r="AC22" i="6" s="1"/>
  <c r="T24" i="6" l="1"/>
  <c r="Q41" i="5"/>
  <c r="M97" i="5"/>
  <c r="Y25" i="6"/>
  <c r="N70" i="5"/>
  <c r="AA18" i="6"/>
  <c r="AA23" i="6" s="1"/>
  <c r="Z19" i="6"/>
  <c r="Z24" i="6" s="1"/>
  <c r="N97" i="5" s="1"/>
  <c r="AB9" i="6"/>
  <c r="H97" i="5" l="1"/>
  <c r="T25" i="6"/>
  <c r="O70" i="5"/>
  <c r="Z25" i="6"/>
  <c r="AB18" i="6"/>
  <c r="AB23" i="6" s="1"/>
  <c r="AA19" i="6"/>
  <c r="AA24" i="6" s="1"/>
  <c r="O97" i="5" s="1"/>
  <c r="AC9" i="6"/>
  <c r="AA25" i="6" l="1"/>
  <c r="P70" i="5"/>
  <c r="AC18" i="6"/>
  <c r="AB19" i="6"/>
  <c r="AB24" i="6" s="1"/>
  <c r="P97" i="5" s="1"/>
  <c r="AB25" i="6" l="1"/>
  <c r="AC19" i="6"/>
  <c r="AC24" i="6" s="1"/>
  <c r="Q97" i="5" s="1"/>
  <c r="AC23" i="6"/>
  <c r="Q70" i="5" l="1"/>
  <c r="AC25" i="6"/>
  <c r="Y41" i="6" l="1"/>
  <c r="Z41" i="6" s="1"/>
  <c r="AA41" i="6" s="1"/>
  <c r="AB41" i="6" s="1"/>
  <c r="AC41" i="6" s="1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I93" i="5" l="1"/>
  <c r="J93" i="5"/>
  <c r="K93" i="5"/>
  <c r="L93" i="5"/>
  <c r="M93" i="5"/>
  <c r="N93" i="5"/>
  <c r="O93" i="5"/>
  <c r="P93" i="5"/>
  <c r="Q93" i="5"/>
  <c r="H93" i="5"/>
  <c r="K9" i="5" l="1"/>
  <c r="D39" i="2"/>
  <c r="E39" i="2" s="1"/>
  <c r="F39" i="2" s="1"/>
  <c r="G39" i="2" s="1"/>
  <c r="H39" i="2" s="1"/>
  <c r="I39" i="2" s="1"/>
  <c r="J39" i="2" s="1"/>
  <c r="K39" i="2" s="1"/>
  <c r="L39" i="2" s="1"/>
  <c r="M39" i="2" s="1"/>
  <c r="D37" i="2"/>
  <c r="E37" i="2" s="1"/>
  <c r="F37" i="2" s="1"/>
  <c r="G37" i="2" s="1"/>
  <c r="H37" i="2" s="1"/>
  <c r="I37" i="2" s="1"/>
  <c r="J37" i="2" s="1"/>
  <c r="K37" i="2" s="1"/>
  <c r="L37" i="2" s="1"/>
  <c r="M37" i="2" s="1"/>
  <c r="C40" i="2"/>
  <c r="B40" i="2"/>
  <c r="C31" i="2"/>
  <c r="B31" i="2"/>
  <c r="C16" i="2"/>
  <c r="C25" i="2" s="1"/>
  <c r="B16" i="2"/>
  <c r="B25" i="2" s="1"/>
  <c r="C40" i="3"/>
  <c r="B40" i="3"/>
  <c r="B25" i="3"/>
  <c r="C41" i="2" l="1"/>
  <c r="B41" i="2"/>
  <c r="AC29" i="1" l="1"/>
  <c r="AY31" i="7"/>
  <c r="E1" i="16"/>
  <c r="Z9" i="16"/>
  <c r="G9" i="16"/>
  <c r="N9" i="16"/>
  <c r="U9" i="16"/>
  <c r="M9" i="16"/>
  <c r="W9" i="16"/>
  <c r="AA9" i="16"/>
  <c r="Q9" i="16"/>
  <c r="C2" i="16"/>
  <c r="S9" i="16"/>
  <c r="Y9" i="16"/>
  <c r="E9" i="16"/>
  <c r="J9" i="16"/>
  <c r="V9" i="16"/>
  <c r="R9" i="16"/>
  <c r="K9" i="16"/>
  <c r="F9" i="16"/>
  <c r="AB9" i="16"/>
  <c r="P9" i="16"/>
  <c r="H9" i="16"/>
  <c r="I9" i="16"/>
  <c r="O9" i="16"/>
  <c r="X9" i="16"/>
  <c r="T9" i="16"/>
  <c r="L9" i="16"/>
  <c r="E10" i="16" l="1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Z25" i="7" l="1"/>
  <c r="T12" i="6" l="1"/>
  <c r="T11" i="6"/>
  <c r="T9" i="6"/>
  <c r="T8" i="6"/>
  <c r="T13" i="6" l="1"/>
  <c r="H138" i="5" s="1"/>
  <c r="P100" i="6"/>
  <c r="P97" i="6"/>
  <c r="P83" i="6" s="1"/>
  <c r="Q100" i="6"/>
  <c r="Q97" i="6"/>
  <c r="R100" i="6"/>
  <c r="R97" i="6"/>
  <c r="S100" i="6"/>
  <c r="S97" i="6"/>
  <c r="Q79" i="6"/>
  <c r="Q78" i="6"/>
  <c r="R78" i="6" s="1"/>
  <c r="Q77" i="6"/>
  <c r="R77" i="6" s="1"/>
  <c r="S77" i="6" s="1"/>
  <c r="U77" i="6" s="1"/>
  <c r="Q76" i="6"/>
  <c r="P58" i="6"/>
  <c r="Q58" i="6"/>
  <c r="R58" i="6"/>
  <c r="S58" i="6"/>
  <c r="P45" i="6"/>
  <c r="P50" i="6" s="1"/>
  <c r="S33" i="6"/>
  <c r="R33" i="6"/>
  <c r="Q33" i="6"/>
  <c r="P33" i="6"/>
  <c r="T32" i="6"/>
  <c r="T31" i="6"/>
  <c r="Q15" i="6"/>
  <c r="S3" i="6"/>
  <c r="R3" i="6"/>
  <c r="Q3" i="6"/>
  <c r="P3" i="6"/>
  <c r="AI7" i="1"/>
  <c r="AH7" i="1"/>
  <c r="AG7" i="1"/>
  <c r="AF7" i="1"/>
  <c r="R98" i="6"/>
  <c r="P85" i="6"/>
  <c r="T13" i="16"/>
  <c r="U24" i="16"/>
  <c r="T21" i="16"/>
  <c r="E22" i="16"/>
  <c r="N25" i="16"/>
  <c r="R18" i="16"/>
  <c r="V18" i="16"/>
  <c r="J27" i="16"/>
  <c r="X25" i="16"/>
  <c r="E13" i="16"/>
  <c r="G24" i="16"/>
  <c r="X22" i="16"/>
  <c r="V13" i="16"/>
  <c r="R13" i="16"/>
  <c r="K13" i="16"/>
  <c r="M14" i="16"/>
  <c r="Y19" i="16"/>
  <c r="K18" i="16"/>
  <c r="N27" i="16"/>
  <c r="T25" i="16"/>
  <c r="AB13" i="16"/>
  <c r="J22" i="16"/>
  <c r="E14" i="16"/>
  <c r="S22" i="16"/>
  <c r="H13" i="16"/>
  <c r="I25" i="16"/>
  <c r="Q21" i="16"/>
  <c r="T22" i="16"/>
  <c r="V22" i="16"/>
  <c r="R25" i="16"/>
  <c r="E18" i="16"/>
  <c r="J18" i="16"/>
  <c r="O22" i="16"/>
  <c r="F19" i="16"/>
  <c r="H19" i="16"/>
  <c r="I22" i="16"/>
  <c r="S25" i="16"/>
  <c r="L21" i="16"/>
  <c r="P18" i="16"/>
  <c r="P19" i="16"/>
  <c r="G14" i="16"/>
  <c r="T24" i="16"/>
  <c r="AB22" i="16"/>
  <c r="T14" i="16"/>
  <c r="O27" i="16"/>
  <c r="J13" i="16"/>
  <c r="Q27" i="16"/>
  <c r="H21" i="16"/>
  <c r="F18" i="16"/>
  <c r="S27" i="16"/>
  <c r="N19" i="16"/>
  <c r="X14" i="16"/>
  <c r="Z24" i="16"/>
  <c r="J24" i="16"/>
  <c r="U21" i="16"/>
  <c r="AB19" i="16"/>
  <c r="H24" i="16"/>
  <c r="W14" i="16"/>
  <c r="W22" i="16"/>
  <c r="F22" i="16"/>
  <c r="Q19" i="16"/>
  <c r="V19" i="16"/>
  <c r="X18" i="16"/>
  <c r="W25" i="16"/>
  <c r="Y24" i="16"/>
  <c r="I14" i="16"/>
  <c r="O25" i="16"/>
  <c r="Z21" i="16"/>
  <c r="J21" i="16"/>
  <c r="X24" i="16"/>
  <c r="X27" i="16"/>
  <c r="Z13" i="16"/>
  <c r="W21" i="16"/>
  <c r="Z18" i="16"/>
  <c r="M22" i="16"/>
  <c r="E17" i="16"/>
  <c r="Y22" i="16"/>
  <c r="F25" i="16"/>
  <c r="K22" i="16"/>
  <c r="E25" i="16"/>
  <c r="R24" i="16"/>
  <c r="Y21" i="16"/>
  <c r="S19" i="16"/>
  <c r="H17" i="16"/>
  <c r="S18" i="16"/>
  <c r="Q17" i="16"/>
  <c r="T27" i="16"/>
  <c r="I18" i="16"/>
  <c r="H27" i="16"/>
  <c r="O21" i="16"/>
  <c r="U27" i="16"/>
  <c r="W24" i="16"/>
  <c r="X13" i="16"/>
  <c r="T18" i="16"/>
  <c r="X21" i="16"/>
  <c r="K27" i="16"/>
  <c r="H14" i="16"/>
  <c r="M24" i="16"/>
  <c r="AA17" i="16"/>
  <c r="M21" i="16"/>
  <c r="V17" i="16"/>
  <c r="R27" i="16"/>
  <c r="J19" i="16"/>
  <c r="L24" i="16"/>
  <c r="Y25" i="16"/>
  <c r="R22" i="16"/>
  <c r="AB18" i="16"/>
  <c r="AA21" i="16"/>
  <c r="M13" i="16"/>
  <c r="O13" i="16"/>
  <c r="N22" i="16"/>
  <c r="R14" i="16"/>
  <c r="H18" i="16"/>
  <c r="W19" i="16"/>
  <c r="Q18" i="16"/>
  <c r="Z17" i="16"/>
  <c r="F14" i="16"/>
  <c r="AA13" i="16"/>
  <c r="K21" i="16"/>
  <c r="Z27" i="16"/>
  <c r="Y13" i="16"/>
  <c r="X19" i="16"/>
  <c r="N18" i="16"/>
  <c r="G21" i="16"/>
  <c r="Y18" i="16"/>
  <c r="N21" i="16"/>
  <c r="Q25" i="16"/>
  <c r="G27" i="16"/>
  <c r="V25" i="16"/>
  <c r="F17" i="16"/>
  <c r="Y17" i="16"/>
  <c r="U22" i="16"/>
  <c r="U25" i="16"/>
  <c r="I13" i="16"/>
  <c r="J25" i="16"/>
  <c r="F24" i="16"/>
  <c r="K25" i="16"/>
  <c r="L22" i="16"/>
  <c r="R21" i="16"/>
  <c r="O14" i="16"/>
  <c r="R19" i="16"/>
  <c r="AB24" i="16"/>
  <c r="T17" i="16"/>
  <c r="F13" i="16"/>
  <c r="AA14" i="16"/>
  <c r="AA22" i="16"/>
  <c r="M19" i="16"/>
  <c r="L17" i="16"/>
  <c r="S14" i="16"/>
  <c r="Q22" i="16"/>
  <c r="W13" i="16"/>
  <c r="P13" i="16"/>
  <c r="V21" i="16"/>
  <c r="U17" i="16"/>
  <c r="I24" i="16"/>
  <c r="F21" i="16"/>
  <c r="E19" i="16"/>
  <c r="V14" i="16"/>
  <c r="I27" i="16"/>
  <c r="Q14" i="16"/>
  <c r="Y27" i="16"/>
  <c r="U14" i="16"/>
  <c r="P25" i="16"/>
  <c r="U19" i="16"/>
  <c r="Q24" i="16"/>
  <c r="L27" i="16"/>
  <c r="G13" i="16"/>
  <c r="AA25" i="16"/>
  <c r="P21" i="16"/>
  <c r="Y14" i="16"/>
  <c r="AA24" i="16"/>
  <c r="P22" i="16"/>
  <c r="N17" i="16"/>
  <c r="P24" i="16"/>
  <c r="I21" i="16"/>
  <c r="M25" i="16"/>
  <c r="W18" i="16"/>
  <c r="F27" i="16"/>
  <c r="K19" i="16"/>
  <c r="AB17" i="16"/>
  <c r="AA27" i="16"/>
  <c r="N14" i="16"/>
  <c r="H25" i="16"/>
  <c r="Z22" i="16"/>
  <c r="V24" i="16"/>
  <c r="P17" i="16"/>
  <c r="U13" i="16"/>
  <c r="G25" i="16"/>
  <c r="Z19" i="16"/>
  <c r="L25" i="16"/>
  <c r="O18" i="16"/>
  <c r="G18" i="16"/>
  <c r="P14" i="16"/>
  <c r="AB25" i="16"/>
  <c r="N13" i="16"/>
  <c r="S13" i="16"/>
  <c r="M17" i="16"/>
  <c r="AB27" i="16"/>
  <c r="K14" i="16"/>
  <c r="E27" i="16"/>
  <c r="P27" i="16"/>
  <c r="J17" i="16"/>
  <c r="AB21" i="16"/>
  <c r="G19" i="16"/>
  <c r="K17" i="16"/>
  <c r="E21" i="16"/>
  <c r="N24" i="16"/>
  <c r="L19" i="16"/>
  <c r="R17" i="16"/>
  <c r="G22" i="16"/>
  <c r="W27" i="16"/>
  <c r="AA19" i="16"/>
  <c r="AA18" i="16"/>
  <c r="S17" i="16"/>
  <c r="G17" i="16"/>
  <c r="I19" i="16"/>
  <c r="V27" i="16"/>
  <c r="T19" i="16"/>
  <c r="W17" i="16"/>
  <c r="U18" i="16"/>
  <c r="I17" i="16"/>
  <c r="M18" i="16"/>
  <c r="H22" i="16"/>
  <c r="AB14" i="16"/>
  <c r="Q13" i="16"/>
  <c r="O19" i="16"/>
  <c r="L18" i="16"/>
  <c r="O24" i="16"/>
  <c r="M27" i="16"/>
  <c r="X17" i="16"/>
  <c r="E24" i="16"/>
  <c r="K24" i="16"/>
  <c r="L14" i="16"/>
  <c r="S21" i="16"/>
  <c r="L13" i="16"/>
  <c r="Z14" i="16"/>
  <c r="J14" i="16"/>
  <c r="O17" i="16"/>
  <c r="S24" i="16"/>
  <c r="Z25" i="16"/>
  <c r="AT26" i="7" l="1"/>
  <c r="AQ26" i="7"/>
  <c r="AV37" i="7"/>
  <c r="AK41" i="1"/>
  <c r="AJ41" i="1"/>
  <c r="AN37" i="7"/>
  <c r="O14" i="6"/>
  <c r="AE19" i="1"/>
  <c r="AV26" i="7"/>
  <c r="AR37" i="7"/>
  <c r="AC9" i="1"/>
  <c r="AD9" i="1"/>
  <c r="AW37" i="7"/>
  <c r="N69" i="6"/>
  <c r="M69" i="6"/>
  <c r="AV21" i="7"/>
  <c r="AD19" i="1"/>
  <c r="AC19" i="1"/>
  <c r="U14" i="6"/>
  <c r="AJ19" i="1"/>
  <c r="AP21" i="7"/>
  <c r="AT37" i="7"/>
  <c r="AG41" i="1"/>
  <c r="AI41" i="1"/>
  <c r="AH41" i="1"/>
  <c r="AF41" i="1"/>
  <c r="AQ37" i="7"/>
  <c r="AS26" i="7"/>
  <c r="AI19" i="1"/>
  <c r="AH19" i="1"/>
  <c r="Q14" i="6"/>
  <c r="P14" i="6"/>
  <c r="AP37" i="7"/>
  <c r="AO26" i="7"/>
  <c r="AU37" i="7"/>
  <c r="AE17" i="1"/>
  <c r="O69" i="6"/>
  <c r="AN21" i="7"/>
  <c r="AF17" i="1"/>
  <c r="Q69" i="6"/>
  <c r="AI17" i="1"/>
  <c r="R69" i="6"/>
  <c r="AU26" i="7"/>
  <c r="AE9" i="1"/>
  <c r="AP26" i="7"/>
  <c r="AT21" i="7"/>
  <c r="AO37" i="7"/>
  <c r="AG9" i="1"/>
  <c r="AI9" i="1"/>
  <c r="AH9" i="1"/>
  <c r="AF9" i="1"/>
  <c r="AE41" i="1"/>
  <c r="AQ21" i="7"/>
  <c r="U69" i="6"/>
  <c r="AJ17" i="1"/>
  <c r="AS37" i="7"/>
  <c r="AK9" i="1"/>
  <c r="AJ9" i="1"/>
  <c r="AN26" i="7"/>
  <c r="AO21" i="7"/>
  <c r="AS21" i="7"/>
  <c r="AW21" i="7"/>
  <c r="AD41" i="1"/>
  <c r="AC41" i="1"/>
  <c r="AW26" i="7"/>
  <c r="AR21" i="7"/>
  <c r="AU21" i="7"/>
  <c r="AR26" i="7"/>
  <c r="T69" i="6"/>
  <c r="S14" i="6"/>
  <c r="P92" i="6"/>
  <c r="P71" i="6"/>
  <c r="P27" i="6"/>
  <c r="Q71" i="6"/>
  <c r="Q27" i="6"/>
  <c r="R71" i="6"/>
  <c r="R27" i="6"/>
  <c r="S71" i="6"/>
  <c r="S27" i="6"/>
  <c r="AF18" i="1"/>
  <c r="P15" i="6"/>
  <c r="Q83" i="6"/>
  <c r="Q90" i="6" s="1"/>
  <c r="Q86" i="6"/>
  <c r="Q93" i="6" s="1"/>
  <c r="S101" i="6"/>
  <c r="AG6" i="1"/>
  <c r="AG8" i="1" s="1"/>
  <c r="Q45" i="6"/>
  <c r="Q49" i="6" s="1"/>
  <c r="P47" i="6"/>
  <c r="AG18" i="1"/>
  <c r="P48" i="6"/>
  <c r="R84" i="6"/>
  <c r="R91" i="6" s="1"/>
  <c r="R76" i="6"/>
  <c r="S76" i="6" s="1"/>
  <c r="S98" i="6"/>
  <c r="S84" i="6" s="1"/>
  <c r="S91" i="6" s="1"/>
  <c r="P64" i="6"/>
  <c r="Q85" i="6"/>
  <c r="Q92" i="6" s="1"/>
  <c r="S78" i="6"/>
  <c r="U78" i="6" s="1"/>
  <c r="R79" i="6"/>
  <c r="P90" i="6"/>
  <c r="P98" i="6"/>
  <c r="P84" i="6" s="1"/>
  <c r="P86" i="6"/>
  <c r="P49" i="6"/>
  <c r="T33" i="6"/>
  <c r="Q98" i="6"/>
  <c r="T58" i="6"/>
  <c r="S69" i="6" l="1"/>
  <c r="AD17" i="1"/>
  <c r="N14" i="6"/>
  <c r="AH17" i="1"/>
  <c r="AC17" i="1"/>
  <c r="M14" i="6"/>
  <c r="AF19" i="1"/>
  <c r="R14" i="6"/>
  <c r="AG17" i="1"/>
  <c r="AG19" i="1"/>
  <c r="P69" i="6"/>
  <c r="T14" i="6"/>
  <c r="AK17" i="1"/>
  <c r="P93" i="6"/>
  <c r="S83" i="6"/>
  <c r="S90" i="6" s="1"/>
  <c r="U76" i="6"/>
  <c r="P91" i="6"/>
  <c r="AI18" i="1"/>
  <c r="S15" i="6"/>
  <c r="AH18" i="1"/>
  <c r="R15" i="6"/>
  <c r="AI6" i="1"/>
  <c r="AI8" i="1" s="1"/>
  <c r="R45" i="6"/>
  <c r="S45" i="6" s="1"/>
  <c r="Q48" i="6"/>
  <c r="Q47" i="6"/>
  <c r="Q50" i="6"/>
  <c r="Q64" i="6" s="1"/>
  <c r="R83" i="6"/>
  <c r="Q101" i="6"/>
  <c r="P51" i="6"/>
  <c r="S85" i="6"/>
  <c r="S92" i="6" s="1"/>
  <c r="R86" i="6"/>
  <c r="R93" i="6" s="1"/>
  <c r="S79" i="6"/>
  <c r="AF6" i="1"/>
  <c r="AF8" i="1" s="1"/>
  <c r="P101" i="6"/>
  <c r="P87" i="6"/>
  <c r="Q84" i="6"/>
  <c r="Q87" i="6" s="1"/>
  <c r="R90" i="6" l="1"/>
  <c r="T83" i="6"/>
  <c r="S86" i="6"/>
  <c r="S87" i="6" s="1"/>
  <c r="S94" i="6" s="1"/>
  <c r="AI13" i="1" s="1"/>
  <c r="AI14" i="1" s="1"/>
  <c r="U79" i="6"/>
  <c r="T84" i="6"/>
  <c r="R48" i="6"/>
  <c r="R47" i="6"/>
  <c r="R50" i="6"/>
  <c r="R64" i="6" s="1"/>
  <c r="R49" i="6"/>
  <c r="Q94" i="6"/>
  <c r="AG13" i="1" s="1"/>
  <c r="AG14" i="1" s="1"/>
  <c r="Q51" i="6"/>
  <c r="Q91" i="6"/>
  <c r="P94" i="6"/>
  <c r="AF13" i="1" s="1"/>
  <c r="AF14" i="1" s="1"/>
  <c r="R101" i="6"/>
  <c r="AH6" i="1"/>
  <c r="AH8" i="1" s="1"/>
  <c r="S49" i="6"/>
  <c r="S50" i="6"/>
  <c r="S64" i="6" s="1"/>
  <c r="S48" i="6"/>
  <c r="S47" i="6"/>
  <c r="R85" i="6"/>
  <c r="AM4" i="7"/>
  <c r="AL4" i="7"/>
  <c r="AK4" i="7"/>
  <c r="AJ4" i="7"/>
  <c r="AI58" i="1"/>
  <c r="AH58" i="1"/>
  <c r="AG58" i="1"/>
  <c r="AF58" i="1"/>
  <c r="AI45" i="1"/>
  <c r="AH45" i="1"/>
  <c r="AG45" i="1"/>
  <c r="AF45" i="1"/>
  <c r="S93" i="6" l="1"/>
  <c r="T86" i="6"/>
  <c r="R87" i="6"/>
  <c r="R94" i="6" s="1"/>
  <c r="AH13" i="1" s="1"/>
  <c r="AH14" i="1" s="1"/>
  <c r="T85" i="6"/>
  <c r="T78" i="6" s="1"/>
  <c r="R51" i="6"/>
  <c r="T49" i="6"/>
  <c r="R92" i="6"/>
  <c r="T50" i="6"/>
  <c r="T47" i="6"/>
  <c r="S51" i="6"/>
  <c r="T48" i="6"/>
  <c r="M86" i="6"/>
  <c r="M68" i="6"/>
  <c r="M15" i="6"/>
  <c r="T51" i="6" l="1"/>
  <c r="E17" i="13"/>
  <c r="I12" i="13" l="1"/>
  <c r="I13" i="13"/>
  <c r="I11" i="13"/>
  <c r="I7" i="13"/>
  <c r="I23" i="13"/>
  <c r="I26" i="13"/>
  <c r="G31" i="5" l="1"/>
  <c r="AA36" i="7"/>
  <c r="AG29" i="1" l="1"/>
  <c r="AS33" i="1"/>
  <c r="Z55" i="6"/>
  <c r="AA55" i="6" s="1"/>
  <c r="AB55" i="6" s="1"/>
  <c r="AC55" i="6" s="1"/>
  <c r="V12" i="6"/>
  <c r="AA27" i="12"/>
  <c r="T21" i="14" l="1"/>
  <c r="T23" i="14" s="1"/>
  <c r="S21" i="14"/>
  <c r="S23" i="14" s="1"/>
  <c r="R21" i="14"/>
  <c r="R23" i="14" s="1"/>
  <c r="Q21" i="14"/>
  <c r="Q23" i="14" s="1"/>
  <c r="T16" i="14"/>
  <c r="T18" i="14" s="1"/>
  <c r="S16" i="14"/>
  <c r="S18" i="14" s="1"/>
  <c r="R16" i="14"/>
  <c r="R18" i="14" s="1"/>
  <c r="Q16" i="14"/>
  <c r="Q18" i="14" s="1"/>
  <c r="T11" i="14"/>
  <c r="T13" i="14" s="1"/>
  <c r="S11" i="14"/>
  <c r="S13" i="14" s="1"/>
  <c r="R11" i="14"/>
  <c r="R13" i="14" s="1"/>
  <c r="Q11" i="14"/>
  <c r="Q13" i="14" s="1"/>
  <c r="T5" i="14"/>
  <c r="T7" i="14" s="1"/>
  <c r="S5" i="14"/>
  <c r="S7" i="14" s="1"/>
  <c r="R5" i="14"/>
  <c r="R7" i="14" s="1"/>
  <c r="Q5" i="14"/>
  <c r="Q7" i="14" s="1"/>
  <c r="T2" i="14"/>
  <c r="S2" i="14"/>
  <c r="R2" i="14"/>
  <c r="Q2" i="14"/>
  <c r="N15" i="6" l="1"/>
  <c r="N66" i="6"/>
  <c r="M66" i="6"/>
  <c r="AD7" i="1"/>
  <c r="AD6" i="1"/>
  <c r="S41" i="14"/>
  <c r="S43" i="14" s="1"/>
  <c r="R41" i="14"/>
  <c r="R43" i="14" s="1"/>
  <c r="T41" i="14" l="1"/>
  <c r="T43" i="14" s="1"/>
  <c r="AD8" i="1"/>
  <c r="AC8" i="1"/>
  <c r="S26" i="14" s="1"/>
  <c r="S28" i="14" s="1"/>
  <c r="T46" i="14"/>
  <c r="T48" i="14" s="1"/>
  <c r="Q26" i="14"/>
  <c r="Q28" i="14" s="1"/>
  <c r="Q41" i="14"/>
  <c r="Q43" i="14" s="1"/>
  <c r="T26" i="14" l="1"/>
  <c r="T28" i="14" s="1"/>
  <c r="B47" i="3"/>
  <c r="R46" i="14"/>
  <c r="R48" i="14" s="1"/>
  <c r="R26" i="14"/>
  <c r="R28" i="14" s="1"/>
  <c r="AC22" i="1"/>
  <c r="Q46" i="14"/>
  <c r="Q48" i="14" s="1"/>
  <c r="AC14" i="1"/>
  <c r="M87" i="6" s="1"/>
  <c r="M94" i="6" s="1"/>
  <c r="S31" i="14" s="1"/>
  <c r="S33" i="14" s="1"/>
  <c r="AC24" i="1"/>
  <c r="Q51" i="14"/>
  <c r="Q53" i="14" s="1"/>
  <c r="R31" i="14"/>
  <c r="R33" i="14" s="1"/>
  <c r="R51" i="14"/>
  <c r="R53" i="14" s="1"/>
  <c r="Q31" i="14"/>
  <c r="Q33" i="14" s="1"/>
  <c r="S51" i="14" l="1"/>
  <c r="S53" i="14" s="1"/>
  <c r="AC31" i="1"/>
  <c r="AC33" i="1" s="1"/>
  <c r="AC35" i="1" l="1"/>
  <c r="AC37" i="1" l="1"/>
  <c r="AC40" i="1"/>
  <c r="AH4" i="7"/>
  <c r="AG4" i="7"/>
  <c r="AF4" i="7"/>
  <c r="AE4" i="7"/>
  <c r="N3" i="6"/>
  <c r="N27" i="6" s="1"/>
  <c r="M3" i="6"/>
  <c r="M71" i="6" s="1"/>
  <c r="L3" i="6"/>
  <c r="K3" i="6"/>
  <c r="AD58" i="1"/>
  <c r="AC58" i="1"/>
  <c r="AB58" i="1"/>
  <c r="AA58" i="1"/>
  <c r="AD45" i="1"/>
  <c r="AC45" i="1"/>
  <c r="AB45" i="1"/>
  <c r="AA45" i="1"/>
  <c r="N71" i="6" l="1"/>
  <c r="M27" i="6"/>
  <c r="E38" i="2"/>
  <c r="AI26" i="1" l="1"/>
  <c r="Q61" i="14" l="1"/>
  <c r="Q63" i="14" s="1"/>
  <c r="R61" i="14" l="1"/>
  <c r="R63" i="14" s="1"/>
  <c r="Y34" i="7" l="1"/>
  <c r="Z27" i="1"/>
  <c r="O21" i="14" l="1"/>
  <c r="O23" i="14" s="1"/>
  <c r="N21" i="14"/>
  <c r="N23" i="14" s="1"/>
  <c r="M21" i="14"/>
  <c r="M23" i="14" s="1"/>
  <c r="L21" i="14"/>
  <c r="L23" i="14" s="1"/>
  <c r="O16" i="14"/>
  <c r="O18" i="14" s="1"/>
  <c r="N16" i="14"/>
  <c r="N18" i="14" s="1"/>
  <c r="M16" i="14"/>
  <c r="M18" i="14" s="1"/>
  <c r="L16" i="14"/>
  <c r="L18" i="14" s="1"/>
  <c r="O11" i="14"/>
  <c r="O13" i="14" s="1"/>
  <c r="N11" i="14"/>
  <c r="N13" i="14" s="1"/>
  <c r="M11" i="14"/>
  <c r="M13" i="14" s="1"/>
  <c r="L11" i="14"/>
  <c r="L13" i="14" s="1"/>
  <c r="O5" i="14"/>
  <c r="O7" i="14" s="1"/>
  <c r="N5" i="14"/>
  <c r="N7" i="14" s="1"/>
  <c r="M5" i="14"/>
  <c r="M7" i="14" s="1"/>
  <c r="L5" i="14"/>
  <c r="L7" i="14" s="1"/>
  <c r="O2" i="14"/>
  <c r="N2" i="14"/>
  <c r="M2" i="14"/>
  <c r="L2" i="14"/>
  <c r="AD4" i="7"/>
  <c r="AC4" i="7"/>
  <c r="AB4" i="7"/>
  <c r="AA4" i="7"/>
  <c r="AD36" i="7"/>
  <c r="AC36" i="7"/>
  <c r="AB36" i="7"/>
  <c r="M46" i="14" l="1"/>
  <c r="M48" i="14" s="1"/>
  <c r="N46" i="14"/>
  <c r="N48" i="14" s="1"/>
  <c r="O26" i="14"/>
  <c r="O28" i="14" s="1"/>
  <c r="L26" i="14"/>
  <c r="L28" i="14" s="1"/>
  <c r="N41" i="14"/>
  <c r="N43" i="14" s="1"/>
  <c r="M31" i="14" l="1"/>
  <c r="M33" i="14" s="1"/>
  <c r="O31" i="14"/>
  <c r="O33" i="14" s="1"/>
  <c r="L31" i="14"/>
  <c r="L33" i="14" s="1"/>
  <c r="N26" i="14"/>
  <c r="N28" i="14" s="1"/>
  <c r="M26" i="14"/>
  <c r="M28" i="14" s="1"/>
  <c r="N31" i="14"/>
  <c r="N33" i="14" s="1"/>
  <c r="N51" i="14" l="1"/>
  <c r="N53" i="14" s="1"/>
  <c r="L41" i="14"/>
  <c r="L43" i="14" s="1"/>
  <c r="M41" i="14"/>
  <c r="M43" i="14" s="1"/>
  <c r="M51" i="14"/>
  <c r="M53" i="14" s="1"/>
  <c r="L51" i="14" l="1"/>
  <c r="L53" i="14" s="1"/>
  <c r="X34" i="7" l="1"/>
  <c r="W34" i="7" l="1"/>
  <c r="J11" i="13" l="1"/>
  <c r="J12" i="13"/>
  <c r="Z26" i="1" l="1"/>
  <c r="Z28" i="1"/>
  <c r="V34" i="7"/>
  <c r="O18" i="12" l="1"/>
  <c r="D38" i="3" l="1"/>
  <c r="E38" i="3" l="1"/>
  <c r="F38" i="3" s="1"/>
  <c r="G38" i="3" s="1"/>
  <c r="H38" i="3" s="1"/>
  <c r="I38" i="3" s="1"/>
  <c r="J38" i="3" s="1"/>
  <c r="K38" i="3" s="1"/>
  <c r="L38" i="3" s="1"/>
  <c r="M38" i="3" s="1"/>
  <c r="O38" i="3"/>
  <c r="T34" i="7"/>
  <c r="Y20" i="1" l="1"/>
  <c r="Z34" i="7"/>
  <c r="AY30" i="7" l="1"/>
  <c r="AY29" i="7"/>
  <c r="AN32" i="7" l="1"/>
  <c r="Y9" i="1"/>
  <c r="J2" i="14" l="1"/>
  <c r="I2" i="14"/>
  <c r="H2" i="14"/>
  <c r="G2" i="14"/>
  <c r="G41" i="14"/>
  <c r="G43" i="14" s="1"/>
  <c r="H41" i="14"/>
  <c r="H43" i="14" s="1"/>
  <c r="Y19" i="1" l="1"/>
  <c r="Y17" i="1"/>
  <c r="Y41" i="1"/>
  <c r="Y4" i="7" l="1"/>
  <c r="X4" i="7"/>
  <c r="W4" i="7"/>
  <c r="V4" i="7"/>
  <c r="Y45" i="1"/>
  <c r="X45" i="1"/>
  <c r="W45" i="1"/>
  <c r="V45" i="1"/>
  <c r="X29" i="1"/>
  <c r="W29" i="1"/>
  <c r="V29" i="1"/>
  <c r="Y29" i="1"/>
  <c r="X8" i="1"/>
  <c r="X36" i="7" s="1"/>
  <c r="W8" i="1"/>
  <c r="V8" i="1"/>
  <c r="H26" i="14" l="1"/>
  <c r="H28" i="14" s="1"/>
  <c r="W36" i="7"/>
  <c r="G26" i="14"/>
  <c r="G28" i="14" s="1"/>
  <c r="V36" i="7"/>
  <c r="I26" i="14"/>
  <c r="I28" i="14" s="1"/>
  <c r="B153" i="5"/>
  <c r="B152" i="5"/>
  <c r="X14" i="1" l="1"/>
  <c r="I31" i="14" s="1"/>
  <c r="I33" i="14" s="1"/>
  <c r="S34" i="7"/>
  <c r="Q15" i="5" l="1"/>
  <c r="R15" i="5"/>
  <c r="M4" i="3" l="1"/>
  <c r="M5" i="2" s="1"/>
  <c r="L4" i="3"/>
  <c r="L5" i="2" s="1"/>
  <c r="K4" i="3"/>
  <c r="K5" i="2" s="1"/>
  <c r="J4" i="3"/>
  <c r="J5" i="2" s="1"/>
  <c r="I4" i="3"/>
  <c r="I5" i="2" s="1"/>
  <c r="AC3" i="6"/>
  <c r="AC71" i="6" s="1"/>
  <c r="AB3" i="6"/>
  <c r="AB71" i="6" s="1"/>
  <c r="AA3" i="6"/>
  <c r="AA71" i="6" s="1"/>
  <c r="Z3" i="6"/>
  <c r="Z71" i="6" s="1"/>
  <c r="Y3" i="6"/>
  <c r="Y71" i="6" s="1"/>
  <c r="AW4" i="7"/>
  <c r="AV4" i="7"/>
  <c r="AU4" i="7"/>
  <c r="AT4" i="7"/>
  <c r="AS4" i="7"/>
  <c r="AS58" i="1"/>
  <c r="AS45" i="1"/>
  <c r="AR58" i="1"/>
  <c r="AR45" i="1"/>
  <c r="AQ58" i="1"/>
  <c r="AQ45" i="1"/>
  <c r="AP58" i="1"/>
  <c r="AP45" i="1"/>
  <c r="AO58" i="1"/>
  <c r="AO45" i="1"/>
  <c r="AC27" i="6" l="1"/>
  <c r="AA27" i="6"/>
  <c r="AB27" i="6"/>
  <c r="Z27" i="6"/>
  <c r="Y27" i="6"/>
  <c r="Z18" i="1" l="1"/>
  <c r="E138" i="5"/>
  <c r="E152" i="5" s="1"/>
  <c r="E36" i="2"/>
  <c r="D35" i="2"/>
  <c r="E34" i="2"/>
  <c r="F34" i="2" s="1"/>
  <c r="G34" i="2" s="1"/>
  <c r="H34" i="2" s="1"/>
  <c r="I34" i="2" s="1"/>
  <c r="J34" i="2" s="1"/>
  <c r="K34" i="2" s="1"/>
  <c r="L34" i="2" s="1"/>
  <c r="M34" i="2" s="1"/>
  <c r="D30" i="2"/>
  <c r="H29" i="2"/>
  <c r="H12" i="3" s="1"/>
  <c r="D15" i="2"/>
  <c r="E15" i="2" s="1"/>
  <c r="F15" i="2" s="1"/>
  <c r="G15" i="2" s="1"/>
  <c r="H15" i="2" s="1"/>
  <c r="I15" i="2" s="1"/>
  <c r="J15" i="2" s="1"/>
  <c r="K15" i="2" s="1"/>
  <c r="L15" i="2" s="1"/>
  <c r="M15" i="2" s="1"/>
  <c r="D12" i="2"/>
  <c r="E12" i="2" s="1"/>
  <c r="F12" i="2" s="1"/>
  <c r="G12" i="2" s="1"/>
  <c r="H12" i="2" s="1"/>
  <c r="I12" i="2" s="1"/>
  <c r="J12" i="2" s="1"/>
  <c r="K12" i="2" s="1"/>
  <c r="L12" i="2" s="1"/>
  <c r="M12" i="2" s="1"/>
  <c r="D9" i="2"/>
  <c r="E9" i="2" s="1"/>
  <c r="F9" i="2" s="1"/>
  <c r="G9" i="2" s="1"/>
  <c r="H9" i="2" s="1"/>
  <c r="I9" i="2" s="1"/>
  <c r="D36" i="3"/>
  <c r="D34" i="3"/>
  <c r="D33" i="3"/>
  <c r="F48" i="2"/>
  <c r="G48" i="2" s="1"/>
  <c r="H48" i="2" s="1"/>
  <c r="I48" i="2" s="1"/>
  <c r="J48" i="2" s="1"/>
  <c r="K48" i="2" s="1"/>
  <c r="L48" i="2" s="1"/>
  <c r="M48" i="2" s="1"/>
  <c r="U28" i="1"/>
  <c r="AL26" i="1"/>
  <c r="AM26" i="1" s="1"/>
  <c r="AN26" i="1" s="1"/>
  <c r="AO26" i="1" s="1"/>
  <c r="AP26" i="1" s="1"/>
  <c r="Y54" i="6"/>
  <c r="Z54" i="6" s="1"/>
  <c r="AA54" i="6" s="1"/>
  <c r="AB54" i="6" s="1"/>
  <c r="X56" i="6"/>
  <c r="Y56" i="6" s="1"/>
  <c r="Z56" i="6" s="1"/>
  <c r="AA56" i="6" s="1"/>
  <c r="AB56" i="6" s="1"/>
  <c r="AC56" i="6" s="1"/>
  <c r="Z40" i="6"/>
  <c r="X39" i="6"/>
  <c r="Y39" i="6" s="1"/>
  <c r="Z39" i="6" s="1"/>
  <c r="U32" i="6"/>
  <c r="V32" i="6" s="1"/>
  <c r="W32" i="6" s="1"/>
  <c r="X32" i="6" s="1"/>
  <c r="Y32" i="6" s="1"/>
  <c r="Z32" i="6" s="1"/>
  <c r="W8" i="6"/>
  <c r="D15" i="3" l="1"/>
  <c r="O15" i="3" s="1"/>
  <c r="E35" i="2"/>
  <c r="F35" i="2" s="1"/>
  <c r="G35" i="2" s="1"/>
  <c r="H35" i="2" s="1"/>
  <c r="I35" i="2" s="1"/>
  <c r="D31" i="3"/>
  <c r="F36" i="2"/>
  <c r="G36" i="2" s="1"/>
  <c r="H36" i="2" s="1"/>
  <c r="I36" i="2" s="1"/>
  <c r="J36" i="2" s="1"/>
  <c r="K36" i="2" s="1"/>
  <c r="L36" i="2" s="1"/>
  <c r="M36" i="2" s="1"/>
  <c r="E30" i="3"/>
  <c r="I29" i="2"/>
  <c r="I12" i="3" s="1"/>
  <c r="E33" i="3"/>
  <c r="F33" i="3" s="1"/>
  <c r="G33" i="3" s="1"/>
  <c r="H33" i="3" s="1"/>
  <c r="I33" i="3" s="1"/>
  <c r="J33" i="3" s="1"/>
  <c r="K33" i="3" s="1"/>
  <c r="L33" i="3" s="1"/>
  <c r="M33" i="3" s="1"/>
  <c r="O33" i="3"/>
  <c r="O23" i="3"/>
  <c r="O26" i="3"/>
  <c r="E34" i="3"/>
  <c r="F34" i="3" s="1"/>
  <c r="G34" i="3" s="1"/>
  <c r="H34" i="3" s="1"/>
  <c r="I34" i="3" s="1"/>
  <c r="J34" i="3" s="1"/>
  <c r="K34" i="3" s="1"/>
  <c r="L34" i="3" s="1"/>
  <c r="M34" i="3" s="1"/>
  <c r="O34" i="3"/>
  <c r="E36" i="3"/>
  <c r="F36" i="3" s="1"/>
  <c r="G36" i="3" s="1"/>
  <c r="H36" i="3" s="1"/>
  <c r="I36" i="3" s="1"/>
  <c r="J36" i="3" s="1"/>
  <c r="K36" i="3" s="1"/>
  <c r="L36" i="3" s="1"/>
  <c r="M36" i="3" s="1"/>
  <c r="O36" i="3"/>
  <c r="I18" i="2"/>
  <c r="O10" i="3"/>
  <c r="E16" i="3"/>
  <c r="F16" i="3" s="1"/>
  <c r="G16" i="3" s="1"/>
  <c r="H16" i="3" s="1"/>
  <c r="I16" i="3" s="1"/>
  <c r="O16" i="3"/>
  <c r="E30" i="2"/>
  <c r="H163" i="5"/>
  <c r="X8" i="6"/>
  <c r="W12" i="6"/>
  <c r="X12" i="6" s="1"/>
  <c r="Y12" i="6" s="1"/>
  <c r="Z12" i="6" s="1"/>
  <c r="AA12" i="6" s="1"/>
  <c r="AB12" i="6" s="1"/>
  <c r="AC12" i="6" s="1"/>
  <c r="AQ26" i="1"/>
  <c r="AR26" i="1" s="1"/>
  <c r="AA39" i="6"/>
  <c r="Z43" i="6"/>
  <c r="AA40" i="6"/>
  <c r="Y58" i="6"/>
  <c r="M162" i="5"/>
  <c r="J9" i="2"/>
  <c r="AA32" i="6"/>
  <c r="AC54" i="6"/>
  <c r="Y43" i="6"/>
  <c r="D22" i="3"/>
  <c r="D22" i="2" s="1"/>
  <c r="D10" i="2"/>
  <c r="D18" i="2"/>
  <c r="D20" i="2"/>
  <c r="J29" i="2" l="1"/>
  <c r="J12" i="3" s="1"/>
  <c r="H46" i="2"/>
  <c r="H47" i="2" s="1"/>
  <c r="E15" i="3"/>
  <c r="F30" i="3"/>
  <c r="G30" i="3" s="1"/>
  <c r="H30" i="3" s="1"/>
  <c r="I30" i="3" s="1"/>
  <c r="J30" i="3" s="1"/>
  <c r="K30" i="3" s="1"/>
  <c r="L30" i="3" s="1"/>
  <c r="M30" i="3" s="1"/>
  <c r="E31" i="3"/>
  <c r="F31" i="3" s="1"/>
  <c r="G31" i="3" s="1"/>
  <c r="H31" i="3" s="1"/>
  <c r="I31" i="3" s="1"/>
  <c r="O31" i="3"/>
  <c r="H18" i="2"/>
  <c r="G18" i="2"/>
  <c r="F18" i="2"/>
  <c r="E18" i="2"/>
  <c r="H20" i="2"/>
  <c r="E20" i="2"/>
  <c r="G20" i="2"/>
  <c r="E22" i="3"/>
  <c r="F22" i="3" s="1"/>
  <c r="G22" i="3" s="1"/>
  <c r="H22" i="3" s="1"/>
  <c r="H22" i="2" s="1"/>
  <c r="O22" i="3"/>
  <c r="O8" i="3"/>
  <c r="O12" i="3"/>
  <c r="F20" i="2"/>
  <c r="F30" i="2"/>
  <c r="I163" i="5"/>
  <c r="Y8" i="6"/>
  <c r="AL28" i="1"/>
  <c r="AM28" i="1" s="1"/>
  <c r="AN28" i="1" s="1"/>
  <c r="AO28" i="1" s="1"/>
  <c r="AP28" i="1" s="1"/>
  <c r="AQ28" i="1" s="1"/>
  <c r="AR28" i="1" s="1"/>
  <c r="AS28" i="1" s="1"/>
  <c r="AD29" i="1"/>
  <c r="I46" i="2"/>
  <c r="J35" i="2"/>
  <c r="Z58" i="6"/>
  <c r="AB32" i="6"/>
  <c r="AC32" i="6" s="1"/>
  <c r="AB40" i="6"/>
  <c r="K29" i="2"/>
  <c r="N162" i="5"/>
  <c r="K9" i="2"/>
  <c r="J16" i="3"/>
  <c r="J20" i="2" s="1"/>
  <c r="AS26" i="1"/>
  <c r="AA43" i="6"/>
  <c r="AB39" i="6"/>
  <c r="J18" i="2"/>
  <c r="I20" i="2"/>
  <c r="U11" i="6"/>
  <c r="U13" i="6" s="1"/>
  <c r="I138" i="5" s="1"/>
  <c r="O15" i="6"/>
  <c r="H152" i="5"/>
  <c r="K12" i="3" l="1"/>
  <c r="H38" i="2"/>
  <c r="F15" i="3"/>
  <c r="L29" i="2"/>
  <c r="J31" i="3"/>
  <c r="I22" i="3"/>
  <c r="I22" i="2" s="1"/>
  <c r="G22" i="2"/>
  <c r="F22" i="2"/>
  <c r="E22" i="2"/>
  <c r="G30" i="2"/>
  <c r="J163" i="5"/>
  <c r="Z8" i="6"/>
  <c r="AL20" i="1"/>
  <c r="AM20" i="1" s="1"/>
  <c r="AN20" i="1" s="1"/>
  <c r="AO20" i="1" s="1"/>
  <c r="AP20" i="1" s="1"/>
  <c r="AQ20" i="1" s="1"/>
  <c r="AR20" i="1" s="1"/>
  <c r="AS20" i="1" s="1"/>
  <c r="AI20" i="1"/>
  <c r="AL27" i="1"/>
  <c r="AM27" i="1" s="1"/>
  <c r="AN27" i="1" s="1"/>
  <c r="AO27" i="1" s="1"/>
  <c r="AP27" i="1" s="1"/>
  <c r="AQ27" i="1" s="1"/>
  <c r="AR27" i="1" s="1"/>
  <c r="AS27" i="1" s="1"/>
  <c r="AI27" i="1"/>
  <c r="E10" i="2"/>
  <c r="U15" i="6"/>
  <c r="AD22" i="1"/>
  <c r="AB43" i="6"/>
  <c r="AC39" i="6"/>
  <c r="O162" i="5"/>
  <c r="L9" i="2"/>
  <c r="AC40" i="6"/>
  <c r="J46" i="2"/>
  <c r="K35" i="2"/>
  <c r="I38" i="2"/>
  <c r="I40" i="2" s="1"/>
  <c r="I47" i="2"/>
  <c r="AA58" i="6"/>
  <c r="K16" i="3"/>
  <c r="K20" i="2" s="1"/>
  <c r="K18" i="2"/>
  <c r="V11" i="6"/>
  <c r="I152" i="5"/>
  <c r="L12" i="3" l="1"/>
  <c r="G15" i="3"/>
  <c r="M29" i="2"/>
  <c r="K31" i="3"/>
  <c r="J22" i="3"/>
  <c r="J22" i="2" s="1"/>
  <c r="D19" i="2"/>
  <c r="O14" i="3"/>
  <c r="H30" i="2"/>
  <c r="K163" i="5"/>
  <c r="F10" i="2"/>
  <c r="V13" i="6"/>
  <c r="J138" i="5" s="1"/>
  <c r="J152" i="5" s="1"/>
  <c r="AA8" i="6"/>
  <c r="AJ18" i="1"/>
  <c r="AV18" i="1" s="1"/>
  <c r="T15" i="6"/>
  <c r="AS29" i="1"/>
  <c r="AQ29" i="1"/>
  <c r="AR29" i="1"/>
  <c r="AO29" i="1"/>
  <c r="AP29" i="1"/>
  <c r="AC43" i="6"/>
  <c r="L18" i="2"/>
  <c r="K46" i="2"/>
  <c r="L35" i="2"/>
  <c r="L16" i="3"/>
  <c r="L20" i="2" s="1"/>
  <c r="J38" i="2"/>
  <c r="J40" i="2" s="1"/>
  <c r="J47" i="2"/>
  <c r="AC58" i="6"/>
  <c r="AB58" i="6"/>
  <c r="M9" i="2"/>
  <c r="Q162" i="5" s="1"/>
  <c r="P162" i="5"/>
  <c r="W11" i="6"/>
  <c r="O24" i="3"/>
  <c r="E19" i="2"/>
  <c r="AK18" i="1"/>
  <c r="M12" i="3" l="1"/>
  <c r="H15" i="3"/>
  <c r="L31" i="3"/>
  <c r="K22" i="3"/>
  <c r="L22" i="3" s="1"/>
  <c r="I30" i="2"/>
  <c r="L163" i="5"/>
  <c r="G10" i="2"/>
  <c r="W13" i="6"/>
  <c r="K138" i="5" s="1"/>
  <c r="K152" i="5" s="1"/>
  <c r="AB8" i="6"/>
  <c r="AK65" i="1"/>
  <c r="J153" i="5"/>
  <c r="J154" i="5" s="1"/>
  <c r="X11" i="6"/>
  <c r="M16" i="3"/>
  <c r="M20" i="2" s="1"/>
  <c r="M18" i="2"/>
  <c r="L46" i="2"/>
  <c r="M35" i="2"/>
  <c r="M46" i="2" s="1"/>
  <c r="K47" i="2"/>
  <c r="K38" i="2"/>
  <c r="K40" i="2" s="1"/>
  <c r="F14" i="3"/>
  <c r="F19" i="2" s="1"/>
  <c r="D24" i="2"/>
  <c r="I15" i="3" l="1"/>
  <c r="M31" i="3"/>
  <c r="K22" i="2"/>
  <c r="I31" i="2"/>
  <c r="J30" i="2"/>
  <c r="M163" i="5"/>
  <c r="H10" i="2"/>
  <c r="X13" i="6"/>
  <c r="L138" i="5" s="1"/>
  <c r="AC8" i="6"/>
  <c r="AL18" i="1"/>
  <c r="AL65" i="1" s="1"/>
  <c r="V15" i="6"/>
  <c r="K153" i="5"/>
  <c r="K154" i="5" s="1"/>
  <c r="Y11" i="6"/>
  <c r="L47" i="2"/>
  <c r="L38" i="2"/>
  <c r="L40" i="2" s="1"/>
  <c r="M22" i="3"/>
  <c r="M22" i="2" s="1"/>
  <c r="L22" i="2"/>
  <c r="M38" i="2"/>
  <c r="M40" i="2" s="1"/>
  <c r="M47" i="2"/>
  <c r="G14" i="3"/>
  <c r="G19" i="2" s="1"/>
  <c r="E24" i="2"/>
  <c r="J15" i="3" l="1"/>
  <c r="J31" i="2"/>
  <c r="K30" i="2"/>
  <c r="N163" i="5"/>
  <c r="I10" i="2"/>
  <c r="Y13" i="6"/>
  <c r="M138" i="5" s="1"/>
  <c r="M152" i="5" s="1"/>
  <c r="AM18" i="1"/>
  <c r="AM65" i="1" s="1"/>
  <c r="W15" i="6"/>
  <c r="Z11" i="6"/>
  <c r="L152" i="5"/>
  <c r="F24" i="2"/>
  <c r="H14" i="3"/>
  <c r="K15" i="3" l="1"/>
  <c r="K31" i="2"/>
  <c r="Y15" i="6"/>
  <c r="L30" i="2"/>
  <c r="O163" i="5"/>
  <c r="J10" i="2"/>
  <c r="Z13" i="6"/>
  <c r="N138" i="5" s="1"/>
  <c r="N152" i="5" s="1"/>
  <c r="AN18" i="1"/>
  <c r="AN65" i="1" s="1"/>
  <c r="X15" i="6"/>
  <c r="L153" i="5"/>
  <c r="L154" i="5" s="1"/>
  <c r="M153" i="5"/>
  <c r="M154" i="5" s="1"/>
  <c r="AA11" i="6"/>
  <c r="H19" i="2"/>
  <c r="I14" i="3"/>
  <c r="AO18" i="1"/>
  <c r="G24" i="2"/>
  <c r="L15" i="3" l="1"/>
  <c r="L31" i="2"/>
  <c r="Z15" i="6"/>
  <c r="M30" i="2"/>
  <c r="P163" i="5"/>
  <c r="AB11" i="6"/>
  <c r="AB13" i="6" s="1"/>
  <c r="P138" i="5" s="1"/>
  <c r="AA13" i="6"/>
  <c r="O138" i="5" s="1"/>
  <c r="O152" i="5" s="1"/>
  <c r="M187" i="5"/>
  <c r="AO65" i="1"/>
  <c r="N153" i="5"/>
  <c r="N154" i="5" s="1"/>
  <c r="K10" i="2"/>
  <c r="AP18" i="1"/>
  <c r="J14" i="3"/>
  <c r="J19" i="2" s="1"/>
  <c r="I19" i="2"/>
  <c r="H24" i="2"/>
  <c r="J11" i="6"/>
  <c r="J32" i="6"/>
  <c r="M15" i="3" l="1"/>
  <c r="AA15" i="6"/>
  <c r="L10" i="2"/>
  <c r="AC11" i="6"/>
  <c r="M10" i="2" s="1"/>
  <c r="Q163" i="5"/>
  <c r="M31" i="2"/>
  <c r="N187" i="5"/>
  <c r="AP65" i="1"/>
  <c r="O153" i="5"/>
  <c r="O154" i="5" s="1"/>
  <c r="I24" i="2"/>
  <c r="K14" i="3"/>
  <c r="K19" i="2" s="1"/>
  <c r="AQ18" i="1"/>
  <c r="P152" i="5"/>
  <c r="AB15" i="6"/>
  <c r="AC13" i="6" l="1"/>
  <c r="Q138" i="5" s="1"/>
  <c r="Q152" i="5" s="1"/>
  <c r="Q153" i="5" s="1"/>
  <c r="Q154" i="5" s="1"/>
  <c r="O187" i="5"/>
  <c r="AQ65" i="1"/>
  <c r="P153" i="5"/>
  <c r="P154" i="5" s="1"/>
  <c r="AR18" i="1"/>
  <c r="J24" i="2"/>
  <c r="L14" i="3"/>
  <c r="AC15" i="6" l="1"/>
  <c r="P187" i="5"/>
  <c r="AR65" i="1"/>
  <c r="AS18" i="1"/>
  <c r="K24" i="2"/>
  <c r="M14" i="3"/>
  <c r="M19" i="2" s="1"/>
  <c r="L19" i="2"/>
  <c r="B31" i="14"/>
  <c r="C31" i="14"/>
  <c r="N8" i="5"/>
  <c r="N7" i="5"/>
  <c r="E163" i="5"/>
  <c r="E162" i="5"/>
  <c r="H162" i="5"/>
  <c r="I162" i="5"/>
  <c r="J162" i="5"/>
  <c r="K162" i="5"/>
  <c r="L162" i="5"/>
  <c r="E97" i="5"/>
  <c r="E70" i="5"/>
  <c r="E41" i="5"/>
  <c r="B92" i="5"/>
  <c r="AE62" i="6"/>
  <c r="AE61" i="6"/>
  <c r="Q63" i="6" l="1"/>
  <c r="P63" i="6"/>
  <c r="R63" i="6"/>
  <c r="S63" i="6"/>
  <c r="P61" i="6"/>
  <c r="Q61" i="6"/>
  <c r="R61" i="6"/>
  <c r="S61" i="6"/>
  <c r="P62" i="6"/>
  <c r="Q62" i="6"/>
  <c r="R62" i="6"/>
  <c r="S62" i="6"/>
  <c r="Q187" i="5"/>
  <c r="AS65" i="1"/>
  <c r="L24" i="2"/>
  <c r="M24" i="2"/>
  <c r="I187" i="5"/>
  <c r="H187" i="5"/>
  <c r="J187" i="5"/>
  <c r="E187" i="5"/>
  <c r="L187" i="5"/>
  <c r="K187" i="5"/>
  <c r="P66" i="6" l="1"/>
  <c r="P68" i="6" s="1"/>
  <c r="AF16" i="1" s="1"/>
  <c r="AF24" i="1" s="1"/>
  <c r="S66" i="6"/>
  <c r="S68" i="6" s="1"/>
  <c r="AI16" i="1" s="1"/>
  <c r="R66" i="6"/>
  <c r="R68" i="6" s="1"/>
  <c r="AH16" i="1" s="1"/>
  <c r="Q66" i="6"/>
  <c r="Q68" i="6" s="1"/>
  <c r="AG16" i="1" s="1"/>
  <c r="G46" i="14"/>
  <c r="G48" i="14" s="1"/>
  <c r="H46" i="14"/>
  <c r="H48" i="14" s="1"/>
  <c r="I46" i="14"/>
  <c r="I48" i="14" s="1"/>
  <c r="H8" i="6"/>
  <c r="I8" i="6"/>
  <c r="J8" i="6"/>
  <c r="G8" i="6"/>
  <c r="F8" i="6"/>
  <c r="AF22" i="1" l="1"/>
  <c r="AI22" i="1"/>
  <c r="AI24" i="1"/>
  <c r="AG22" i="1"/>
  <c r="AG24" i="1"/>
  <c r="AG31" i="1" s="1"/>
  <c r="AG32" i="1" s="1"/>
  <c r="AG35" i="1" s="1"/>
  <c r="AG40" i="1" s="1"/>
  <c r="AH24" i="1"/>
  <c r="AH22" i="1"/>
  <c r="E32" i="6" l="1"/>
  <c r="G34" i="7"/>
  <c r="H34" i="7"/>
  <c r="I34" i="7"/>
  <c r="K34" i="7"/>
  <c r="L34" i="7"/>
  <c r="M34" i="7"/>
  <c r="N34" i="7"/>
  <c r="P34" i="7"/>
  <c r="Q34" i="7"/>
  <c r="R34" i="7"/>
  <c r="F34" i="7"/>
  <c r="U34" i="7" l="1"/>
  <c r="K32" i="7"/>
  <c r="I32" i="7"/>
  <c r="F32" i="7"/>
  <c r="H32" i="7"/>
  <c r="G32" i="7"/>
  <c r="U27" i="1"/>
  <c r="U26" i="1"/>
  <c r="U20" i="1"/>
  <c r="U18" i="1"/>
  <c r="U7" i="1"/>
  <c r="U6" i="1"/>
  <c r="O39" i="1"/>
  <c r="O32" i="1"/>
  <c r="O28" i="1"/>
  <c r="O27" i="1"/>
  <c r="O26" i="1"/>
  <c r="O20" i="1"/>
  <c r="O18" i="1"/>
  <c r="O16" i="1"/>
  <c r="O13" i="1"/>
  <c r="O7" i="1"/>
  <c r="O34" i="7" s="1"/>
  <c r="O6" i="1"/>
  <c r="V22" i="1" l="1"/>
  <c r="W22" i="1" l="1"/>
  <c r="J39" i="1"/>
  <c r="J32" i="1"/>
  <c r="J28" i="1"/>
  <c r="J27" i="1"/>
  <c r="J26" i="1"/>
  <c r="J20" i="1"/>
  <c r="J18" i="1"/>
  <c r="J16" i="1"/>
  <c r="J13" i="1"/>
  <c r="J7" i="1"/>
  <c r="J34" i="7" s="1"/>
  <c r="J6" i="1"/>
  <c r="L22" i="1"/>
  <c r="M22" i="1"/>
  <c r="N22" i="1"/>
  <c r="O22" i="1"/>
  <c r="P22" i="1"/>
  <c r="Q22" i="1"/>
  <c r="R22" i="1"/>
  <c r="F22" i="1"/>
  <c r="G22" i="1"/>
  <c r="H22" i="1"/>
  <c r="I22" i="1"/>
  <c r="K22" i="1"/>
  <c r="Z29" i="1"/>
  <c r="T29" i="1"/>
  <c r="S29" i="1"/>
  <c r="R29" i="1"/>
  <c r="Q29" i="1"/>
  <c r="P29" i="1"/>
  <c r="O29" i="1"/>
  <c r="N29" i="1"/>
  <c r="M29" i="1"/>
  <c r="L29" i="1"/>
  <c r="K29" i="1"/>
  <c r="H29" i="1"/>
  <c r="I29" i="1"/>
  <c r="G29" i="1"/>
  <c r="F29" i="1"/>
  <c r="R8" i="1"/>
  <c r="Q8" i="1"/>
  <c r="P8" i="1"/>
  <c r="O8" i="1"/>
  <c r="O24" i="1" s="1"/>
  <c r="N8" i="1"/>
  <c r="M8" i="1"/>
  <c r="L8" i="1"/>
  <c r="K8" i="1"/>
  <c r="I8" i="1"/>
  <c r="H8" i="1"/>
  <c r="G8" i="1"/>
  <c r="F8" i="1"/>
  <c r="O31" i="1" l="1"/>
  <c r="O35" i="1" s="1"/>
  <c r="X22" i="1"/>
  <c r="X24" i="1"/>
  <c r="I24" i="1"/>
  <c r="I36" i="7"/>
  <c r="R24" i="1"/>
  <c r="C26" i="14"/>
  <c r="R36" i="7"/>
  <c r="K24" i="1"/>
  <c r="K36" i="7"/>
  <c r="F24" i="1"/>
  <c r="F36" i="7"/>
  <c r="O36" i="7"/>
  <c r="G24" i="1"/>
  <c r="G36" i="7"/>
  <c r="P24" i="1"/>
  <c r="P36" i="7"/>
  <c r="H24" i="1"/>
  <c r="H36" i="7"/>
  <c r="Q24" i="1"/>
  <c r="B26" i="14"/>
  <c r="Q36" i="7"/>
  <c r="L24" i="1"/>
  <c r="L36" i="7"/>
  <c r="M24" i="1"/>
  <c r="M36" i="7"/>
  <c r="J32" i="7"/>
  <c r="N24" i="1"/>
  <c r="N36" i="7"/>
  <c r="J29" i="1"/>
  <c r="J22" i="1"/>
  <c r="J8" i="1"/>
  <c r="X31" i="1" l="1"/>
  <c r="X33" i="1" s="1"/>
  <c r="I51" i="14"/>
  <c r="I53" i="14" s="1"/>
  <c r="J24" i="1"/>
  <c r="J36" i="7"/>
  <c r="X35" i="1" l="1"/>
  <c r="D47" i="2" l="1"/>
  <c r="AI39" i="1" s="1"/>
  <c r="D38" i="2"/>
  <c r="D37" i="3" s="1"/>
  <c r="E37" i="3" s="1"/>
  <c r="O37" i="3" l="1"/>
  <c r="G32" i="5"/>
  <c r="AJ39" i="1"/>
  <c r="C33" i="14"/>
  <c r="B33" i="14"/>
  <c r="Z2" i="14"/>
  <c r="Y2" i="14"/>
  <c r="X2" i="14"/>
  <c r="W2" i="14"/>
  <c r="V2" i="14"/>
  <c r="U2" i="14"/>
  <c r="P2" i="14"/>
  <c r="K2" i="14"/>
  <c r="F2" i="14"/>
  <c r="E2" i="14"/>
  <c r="D2" i="14"/>
  <c r="C2" i="14"/>
  <c r="B2" i="14"/>
  <c r="T45" i="1"/>
  <c r="S45" i="1"/>
  <c r="R45" i="1"/>
  <c r="Q45" i="1"/>
  <c r="B41" i="14"/>
  <c r="B43" i="14" s="1"/>
  <c r="S61" i="14" l="1"/>
  <c r="S63" i="14" s="1"/>
  <c r="U29" i="1"/>
  <c r="Q4" i="7"/>
  <c r="R4" i="7"/>
  <c r="S4" i="7"/>
  <c r="T4" i="7"/>
  <c r="U4" i="7"/>
  <c r="C41" i="14" l="1"/>
  <c r="C43" i="14" s="1"/>
  <c r="D41" i="14"/>
  <c r="D43" i="14" s="1"/>
  <c r="E41" i="14" l="1"/>
  <c r="E43" i="14" s="1"/>
  <c r="I94" i="6" l="1"/>
  <c r="H94" i="6"/>
  <c r="G94" i="6"/>
  <c r="F94" i="6"/>
  <c r="D94" i="6"/>
  <c r="C94" i="6"/>
  <c r="B94" i="6"/>
  <c r="B100" i="6" l="1"/>
  <c r="C100" i="6"/>
  <c r="U8" i="1"/>
  <c r="F26" i="14" s="1"/>
  <c r="G100" i="6" l="1"/>
  <c r="G86" i="6"/>
  <c r="I86" i="6"/>
  <c r="H86" i="6"/>
  <c r="B86" i="6"/>
  <c r="H100" i="6"/>
  <c r="I100" i="6"/>
  <c r="T8" i="1"/>
  <c r="S8" i="1"/>
  <c r="C86" i="6"/>
  <c r="D86" i="6"/>
  <c r="D100" i="6"/>
  <c r="E26" i="14" l="1"/>
  <c r="T36" i="7"/>
  <c r="D26" i="14"/>
  <c r="S36" i="7"/>
  <c r="R14" i="1"/>
  <c r="Q14" i="1"/>
  <c r="D28" i="14" l="1"/>
  <c r="B28" i="14"/>
  <c r="C28" i="14"/>
  <c r="E7" i="13" l="1"/>
  <c r="C7" i="13"/>
  <c r="B7" i="13"/>
  <c r="G25" i="13"/>
  <c r="F25" i="13"/>
  <c r="D25" i="13"/>
  <c r="G21" i="13"/>
  <c r="F21" i="13"/>
  <c r="D21" i="13"/>
  <c r="E18" i="13"/>
  <c r="B18" i="13"/>
  <c r="F17" i="13"/>
  <c r="F15" i="13"/>
  <c r="G12" i="13"/>
  <c r="F12" i="13"/>
  <c r="D12" i="13"/>
  <c r="G11" i="13"/>
  <c r="F11" i="13"/>
  <c r="D11" i="13"/>
  <c r="G9" i="13"/>
  <c r="F9" i="13"/>
  <c r="D9" i="13"/>
  <c r="G6" i="13"/>
  <c r="F6" i="13"/>
  <c r="D6" i="13"/>
  <c r="F18" i="13" l="1"/>
  <c r="C10" i="13"/>
  <c r="J7" i="13"/>
  <c r="E10" i="13"/>
  <c r="G7" i="13"/>
  <c r="E13" i="13" l="1"/>
  <c r="J13" i="13" s="1"/>
  <c r="G10" i="13"/>
  <c r="B10" i="13"/>
  <c r="F10" i="13" s="1"/>
  <c r="D7" i="13"/>
  <c r="F7" i="13"/>
  <c r="C13" i="13"/>
  <c r="D10" i="13" l="1"/>
  <c r="E19" i="13"/>
  <c r="G13" i="13"/>
  <c r="B13" i="13"/>
  <c r="D13" i="13" s="1"/>
  <c r="D40" i="2" l="1"/>
  <c r="E23" i="13"/>
  <c r="E26" i="13" s="1"/>
  <c r="E20" i="13"/>
  <c r="F13" i="13"/>
  <c r="B19" i="13"/>
  <c r="B23" i="13" l="1"/>
  <c r="B20" i="13"/>
  <c r="F20" i="13" s="1"/>
  <c r="F19" i="13"/>
  <c r="J23" i="13"/>
  <c r="F23" i="13" l="1"/>
  <c r="B26" i="13"/>
  <c r="F26" i="13" s="1"/>
  <c r="J26" i="13"/>
  <c r="C48" i="3" l="1"/>
  <c r="D48" i="3" s="1"/>
  <c r="E48" i="3" s="1"/>
  <c r="F48" i="3" s="1"/>
  <c r="G48" i="3" s="1"/>
  <c r="H48" i="3" s="1"/>
  <c r="I48" i="3" s="1"/>
  <c r="J48" i="3" l="1"/>
  <c r="C52" i="3"/>
  <c r="K48" i="3" l="1"/>
  <c r="D52" i="3"/>
  <c r="L48" i="3" l="1"/>
  <c r="E52" i="3"/>
  <c r="M48" i="3" l="1"/>
  <c r="F52" i="3"/>
  <c r="G52" i="3" l="1"/>
  <c r="H52" i="3" l="1"/>
  <c r="I52" i="3" s="1"/>
  <c r="J52" i="3" s="1"/>
  <c r="K52" i="3" s="1"/>
  <c r="L52" i="3" s="1"/>
  <c r="M52" i="3" s="1"/>
  <c r="Z41" i="1"/>
  <c r="Z19" i="1"/>
  <c r="Z17" i="1"/>
  <c r="Z9" i="1"/>
  <c r="Z22" i="12" l="1"/>
  <c r="AB22" i="12" s="1"/>
  <c r="AB27" i="12"/>
  <c r="J9" i="10" l="1"/>
  <c r="E7" i="10"/>
  <c r="E8" i="10"/>
  <c r="E6" i="10"/>
  <c r="D7" i="10"/>
  <c r="D8" i="10"/>
  <c r="D9" i="10"/>
  <c r="D6" i="10"/>
  <c r="C7" i="10"/>
  <c r="C8" i="10"/>
  <c r="C6" i="10"/>
  <c r="B7" i="10"/>
  <c r="B8" i="10"/>
  <c r="B9" i="10"/>
  <c r="B6" i="10"/>
  <c r="R18" i="10" l="1"/>
  <c r="S18" i="10"/>
  <c r="D31" i="2" l="1"/>
  <c r="E31" i="2"/>
  <c r="F31" i="2"/>
  <c r="G31" i="2"/>
  <c r="H31" i="2"/>
  <c r="B181" i="5" l="1"/>
  <c r="G14" i="1" l="1"/>
  <c r="G87" i="6" s="1"/>
  <c r="F14" i="1"/>
  <c r="H14" i="1"/>
  <c r="H87" i="6" s="1"/>
  <c r="I14" i="1"/>
  <c r="I87" i="6" s="1"/>
  <c r="N14" i="1"/>
  <c r="B87" i="6"/>
  <c r="C87" i="6"/>
  <c r="K14" i="1"/>
  <c r="D4" i="12"/>
  <c r="D87" i="6"/>
  <c r="L14" i="1"/>
  <c r="M14" i="1"/>
  <c r="X3" i="6"/>
  <c r="X71" i="6" s="1"/>
  <c r="W3" i="6"/>
  <c r="W71" i="6" s="1"/>
  <c r="V3" i="6"/>
  <c r="V27" i="6" s="1"/>
  <c r="U3" i="6"/>
  <c r="U27" i="6" s="1"/>
  <c r="T3" i="6"/>
  <c r="T27" i="6" s="1"/>
  <c r="O3" i="6"/>
  <c r="O27" i="6" s="1"/>
  <c r="J3" i="6"/>
  <c r="I3" i="6"/>
  <c r="H3" i="6"/>
  <c r="G3" i="6"/>
  <c r="F3" i="6"/>
  <c r="E3" i="6"/>
  <c r="D3" i="6"/>
  <c r="C3" i="6"/>
  <c r="B3" i="6"/>
  <c r="AR4" i="7"/>
  <c r="AQ4" i="7"/>
  <c r="AP4" i="7"/>
  <c r="AO4" i="7"/>
  <c r="AN4" i="7"/>
  <c r="AI4" i="7"/>
  <c r="Z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B180" i="5"/>
  <c r="B171" i="5"/>
  <c r="C161" i="5"/>
  <c r="E143" i="5"/>
  <c r="H143" i="5" s="1"/>
  <c r="I143" i="5" s="1"/>
  <c r="J143" i="5" s="1"/>
  <c r="K143" i="5" s="1"/>
  <c r="L143" i="5" s="1"/>
  <c r="M143" i="5" s="1"/>
  <c r="N143" i="5" s="1"/>
  <c r="O143" i="5" s="1"/>
  <c r="P143" i="5" s="1"/>
  <c r="Q143" i="5" s="1"/>
  <c r="D135" i="5"/>
  <c r="D161" i="5" s="1"/>
  <c r="D119" i="5"/>
  <c r="E119" i="5" s="1"/>
  <c r="F119" i="5" s="1"/>
  <c r="G119" i="5" s="1"/>
  <c r="H119" i="5" s="1"/>
  <c r="I119" i="5" s="1"/>
  <c r="J119" i="5" s="1"/>
  <c r="K119" i="5" s="1"/>
  <c r="L119" i="5" s="1"/>
  <c r="M119" i="5" s="1"/>
  <c r="N119" i="5" s="1"/>
  <c r="O119" i="5" s="1"/>
  <c r="P119" i="5" s="1"/>
  <c r="Q119" i="5" s="1"/>
  <c r="R119" i="5" s="1"/>
  <c r="S119" i="5" s="1"/>
  <c r="T119" i="5" s="1"/>
  <c r="U119" i="5" s="1"/>
  <c r="V119" i="5" s="1"/>
  <c r="W119" i="5" s="1"/>
  <c r="X119" i="5" s="1"/>
  <c r="Y119" i="5" s="1"/>
  <c r="D92" i="5"/>
  <c r="E92" i="5" s="1"/>
  <c r="D65" i="5"/>
  <c r="E65" i="5" s="1"/>
  <c r="F65" i="5" s="1"/>
  <c r="G65" i="5" s="1"/>
  <c r="D36" i="5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I68" i="6"/>
  <c r="I33" i="6" s="1"/>
  <c r="I31" i="6" s="1"/>
  <c r="H68" i="6"/>
  <c r="H33" i="6" s="1"/>
  <c r="H31" i="6" s="1"/>
  <c r="G68" i="6"/>
  <c r="G33" i="6" s="1"/>
  <c r="G31" i="6" s="1"/>
  <c r="F68" i="6"/>
  <c r="F33" i="6" s="1"/>
  <c r="D68" i="6"/>
  <c r="D33" i="6" s="1"/>
  <c r="D31" i="6" s="1"/>
  <c r="C68" i="6"/>
  <c r="C33" i="6" s="1"/>
  <c r="C31" i="6" s="1"/>
  <c r="B68" i="6"/>
  <c r="B33" i="6" s="1"/>
  <c r="B31" i="6" s="1"/>
  <c r="I13" i="6"/>
  <c r="I15" i="6" s="1"/>
  <c r="H13" i="6"/>
  <c r="H15" i="6" s="1"/>
  <c r="G13" i="6"/>
  <c r="G15" i="6" s="1"/>
  <c r="F13" i="6"/>
  <c r="F15" i="6" s="1"/>
  <c r="D13" i="6"/>
  <c r="C13" i="6"/>
  <c r="B13" i="6"/>
  <c r="O58" i="6"/>
  <c r="T45" i="6"/>
  <c r="G27" i="6" l="1"/>
  <c r="G71" i="6"/>
  <c r="I71" i="6"/>
  <c r="I27" i="6"/>
  <c r="C46" i="14"/>
  <c r="C48" i="14" s="1"/>
  <c r="B27" i="6"/>
  <c r="B71" i="6"/>
  <c r="J27" i="6"/>
  <c r="J71" i="6"/>
  <c r="H71" i="6"/>
  <c r="H27" i="6"/>
  <c r="C27" i="6"/>
  <c r="C71" i="6"/>
  <c r="D27" i="6"/>
  <c r="D71" i="6"/>
  <c r="E71" i="6"/>
  <c r="E27" i="6"/>
  <c r="F71" i="6"/>
  <c r="F27" i="6"/>
  <c r="D101" i="6"/>
  <c r="I101" i="6"/>
  <c r="G101" i="6"/>
  <c r="B101" i="6"/>
  <c r="C101" i="6"/>
  <c r="H101" i="6"/>
  <c r="E135" i="5"/>
  <c r="F92" i="5"/>
  <c r="G92" i="5" s="1"/>
  <c r="H92" i="5" s="1"/>
  <c r="I92" i="5" s="1"/>
  <c r="J92" i="5" s="1"/>
  <c r="K92" i="5" s="1"/>
  <c r="L92" i="5" s="1"/>
  <c r="M92" i="5" s="1"/>
  <c r="N92" i="5" s="1"/>
  <c r="O92" i="5" s="1"/>
  <c r="P92" i="5" s="1"/>
  <c r="Q92" i="5" s="1"/>
  <c r="R92" i="5" s="1"/>
  <c r="S92" i="5" s="1"/>
  <c r="T92" i="5" s="1"/>
  <c r="U92" i="5" s="1"/>
  <c r="V92" i="5" s="1"/>
  <c r="W92" i="5" s="1"/>
  <c r="X92" i="5" s="1"/>
  <c r="F87" i="6"/>
  <c r="O49" i="6"/>
  <c r="H65" i="5"/>
  <c r="I65" i="5" s="1"/>
  <c r="J65" i="5" s="1"/>
  <c r="K65" i="5" s="1"/>
  <c r="L65" i="5" s="1"/>
  <c r="M65" i="5" s="1"/>
  <c r="N65" i="5" s="1"/>
  <c r="O65" i="5" s="1"/>
  <c r="P65" i="5" s="1"/>
  <c r="Q65" i="5" s="1"/>
  <c r="R65" i="5" s="1"/>
  <c r="S65" i="5" s="1"/>
  <c r="T65" i="5" s="1"/>
  <c r="U65" i="5" s="1"/>
  <c r="V65" i="5" s="1"/>
  <c r="W65" i="5" s="1"/>
  <c r="X65" i="5" s="1"/>
  <c r="B179" i="5"/>
  <c r="B170" i="5"/>
  <c r="B178" i="5"/>
  <c r="B169" i="5"/>
  <c r="V78" i="6"/>
  <c r="V77" i="6"/>
  <c r="W27" i="6"/>
  <c r="O50" i="6"/>
  <c r="O64" i="6" s="1"/>
  <c r="O43" i="6"/>
  <c r="V58" i="6"/>
  <c r="U45" i="6"/>
  <c r="T64" i="6"/>
  <c r="X27" i="6"/>
  <c r="O71" i="6"/>
  <c r="T71" i="6"/>
  <c r="U71" i="6"/>
  <c r="O48" i="6"/>
  <c r="U58" i="6"/>
  <c r="V71" i="6"/>
  <c r="O47" i="6"/>
  <c r="O61" i="6" s="1"/>
  <c r="E161" i="5" l="1"/>
  <c r="S22" i="1"/>
  <c r="D46" i="14"/>
  <c r="D48" i="14" s="1"/>
  <c r="F135" i="5"/>
  <c r="B46" i="14"/>
  <c r="B48" i="14" s="1"/>
  <c r="R31" i="1"/>
  <c r="R33" i="1" s="1"/>
  <c r="C51" i="14"/>
  <c r="C53" i="14" s="1"/>
  <c r="O51" i="6"/>
  <c r="U50" i="6"/>
  <c r="U64" i="6" s="1"/>
  <c r="V45" i="6"/>
  <c r="V76" i="6"/>
  <c r="U48" i="6"/>
  <c r="W78" i="6"/>
  <c r="W77" i="6"/>
  <c r="W58" i="6"/>
  <c r="X58" i="6"/>
  <c r="U47" i="6"/>
  <c r="AK29" i="1" l="1"/>
  <c r="R35" i="1"/>
  <c r="F161" i="5"/>
  <c r="G135" i="5"/>
  <c r="B51" i="14"/>
  <c r="B53" i="14" s="1"/>
  <c r="Q31" i="1"/>
  <c r="Q33" i="1" s="1"/>
  <c r="V47" i="6"/>
  <c r="W76" i="6"/>
  <c r="X78" i="6"/>
  <c r="Y78" i="6" s="1"/>
  <c r="U49" i="6"/>
  <c r="U43" i="6"/>
  <c r="X77" i="6"/>
  <c r="Y77" i="6" s="1"/>
  <c r="W45" i="6"/>
  <c r="W47" i="6" s="1"/>
  <c r="V48" i="6"/>
  <c r="V50" i="6"/>
  <c r="V64" i="6" s="1"/>
  <c r="Z77" i="6" l="1"/>
  <c r="Z78" i="6"/>
  <c r="AL29" i="1"/>
  <c r="R40" i="1"/>
  <c r="C61" i="14" s="1"/>
  <c r="C63" i="14" s="1"/>
  <c r="G161" i="5"/>
  <c r="H135" i="5"/>
  <c r="Q35" i="1"/>
  <c r="U51" i="6"/>
  <c r="X45" i="6"/>
  <c r="Y45" i="6" s="1"/>
  <c r="Z45" i="6" s="1"/>
  <c r="W50" i="6"/>
  <c r="W64" i="6" s="1"/>
  <c r="W48" i="6"/>
  <c r="V49" i="6"/>
  <c r="V43" i="6"/>
  <c r="X76" i="6"/>
  <c r="Y76" i="6" s="1"/>
  <c r="AA77" i="6" l="1"/>
  <c r="Z76" i="6"/>
  <c r="Z49" i="6"/>
  <c r="Z63" i="6" s="1"/>
  <c r="N96" i="5" s="1"/>
  <c r="AA45" i="6"/>
  <c r="Z50" i="6"/>
  <c r="Z64" i="6" s="1"/>
  <c r="Z48" i="6"/>
  <c r="Z62" i="6" s="1"/>
  <c r="N69" i="5" s="1"/>
  <c r="Z47" i="6"/>
  <c r="AA78" i="6"/>
  <c r="Y50" i="6"/>
  <c r="Y64" i="6" s="1"/>
  <c r="Y49" i="6"/>
  <c r="Y63" i="6" s="1"/>
  <c r="M96" i="5" s="1"/>
  <c r="Y48" i="6"/>
  <c r="Y62" i="6" s="1"/>
  <c r="M69" i="5" s="1"/>
  <c r="Y47" i="6"/>
  <c r="AN29" i="1"/>
  <c r="AM29" i="1"/>
  <c r="I135" i="5"/>
  <c r="H161" i="5"/>
  <c r="V51" i="6"/>
  <c r="X50" i="6"/>
  <c r="X64" i="6" s="1"/>
  <c r="X48" i="6"/>
  <c r="W49" i="6"/>
  <c r="W43" i="6"/>
  <c r="X47" i="6"/>
  <c r="AA49" i="6" l="1"/>
  <c r="AA63" i="6" s="1"/>
  <c r="O96" i="5" s="1"/>
  <c r="AB45" i="6"/>
  <c r="AA50" i="6"/>
  <c r="AA64" i="6" s="1"/>
  <c r="AA48" i="6"/>
  <c r="AA47" i="6"/>
  <c r="AA61" i="6" s="1"/>
  <c r="AB78" i="6"/>
  <c r="Z51" i="6"/>
  <c r="Z61" i="6"/>
  <c r="AA76" i="6"/>
  <c r="AB77" i="6"/>
  <c r="Y61" i="6"/>
  <c r="Y51" i="6"/>
  <c r="Q40" i="1"/>
  <c r="J135" i="5"/>
  <c r="J155" i="5" s="1"/>
  <c r="I161" i="5"/>
  <c r="W51" i="6"/>
  <c r="X49" i="6"/>
  <c r="X43" i="6"/>
  <c r="B61" i="14" l="1"/>
  <c r="B63" i="14" s="1"/>
  <c r="AA51" i="6"/>
  <c r="AA62" i="6"/>
  <c r="O69" i="5" s="1"/>
  <c r="AC77" i="6"/>
  <c r="O40" i="5"/>
  <c r="AB76" i="6"/>
  <c r="AC78" i="6"/>
  <c r="N40" i="5"/>
  <c r="Z66" i="6"/>
  <c r="AC45" i="6"/>
  <c r="AB50" i="6"/>
  <c r="AB64" i="6" s="1"/>
  <c r="AB49" i="6"/>
  <c r="AB63" i="6" s="1"/>
  <c r="P96" i="5" s="1"/>
  <c r="AB47" i="6"/>
  <c r="AB48" i="6"/>
  <c r="AB62" i="6" s="1"/>
  <c r="P69" i="5" s="1"/>
  <c r="Y66" i="6"/>
  <c r="M40" i="5"/>
  <c r="K135" i="5"/>
  <c r="K155" i="5" s="1"/>
  <c r="J161" i="5"/>
  <c r="X51" i="6"/>
  <c r="AA66" i="6" l="1"/>
  <c r="AC50" i="6"/>
  <c r="AC64" i="6" s="1"/>
  <c r="AC49" i="6"/>
  <c r="AC63" i="6" s="1"/>
  <c r="Q96" i="5" s="1"/>
  <c r="AC47" i="6"/>
  <c r="AC48" i="6"/>
  <c r="AC62" i="6" s="1"/>
  <c r="Q69" i="5" s="1"/>
  <c r="AC76" i="6"/>
  <c r="AB51" i="6"/>
  <c r="AB61" i="6"/>
  <c r="L135" i="5"/>
  <c r="L155" i="5" s="1"/>
  <c r="K161" i="5"/>
  <c r="AC51" i="6" l="1"/>
  <c r="AC61" i="6"/>
  <c r="AB66" i="6"/>
  <c r="P40" i="5"/>
  <c r="L161" i="5"/>
  <c r="M135" i="5"/>
  <c r="M155" i="5" s="1"/>
  <c r="N135" i="5" l="1"/>
  <c r="N155" i="5" s="1"/>
  <c r="M161" i="5"/>
  <c r="AC66" i="6"/>
  <c r="Q40" i="5"/>
  <c r="J8" i="10"/>
  <c r="O135" i="5" l="1"/>
  <c r="O155" i="5" s="1"/>
  <c r="N161" i="5"/>
  <c r="W62" i="6"/>
  <c r="K69" i="5" s="1"/>
  <c r="J7" i="10"/>
  <c r="P135" i="5" l="1"/>
  <c r="P155" i="5" s="1"/>
  <c r="O161" i="5"/>
  <c r="X62" i="6"/>
  <c r="O62" i="6"/>
  <c r="E69" i="5"/>
  <c r="U62" i="6"/>
  <c r="T62" i="6"/>
  <c r="V62" i="6"/>
  <c r="O14" i="1"/>
  <c r="Q135" i="5" l="1"/>
  <c r="Q155" i="5" s="1"/>
  <c r="P161" i="5"/>
  <c r="J69" i="5"/>
  <c r="H69" i="5"/>
  <c r="I69" i="5"/>
  <c r="L69" i="5"/>
  <c r="R135" i="5" l="1"/>
  <c r="S135" i="5" s="1"/>
  <c r="T135" i="5" s="1"/>
  <c r="U135" i="5" s="1"/>
  <c r="V135" i="5" s="1"/>
  <c r="W135" i="5" s="1"/>
  <c r="Q161" i="5"/>
  <c r="H4" i="3" l="1"/>
  <c r="H5" i="2" s="1"/>
  <c r="B5" i="2"/>
  <c r="C4" i="3"/>
  <c r="C5" i="2" s="1"/>
  <c r="D4" i="3"/>
  <c r="D5" i="2" s="1"/>
  <c r="E4" i="3"/>
  <c r="E5" i="2" s="1"/>
  <c r="F4" i="3"/>
  <c r="F5" i="2" s="1"/>
  <c r="G4" i="3"/>
  <c r="G5" i="2" s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U45" i="1"/>
  <c r="Z45" i="1"/>
  <c r="AE45" i="1"/>
  <c r="AJ45" i="1"/>
  <c r="AK45" i="1"/>
  <c r="AL45" i="1"/>
  <c r="AM45" i="1"/>
  <c r="AN45" i="1"/>
  <c r="Z58" i="1"/>
  <c r="AE58" i="1"/>
  <c r="AJ58" i="1"/>
  <c r="AK58" i="1"/>
  <c r="AL58" i="1"/>
  <c r="AM58" i="1"/>
  <c r="AN58" i="1"/>
  <c r="M31" i="1" l="1"/>
  <c r="M35" i="1" s="1"/>
  <c r="M40" i="1" s="1"/>
  <c r="J13" i="6"/>
  <c r="E94" i="6"/>
  <c r="E13" i="6"/>
  <c r="J94" i="6"/>
  <c r="J68" i="6"/>
  <c r="J33" i="6" s="1"/>
  <c r="J31" i="6" s="1"/>
  <c r="E68" i="6"/>
  <c r="E33" i="6" s="1"/>
  <c r="E31" i="6" s="1"/>
  <c r="J100" i="6"/>
  <c r="J86" i="6"/>
  <c r="E100" i="6"/>
  <c r="E86" i="6"/>
  <c r="P14" i="1"/>
  <c r="I31" i="1"/>
  <c r="N31" i="1"/>
  <c r="N33" i="1" s="1"/>
  <c r="K31" i="1"/>
  <c r="H31" i="1"/>
  <c r="G31" i="1"/>
  <c r="F31" i="1"/>
  <c r="F35" i="1" l="1"/>
  <c r="F40" i="1" s="1"/>
  <c r="F33" i="1"/>
  <c r="G35" i="1"/>
  <c r="G33" i="1"/>
  <c r="H35" i="1"/>
  <c r="H40" i="1" s="1"/>
  <c r="H33" i="1"/>
  <c r="K35" i="1"/>
  <c r="K33" i="1"/>
  <c r="I35" i="1"/>
  <c r="I33" i="1"/>
  <c r="M33" i="1"/>
  <c r="N35" i="1"/>
  <c r="N40" i="1" s="1"/>
  <c r="F86" i="6"/>
  <c r="F100" i="6"/>
  <c r="E87" i="6"/>
  <c r="J14" i="1"/>
  <c r="J87" i="6" s="1"/>
  <c r="L31" i="1"/>
  <c r="E4" i="12"/>
  <c r="J31" i="1"/>
  <c r="E5" i="12" l="1"/>
  <c r="G40" i="1"/>
  <c r="L35" i="1"/>
  <c r="L40" i="1" s="1"/>
  <c r="L33" i="1"/>
  <c r="J35" i="1"/>
  <c r="J33" i="1"/>
  <c r="I40" i="1"/>
  <c r="E101" i="6"/>
  <c r="J101" i="6"/>
  <c r="F101" i="6"/>
  <c r="J40" i="1" l="1"/>
  <c r="T22" i="1"/>
  <c r="E46" i="14"/>
  <c r="E48" i="14" s="1"/>
  <c r="K40" i="1" l="1"/>
  <c r="D9" i="12" l="1"/>
  <c r="O33" i="1"/>
  <c r="K41" i="14"/>
  <c r="K43" i="14" s="1"/>
  <c r="F41" i="14"/>
  <c r="F43" i="14" s="1"/>
  <c r="O40" i="1" l="1"/>
  <c r="P40" i="1" s="1"/>
  <c r="P31" i="1"/>
  <c r="P35" i="1" l="1"/>
  <c r="P33" i="1"/>
  <c r="U41" i="14"/>
  <c r="U43" i="14" s="1"/>
  <c r="E9" i="12" l="1"/>
  <c r="V41" i="14"/>
  <c r="V43" i="14" s="1"/>
  <c r="E10" i="12" l="1"/>
  <c r="W41" i="14"/>
  <c r="W43" i="14" s="1"/>
  <c r="X41" i="14" l="1"/>
  <c r="X43" i="14" s="1"/>
  <c r="Y41" i="14" l="1"/>
  <c r="Y43" i="14" s="1"/>
  <c r="Z41" i="14" l="1"/>
  <c r="Z43" i="14" s="1"/>
  <c r="J6" i="10" l="1"/>
  <c r="X61" i="6" l="1"/>
  <c r="L40" i="5" s="1"/>
  <c r="E40" i="5"/>
  <c r="U61" i="6"/>
  <c r="I40" i="5" s="1"/>
  <c r="T61" i="6"/>
  <c r="H40" i="5" s="1"/>
  <c r="W61" i="6"/>
  <c r="K40" i="5" s="1"/>
  <c r="V61" i="6"/>
  <c r="J40" i="5" s="1"/>
  <c r="X63" i="6" l="1"/>
  <c r="W63" i="6"/>
  <c r="K96" i="5" s="1"/>
  <c r="V63" i="6"/>
  <c r="J96" i="5" s="1"/>
  <c r="U63" i="6"/>
  <c r="I96" i="5" s="1"/>
  <c r="T63" i="6"/>
  <c r="H96" i="5" s="1"/>
  <c r="L96" i="5" l="1"/>
  <c r="O63" i="6"/>
  <c r="E96" i="5"/>
  <c r="W66" i="6"/>
  <c r="T66" i="6"/>
  <c r="U66" i="6"/>
  <c r="X66" i="6"/>
  <c r="V66" i="6"/>
  <c r="O66" i="6" l="1"/>
  <c r="AE22" i="1" l="1"/>
  <c r="U46" i="14"/>
  <c r="U48" i="14" s="1"/>
  <c r="X40" i="1" l="1"/>
  <c r="I61" i="14" s="1"/>
  <c r="I63" i="14" s="1"/>
  <c r="G33" i="5" l="1"/>
  <c r="E47" i="2"/>
  <c r="AK39" i="1" s="1"/>
  <c r="F46" i="2"/>
  <c r="L61" i="14" l="1"/>
  <c r="L63" i="14" s="1"/>
  <c r="M61" i="14"/>
  <c r="M63" i="14" s="1"/>
  <c r="E40" i="2"/>
  <c r="F47" i="2"/>
  <c r="F38" i="2"/>
  <c r="F37" i="3" s="1"/>
  <c r="H40" i="2"/>
  <c r="F40" i="2" l="1"/>
  <c r="N61" i="14"/>
  <c r="N63" i="14" s="1"/>
  <c r="G47" i="2"/>
  <c r="G38" i="2"/>
  <c r="G40" i="2" s="1"/>
  <c r="G37" i="3" l="1"/>
  <c r="H37" i="3" s="1"/>
  <c r="I37" i="3" s="1"/>
  <c r="J37" i="3" s="1"/>
  <c r="K37" i="3" s="1"/>
  <c r="L37" i="3" s="1"/>
  <c r="M37" i="3" s="1"/>
  <c r="AL39" i="1"/>
  <c r="E28" i="14"/>
  <c r="AM39" i="1" l="1"/>
  <c r="AN39" i="1" s="1"/>
  <c r="AO39" i="1" s="1"/>
  <c r="AP39" i="1" l="1"/>
  <c r="AQ39" i="1" l="1"/>
  <c r="AR39" i="1" l="1"/>
  <c r="U36" i="7"/>
  <c r="AS39" i="1" l="1"/>
  <c r="F28" i="14"/>
  <c r="E31" i="14" l="1"/>
  <c r="E33" i="14" s="1"/>
  <c r="T24" i="1"/>
  <c r="T14" i="1"/>
  <c r="E51" i="14" l="1"/>
  <c r="E53" i="14" s="1"/>
  <c r="T31" i="1"/>
  <c r="T33" i="1" s="1"/>
  <c r="T35" i="1" l="1"/>
  <c r="T40" i="1" s="1"/>
  <c r="E61" i="14" s="1"/>
  <c r="E63" i="14" s="1"/>
  <c r="V79" i="6" l="1"/>
  <c r="W79" i="6" l="1"/>
  <c r="X79" i="6" l="1"/>
  <c r="Y79" i="6" s="1"/>
  <c r="Z79" i="6" l="1"/>
  <c r="J15" i="6"/>
  <c r="S24" i="1"/>
  <c r="S31" i="1" s="1"/>
  <c r="S33" i="1" s="1"/>
  <c r="AA79" i="6" l="1"/>
  <c r="S14" i="1"/>
  <c r="U13" i="1"/>
  <c r="U14" i="1" s="1"/>
  <c r="D31" i="14"/>
  <c r="D33" i="14" s="1"/>
  <c r="D51" i="14"/>
  <c r="D53" i="14" s="1"/>
  <c r="U31" i="1"/>
  <c r="U32" i="1"/>
  <c r="F31" i="14" l="1"/>
  <c r="F33" i="14" s="1"/>
  <c r="AB79" i="6"/>
  <c r="U33" i="1"/>
  <c r="S35" i="1"/>
  <c r="AC79" i="6" l="1"/>
  <c r="U35" i="1"/>
  <c r="S40" i="1"/>
  <c r="U40" i="1" s="1"/>
  <c r="R18" i="12"/>
  <c r="Q18" i="12"/>
  <c r="Z37" i="7" l="1"/>
  <c r="Z21" i="7"/>
  <c r="Z26" i="7"/>
  <c r="D61" i="14"/>
  <c r="D63" i="14" s="1"/>
  <c r="U39" i="1"/>
  <c r="F61" i="14" l="1"/>
  <c r="F63" i="14" s="1"/>
  <c r="V14" i="1" l="1"/>
  <c r="G31" i="14"/>
  <c r="G33" i="14" s="1"/>
  <c r="W14" i="1"/>
  <c r="H31" i="14"/>
  <c r="H33" i="14" s="1"/>
  <c r="W24" i="1"/>
  <c r="V24" i="1"/>
  <c r="V31" i="1" l="1"/>
  <c r="V33" i="1" s="1"/>
  <c r="G51" i="14"/>
  <c r="G53" i="14" s="1"/>
  <c r="W31" i="1"/>
  <c r="W33" i="1" s="1"/>
  <c r="H51" i="14"/>
  <c r="H53" i="14" s="1"/>
  <c r="V35" i="1" l="1"/>
  <c r="V40" i="1" s="1"/>
  <c r="W35" i="1"/>
  <c r="W40" i="1" s="1"/>
  <c r="H61" i="14" s="1"/>
  <c r="H63" i="14" s="1"/>
  <c r="G61" i="14" l="1"/>
  <c r="G63" i="14" s="1"/>
  <c r="Y8" i="1" l="1"/>
  <c r="Y36" i="7" s="1"/>
  <c r="J26" i="14" l="1"/>
  <c r="J28" i="14" s="1"/>
  <c r="Y14" i="1"/>
  <c r="J31" i="14" s="1"/>
  <c r="J33" i="14" s="1"/>
  <c r="Z7" i="1" l="1"/>
  <c r="K21" i="14"/>
  <c r="K23" i="14" s="1"/>
  <c r="E120" i="5"/>
  <c r="E172" i="5" l="1"/>
  <c r="U16" i="1" l="1"/>
  <c r="U22" i="1" l="1"/>
  <c r="U24" i="1"/>
  <c r="F51" i="14" s="1"/>
  <c r="F53" i="14" s="1"/>
  <c r="F46" i="14"/>
  <c r="F48" i="14" s="1"/>
  <c r="P16" i="14" l="1"/>
  <c r="P18" i="14" s="1"/>
  <c r="F93" i="5"/>
  <c r="U16" i="14"/>
  <c r="U18" i="14" s="1"/>
  <c r="O92" i="6"/>
  <c r="K16" i="14" l="1"/>
  <c r="K18" i="14" s="1"/>
  <c r="E94" i="5"/>
  <c r="E93" i="5"/>
  <c r="E98" i="5" l="1"/>
  <c r="E107" i="5"/>
  <c r="E108" i="5" s="1"/>
  <c r="E110" i="5"/>
  <c r="E109" i="5"/>
  <c r="E95" i="5"/>
  <c r="E171" i="5" l="1"/>
  <c r="E111" i="5"/>
  <c r="W16" i="14" l="1"/>
  <c r="W18" i="14" s="1"/>
  <c r="U85" i="6"/>
  <c r="U92" i="6" s="1"/>
  <c r="I94" i="5" s="1"/>
  <c r="V16" i="14"/>
  <c r="V18" i="14" s="1"/>
  <c r="I107" i="5" l="1"/>
  <c r="I108" i="5" s="1"/>
  <c r="X16" i="14"/>
  <c r="X18" i="14" s="1"/>
  <c r="V85" i="6"/>
  <c r="V92" i="6" s="1"/>
  <c r="J94" i="5" s="1"/>
  <c r="T92" i="6"/>
  <c r="H94" i="5" s="1"/>
  <c r="H107" i="5" s="1"/>
  <c r="H108" i="5" s="1"/>
  <c r="I109" i="5"/>
  <c r="I110" i="5"/>
  <c r="I98" i="5"/>
  <c r="I95" i="5"/>
  <c r="H109" i="5"/>
  <c r="H110" i="5"/>
  <c r="H98" i="5" l="1"/>
  <c r="H95" i="5"/>
  <c r="J95" i="5"/>
  <c r="J107" i="5"/>
  <c r="J108" i="5" s="1"/>
  <c r="J109" i="5"/>
  <c r="J110" i="5"/>
  <c r="J98" i="5"/>
  <c r="Y16" i="14"/>
  <c r="Y18" i="14" s="1"/>
  <c r="W85" i="6"/>
  <c r="W92" i="6" s="1"/>
  <c r="K94" i="5" s="1"/>
  <c r="I171" i="5"/>
  <c r="I111" i="5"/>
  <c r="K107" i="5" l="1"/>
  <c r="K108" i="5" s="1"/>
  <c r="J171" i="5"/>
  <c r="J111" i="5"/>
  <c r="J99" i="5"/>
  <c r="J100" i="5" s="1"/>
  <c r="K109" i="5"/>
  <c r="K110" i="5"/>
  <c r="K98" i="5"/>
  <c r="K95" i="5"/>
  <c r="H171" i="5"/>
  <c r="H111" i="5"/>
  <c r="K111" i="5" l="1"/>
  <c r="K171" i="5"/>
  <c r="K99" i="5"/>
  <c r="K100" i="5" s="1"/>
  <c r="Y85" i="6"/>
  <c r="Y92" i="6" s="1"/>
  <c r="M94" i="5" s="1"/>
  <c r="Z85" i="6" l="1"/>
  <c r="Z92" i="6" s="1"/>
  <c r="N94" i="5" s="1"/>
  <c r="M98" i="5"/>
  <c r="M95" i="5"/>
  <c r="Z16" i="14"/>
  <c r="Z18" i="14" s="1"/>
  <c r="X85" i="6"/>
  <c r="X92" i="6" s="1"/>
  <c r="L94" i="5" s="1"/>
  <c r="L110" i="5" l="1"/>
  <c r="L109" i="5"/>
  <c r="L98" i="5"/>
  <c r="L95" i="5"/>
  <c r="L107" i="5"/>
  <c r="L108" i="5" s="1"/>
  <c r="AA85" i="6"/>
  <c r="AA92" i="6" s="1"/>
  <c r="O94" i="5" s="1"/>
  <c r="M171" i="5"/>
  <c r="M99" i="5"/>
  <c r="M100" i="5" s="1"/>
  <c r="N98" i="5"/>
  <c r="N95" i="5"/>
  <c r="AB85" i="6" l="1"/>
  <c r="AB92" i="6" s="1"/>
  <c r="P94" i="5" s="1"/>
  <c r="G8" i="10"/>
  <c r="O95" i="5"/>
  <c r="O98" i="5"/>
  <c r="N171" i="5"/>
  <c r="N99" i="5"/>
  <c r="N100" i="5" s="1"/>
  <c r="L111" i="5"/>
  <c r="L171" i="5"/>
  <c r="L99" i="5"/>
  <c r="L100" i="5" s="1"/>
  <c r="P95" i="5" l="1"/>
  <c r="O171" i="5"/>
  <c r="O99" i="5"/>
  <c r="O100" i="5" s="1"/>
  <c r="H91" i="5"/>
  <c r="J9" i="5" s="1"/>
  <c r="F8" i="10" s="1"/>
  <c r="AC85" i="6"/>
  <c r="AC92" i="6" s="1"/>
  <c r="Q94" i="5" s="1"/>
  <c r="P98" i="5"/>
  <c r="Q95" i="5" l="1"/>
  <c r="P99" i="5"/>
  <c r="P100" i="5" s="1"/>
  <c r="P171" i="5"/>
  <c r="Q98" i="5"/>
  <c r="Q99" i="5" l="1"/>
  <c r="Q100" i="5" s="1"/>
  <c r="Q171" i="5"/>
  <c r="J46" i="14" l="1"/>
  <c r="J48" i="14" s="1"/>
  <c r="Z16" i="1" l="1"/>
  <c r="Z22" i="1" s="1"/>
  <c r="E137" i="5"/>
  <c r="E139" i="5" s="1"/>
  <c r="K46" i="14" l="1"/>
  <c r="K48" i="14" s="1"/>
  <c r="E186" i="5"/>
  <c r="I41" i="14" l="1"/>
  <c r="I43" i="14" s="1"/>
  <c r="J41" i="14" l="1"/>
  <c r="J43" i="14" s="1"/>
  <c r="Y22" i="1"/>
  <c r="Y24" i="1"/>
  <c r="Y31" i="1" s="1"/>
  <c r="Y35" i="1" l="1"/>
  <c r="Y40" i="1" s="1"/>
  <c r="Y33" i="1"/>
  <c r="J51" i="14"/>
  <c r="J53" i="14" s="1"/>
  <c r="Z32" i="1"/>
  <c r="J61" i="14" l="1"/>
  <c r="J63" i="14" s="1"/>
  <c r="L46" i="14" l="1"/>
  <c r="L48" i="14" s="1"/>
  <c r="O46" i="14" l="1"/>
  <c r="O48" i="14" s="1"/>
  <c r="P46" i="14" l="1"/>
  <c r="P48" i="14" s="1"/>
  <c r="O41" i="14" l="1"/>
  <c r="O43" i="14" s="1"/>
  <c r="P41" i="14" l="1"/>
  <c r="P43" i="14" s="1"/>
  <c r="O51" i="14"/>
  <c r="O53" i="14" s="1"/>
  <c r="Z14" i="7" l="1"/>
  <c r="P11" i="14"/>
  <c r="P13" i="14" s="1"/>
  <c r="O91" i="6"/>
  <c r="U11" i="14"/>
  <c r="U13" i="14" s="1"/>
  <c r="Z9" i="7"/>
  <c r="Z17" i="7"/>
  <c r="Z19" i="7"/>
  <c r="Z6" i="1" l="1"/>
  <c r="Z8" i="1" s="1"/>
  <c r="Z36" i="7"/>
  <c r="K5" i="14"/>
  <c r="K7" i="14" s="1"/>
  <c r="E37" i="5"/>
  <c r="K11" i="14"/>
  <c r="K13" i="14" s="1"/>
  <c r="E66" i="5"/>
  <c r="E67" i="5"/>
  <c r="E80" i="5" l="1"/>
  <c r="E81" i="5" s="1"/>
  <c r="E68" i="5"/>
  <c r="E71" i="5"/>
  <c r="E83" i="5"/>
  <c r="E82" i="5"/>
  <c r="Z13" i="1"/>
  <c r="K31" i="14" s="1"/>
  <c r="K33" i="14" s="1"/>
  <c r="K26" i="14"/>
  <c r="K28" i="14" s="1"/>
  <c r="E184" i="5"/>
  <c r="E54" i="5"/>
  <c r="E53" i="5"/>
  <c r="E38" i="5" l="1"/>
  <c r="E42" i="5" s="1"/>
  <c r="E55" i="5" s="1"/>
  <c r="Z24" i="1"/>
  <c r="E84" i="5"/>
  <c r="E170" i="5"/>
  <c r="Z14" i="1"/>
  <c r="Z32" i="7"/>
  <c r="E39" i="5" l="1"/>
  <c r="E169" i="5"/>
  <c r="E173" i="5" s="1"/>
  <c r="E51" i="5"/>
  <c r="E52" i="5" s="1"/>
  <c r="E185" i="5"/>
  <c r="E164" i="5"/>
  <c r="E165" i="5" s="1"/>
  <c r="P21" i="14"/>
  <c r="P23" i="14" s="1"/>
  <c r="Z31" i="1"/>
  <c r="K51" i="14"/>
  <c r="K53" i="14" s="1"/>
  <c r="E179" i="5" l="1"/>
  <c r="E74" i="5" s="1"/>
  <c r="E178" i="5"/>
  <c r="E45" i="5" s="1"/>
  <c r="Z33" i="1"/>
  <c r="Z35" i="1"/>
  <c r="Z40" i="1" s="1"/>
  <c r="E180" i="5"/>
  <c r="E101" i="5" s="1"/>
  <c r="E181" i="5"/>
  <c r="E123" i="5" s="1"/>
  <c r="E174" i="5"/>
  <c r="K61" i="14" l="1"/>
  <c r="K63" i="14" s="1"/>
  <c r="E121" i="5"/>
  <c r="E122" i="5" s="1"/>
  <c r="E124" i="5" s="1"/>
  <c r="E99" i="5"/>
  <c r="E100" i="5" s="1"/>
  <c r="E102" i="5" s="1"/>
  <c r="E153" i="5"/>
  <c r="E154" i="5" s="1"/>
  <c r="E155" i="5" s="1"/>
  <c r="E140" i="5"/>
  <c r="E141" i="5" s="1"/>
  <c r="E72" i="5"/>
  <c r="E73" i="5" s="1"/>
  <c r="E75" i="5" s="1"/>
  <c r="E43" i="5"/>
  <c r="E44" i="5" s="1"/>
  <c r="E46" i="5" s="1"/>
  <c r="E77" i="5" l="1"/>
  <c r="E76" i="5"/>
  <c r="E144" i="5"/>
  <c r="E142" i="5"/>
  <c r="E104" i="5"/>
  <c r="E103" i="5"/>
  <c r="E125" i="5"/>
  <c r="E126" i="5"/>
  <c r="E48" i="5"/>
  <c r="E47" i="5"/>
  <c r="AN34" i="7" l="1"/>
  <c r="AN36" i="7" s="1"/>
  <c r="P5" i="14" l="1"/>
  <c r="P7" i="14" s="1"/>
  <c r="AJ7" i="1"/>
  <c r="H120" i="5"/>
  <c r="T100" i="6"/>
  <c r="V21" i="14"/>
  <c r="V23" i="14" s="1"/>
  <c r="AE7" i="1"/>
  <c r="U21" i="14"/>
  <c r="U23" i="14" s="1"/>
  <c r="O93" i="6"/>
  <c r="T93" i="6" l="1"/>
  <c r="T79" i="6"/>
  <c r="H172" i="5"/>
  <c r="AE6" i="1"/>
  <c r="AE8" i="1" s="1"/>
  <c r="P31" i="14"/>
  <c r="P33" i="14" s="1"/>
  <c r="U5" i="14"/>
  <c r="U7" i="14" s="1"/>
  <c r="P26" i="14"/>
  <c r="P28" i="14" s="1"/>
  <c r="B49" i="3"/>
  <c r="F4" i="12" l="1"/>
  <c r="F5" i="12" s="1"/>
  <c r="X18" i="12"/>
  <c r="O87" i="6"/>
  <c r="O94" i="6" s="1"/>
  <c r="AE13" i="1" s="1"/>
  <c r="C47" i="3"/>
  <c r="C49" i="3" s="1"/>
  <c r="U26" i="14"/>
  <c r="U28" i="14" s="1"/>
  <c r="C11" i="3" l="1"/>
  <c r="C17" i="3" s="1"/>
  <c r="U31" i="14"/>
  <c r="U33" i="14" s="1"/>
  <c r="AE14" i="1"/>
  <c r="P51" i="14"/>
  <c r="P53" i="14" s="1"/>
  <c r="B27" i="3"/>
  <c r="B41" i="3" s="1"/>
  <c r="AE24" i="1"/>
  <c r="O90" i="6"/>
  <c r="C51" i="3" l="1"/>
  <c r="C53" i="3" s="1"/>
  <c r="B51" i="3"/>
  <c r="B53" i="3" s="1"/>
  <c r="AE31" i="1"/>
  <c r="U51" i="14"/>
  <c r="U53" i="14" s="1"/>
  <c r="C25" i="3"/>
  <c r="C27" i="3" s="1"/>
  <c r="C41" i="3" s="1"/>
  <c r="AE33" i="1" l="1"/>
  <c r="AE35" i="1"/>
  <c r="AE40" i="1" l="1"/>
  <c r="F9" i="12" s="1"/>
  <c r="AE37" i="1"/>
  <c r="O61" i="14"/>
  <c r="O63" i="14" s="1"/>
  <c r="P61" i="14"/>
  <c r="P63" i="14" s="1"/>
  <c r="B43" i="2"/>
  <c r="C42" i="2" l="1"/>
  <c r="B11" i="3" l="1"/>
  <c r="I99" i="5"/>
  <c r="I100" i="5" s="1"/>
  <c r="I153" i="5"/>
  <c r="I154" i="5" s="1"/>
  <c r="I155" i="5" s="1"/>
  <c r="C43" i="2"/>
  <c r="U61" i="14"/>
  <c r="U63" i="14" s="1"/>
  <c r="B17" i="3" l="1"/>
  <c r="B44" i="3" s="1"/>
  <c r="D42" i="2"/>
  <c r="C44" i="3" l="1"/>
  <c r="O21" i="5"/>
  <c r="W18" i="12" l="1"/>
  <c r="V18" i="12" s="1"/>
  <c r="R13" i="5"/>
  <c r="M13" i="5" s="1"/>
  <c r="I14" i="10" l="1"/>
  <c r="L14" i="10" s="1"/>
  <c r="U20" i="10" s="1"/>
  <c r="L13" i="5"/>
  <c r="H14" i="10" s="1"/>
  <c r="K14" i="10" s="1"/>
  <c r="T97" i="6"/>
  <c r="H37" i="5"/>
  <c r="V5" i="14"/>
  <c r="V7" i="14" s="1"/>
  <c r="H54" i="5" l="1"/>
  <c r="H53" i="5"/>
  <c r="W5" i="14"/>
  <c r="W7" i="14" s="1"/>
  <c r="U97" i="6"/>
  <c r="U83" i="6" s="1"/>
  <c r="U90" i="6" s="1"/>
  <c r="I38" i="5" s="1"/>
  <c r="I37" i="5"/>
  <c r="I53" i="5" l="1"/>
  <c r="I54" i="5"/>
  <c r="I42" i="5"/>
  <c r="I39" i="5"/>
  <c r="I51" i="5"/>
  <c r="I52" i="5" s="1"/>
  <c r="I169" i="5" l="1"/>
  <c r="I43" i="5"/>
  <c r="I44" i="5" s="1"/>
  <c r="I55" i="5"/>
  <c r="AO32" i="7" l="1"/>
  <c r="AO34" i="7" l="1"/>
  <c r="AO36" i="7" s="1"/>
  <c r="H66" i="5" l="1"/>
  <c r="V11" i="14"/>
  <c r="V13" i="14" s="1"/>
  <c r="T98" i="6"/>
  <c r="T77" i="6" s="1"/>
  <c r="AJ6" i="1"/>
  <c r="AJ8" i="1" s="1"/>
  <c r="G4" i="12" s="1"/>
  <c r="T101" i="6"/>
  <c r="U100" i="6"/>
  <c r="U86" i="6" s="1"/>
  <c r="U93" i="6" s="1"/>
  <c r="AK7" i="1"/>
  <c r="I120" i="5"/>
  <c r="W21" i="14"/>
  <c r="W23" i="14" s="1"/>
  <c r="AP32" i="7"/>
  <c r="AP34" i="7" s="1"/>
  <c r="AP36" i="7" s="1"/>
  <c r="G7" i="12" l="1"/>
  <c r="G5" i="12"/>
  <c r="AV8" i="1"/>
  <c r="AJ52" i="1"/>
  <c r="V26" i="14"/>
  <c r="V28" i="14" s="1"/>
  <c r="D47" i="3"/>
  <c r="D49" i="3" s="1"/>
  <c r="D9" i="3" s="1"/>
  <c r="J120" i="5"/>
  <c r="V100" i="6"/>
  <c r="V86" i="6" s="1"/>
  <c r="V93" i="6" s="1"/>
  <c r="AL7" i="1"/>
  <c r="X21" i="14"/>
  <c r="X23" i="14" s="1"/>
  <c r="I121" i="5"/>
  <c r="I122" i="5" s="1"/>
  <c r="I172" i="5"/>
  <c r="H83" i="5"/>
  <c r="H82" i="5"/>
  <c r="H184" i="5"/>
  <c r="AQ32" i="7"/>
  <c r="AQ34" i="7" s="1"/>
  <c r="D17" i="2" l="1"/>
  <c r="O9" i="3"/>
  <c r="I66" i="5"/>
  <c r="W11" i="14"/>
  <c r="W13" i="14" s="1"/>
  <c r="U98" i="6"/>
  <c r="U101" i="6"/>
  <c r="AK6" i="1"/>
  <c r="AK8" i="1" s="1"/>
  <c r="H4" i="12" s="1"/>
  <c r="AM7" i="1"/>
  <c r="K120" i="5"/>
  <c r="Y21" i="14"/>
  <c r="Y23" i="14" s="1"/>
  <c r="W100" i="6"/>
  <c r="W86" i="6" s="1"/>
  <c r="W93" i="6" s="1"/>
  <c r="J121" i="5"/>
  <c r="J122" i="5" s="1"/>
  <c r="J172" i="5"/>
  <c r="T91" i="6"/>
  <c r="H67" i="5" s="1"/>
  <c r="AR32" i="7"/>
  <c r="AR34" i="7" s="1"/>
  <c r="H7" i="12" l="1"/>
  <c r="H5" i="12"/>
  <c r="AK60" i="1"/>
  <c r="AK52" i="1"/>
  <c r="U84" i="6"/>
  <c r="U87" i="6" s="1"/>
  <c r="U94" i="6" s="1"/>
  <c r="AK13" i="1" s="1"/>
  <c r="H80" i="5"/>
  <c r="H81" i="5" s="1"/>
  <c r="H68" i="5"/>
  <c r="H71" i="5"/>
  <c r="I83" i="5"/>
  <c r="I82" i="5"/>
  <c r="I184" i="5"/>
  <c r="K172" i="5"/>
  <c r="K121" i="5"/>
  <c r="K122" i="5" s="1"/>
  <c r="V101" i="6"/>
  <c r="AL6" i="1"/>
  <c r="AL8" i="1" s="1"/>
  <c r="I4" i="12" s="1"/>
  <c r="AN7" i="1"/>
  <c r="L120" i="5"/>
  <c r="X100" i="6"/>
  <c r="X86" i="6" s="1"/>
  <c r="X93" i="6" s="1"/>
  <c r="Z21" i="14"/>
  <c r="Z23" i="14" s="1"/>
  <c r="E47" i="3"/>
  <c r="E49" i="3" s="1"/>
  <c r="E9" i="3" s="1"/>
  <c r="E17" i="2" s="1"/>
  <c r="W26" i="14"/>
  <c r="W28" i="14" s="1"/>
  <c r="AS32" i="7"/>
  <c r="AS34" i="7" s="1"/>
  <c r="I7" i="12" l="1"/>
  <c r="I5" i="12"/>
  <c r="AL60" i="1"/>
  <c r="AL52" i="1"/>
  <c r="AK48" i="1"/>
  <c r="AK14" i="1"/>
  <c r="U91" i="6"/>
  <c r="I67" i="5" s="1"/>
  <c r="I71" i="5" s="1"/>
  <c r="I72" i="5" s="1"/>
  <c r="I73" i="5" s="1"/>
  <c r="M120" i="5"/>
  <c r="AO7" i="1"/>
  <c r="Y100" i="6"/>
  <c r="Y86" i="6" s="1"/>
  <c r="Y93" i="6" s="1"/>
  <c r="W31" i="14"/>
  <c r="W33" i="14" s="1"/>
  <c r="L121" i="5"/>
  <c r="L122" i="5" s="1"/>
  <c r="L172" i="5"/>
  <c r="H170" i="5"/>
  <c r="H84" i="5"/>
  <c r="X26" i="14"/>
  <c r="X28" i="14" s="1"/>
  <c r="F47" i="3"/>
  <c r="F49" i="3" s="1"/>
  <c r="F9" i="3" s="1"/>
  <c r="F17" i="2" s="1"/>
  <c r="AT32" i="7"/>
  <c r="AT34" i="7" s="1"/>
  <c r="AK49" i="1" l="1"/>
  <c r="W36" i="14" s="1"/>
  <c r="W38" i="14" s="1"/>
  <c r="I84" i="5"/>
  <c r="I170" i="5"/>
  <c r="I173" i="5" s="1"/>
  <c r="I185" i="5"/>
  <c r="I80" i="5"/>
  <c r="I81" i="5" s="1"/>
  <c r="I68" i="5"/>
  <c r="E51" i="3"/>
  <c r="E53" i="3" s="1"/>
  <c r="E25" i="3" s="1"/>
  <c r="E27" i="3" s="1"/>
  <c r="M121" i="5"/>
  <c r="M122" i="5" s="1"/>
  <c r="M172" i="5"/>
  <c r="Z100" i="6"/>
  <c r="Z86" i="6" s="1"/>
  <c r="Z93" i="6" s="1"/>
  <c r="AP7" i="1"/>
  <c r="N120" i="5"/>
  <c r="AU32" i="7"/>
  <c r="AU34" i="7" s="1"/>
  <c r="O120" i="5" l="1"/>
  <c r="AQ7" i="1"/>
  <c r="AA100" i="6"/>
  <c r="AA86" i="6" s="1"/>
  <c r="AA93" i="6" s="1"/>
  <c r="N172" i="5"/>
  <c r="N121" i="5"/>
  <c r="N122" i="5" s="1"/>
  <c r="AV32" i="7"/>
  <c r="AV34" i="7" s="1"/>
  <c r="AR7" i="1" l="1"/>
  <c r="P120" i="5"/>
  <c r="AB100" i="6"/>
  <c r="AB86" i="6" s="1"/>
  <c r="AB93" i="6" s="1"/>
  <c r="O121" i="5"/>
  <c r="O122" i="5" s="1"/>
  <c r="O172" i="5"/>
  <c r="AW32" i="7"/>
  <c r="AW34" i="7" l="1"/>
  <c r="K10" i="5"/>
  <c r="G9" i="10" s="1"/>
  <c r="P121" i="5"/>
  <c r="P122" i="5" s="1"/>
  <c r="P172" i="5"/>
  <c r="Q120" i="5" l="1"/>
  <c r="AC100" i="6"/>
  <c r="AC86" i="6" s="1"/>
  <c r="AC93" i="6" s="1"/>
  <c r="AS7" i="1"/>
  <c r="Q172" i="5" l="1"/>
  <c r="Q121" i="5"/>
  <c r="Q122" i="5" s="1"/>
  <c r="D16" i="13" l="1"/>
  <c r="G15" i="13"/>
  <c r="C18" i="13"/>
  <c r="G18" i="13" s="1"/>
  <c r="D15" i="13"/>
  <c r="D17" i="13"/>
  <c r="G17" i="13"/>
  <c r="D18" i="13" l="1"/>
  <c r="C19" i="13"/>
  <c r="D19" i="13" l="1"/>
  <c r="C23" i="13"/>
  <c r="C26" i="13" s="1"/>
  <c r="G19" i="13"/>
  <c r="C20" i="13"/>
  <c r="D20" i="13" l="1"/>
  <c r="G20" i="13"/>
  <c r="G23" i="13"/>
  <c r="D23" i="13"/>
  <c r="D26" i="13" l="1"/>
  <c r="G26" i="13"/>
  <c r="S46" i="14" l="1"/>
  <c r="S48" i="14" s="1"/>
  <c r="M33" i="6"/>
  <c r="O33" i="6" l="1"/>
  <c r="O68" i="6" l="1"/>
  <c r="U31" i="6"/>
  <c r="U33" i="6" l="1"/>
  <c r="V31" i="6"/>
  <c r="W31" i="6" s="1"/>
  <c r="X31" i="6" s="1"/>
  <c r="Y31" i="6" s="1"/>
  <c r="Z31" i="6" s="1"/>
  <c r="AA31" i="6" s="1"/>
  <c r="AB31" i="6" s="1"/>
  <c r="AC31" i="6" s="1"/>
  <c r="H137" i="5"/>
  <c r="T68" i="6"/>
  <c r="AJ16" i="1" l="1"/>
  <c r="H139" i="5"/>
  <c r="V33" i="6"/>
  <c r="I137" i="5"/>
  <c r="U68" i="6"/>
  <c r="AK16" i="1" s="1"/>
  <c r="AK51" i="1" s="1"/>
  <c r="AV16" i="1" l="1"/>
  <c r="AJ51" i="1"/>
  <c r="H186" i="5"/>
  <c r="V46" i="14"/>
  <c r="V48" i="14" s="1"/>
  <c r="AJ22" i="1"/>
  <c r="AV22" i="1" s="1"/>
  <c r="I139" i="5"/>
  <c r="I186" i="5"/>
  <c r="W33" i="6"/>
  <c r="AK64" i="1"/>
  <c r="W46" i="14"/>
  <c r="W48" i="14" s="1"/>
  <c r="AK24" i="1"/>
  <c r="AK53" i="1" s="1"/>
  <c r="AK22" i="1"/>
  <c r="J137" i="5"/>
  <c r="V68" i="6"/>
  <c r="AL16" i="1" s="1"/>
  <c r="AL51" i="1" s="1"/>
  <c r="AK31" i="1" l="1"/>
  <c r="AK55" i="1" s="1"/>
  <c r="W51" i="14"/>
  <c r="W53" i="14" s="1"/>
  <c r="W56" i="14"/>
  <c r="W58" i="14" s="1"/>
  <c r="J139" i="5"/>
  <c r="J186" i="5"/>
  <c r="W68" i="6"/>
  <c r="AM16" i="1" s="1"/>
  <c r="K137" i="5"/>
  <c r="X33" i="6"/>
  <c r="AL22" i="1"/>
  <c r="AL64" i="1"/>
  <c r="X46" i="14"/>
  <c r="X48" i="14" s="1"/>
  <c r="I140" i="5"/>
  <c r="I141" i="5" s="1"/>
  <c r="I174" i="5"/>
  <c r="K139" i="5" l="1"/>
  <c r="K186" i="5"/>
  <c r="AM22" i="1"/>
  <c r="Y46" i="14"/>
  <c r="Y48" i="14" s="1"/>
  <c r="AM64" i="1"/>
  <c r="I144" i="5"/>
  <c r="AK32" i="1"/>
  <c r="AK35" i="1" s="1"/>
  <c r="J140" i="5"/>
  <c r="J141" i="5" s="1"/>
  <c r="L137" i="5"/>
  <c r="X68" i="6"/>
  <c r="AN16" i="1" s="1"/>
  <c r="Y33" i="6"/>
  <c r="AK40" i="1" l="1"/>
  <c r="H9" i="12" s="1"/>
  <c r="AK56" i="1"/>
  <c r="Y68" i="6"/>
  <c r="AO16" i="1" s="1"/>
  <c r="M137" i="5"/>
  <c r="K140" i="5"/>
  <c r="K141" i="5" s="1"/>
  <c r="Z33" i="6"/>
  <c r="J142" i="5"/>
  <c r="J144" i="5"/>
  <c r="AN64" i="1"/>
  <c r="AN22" i="1"/>
  <c r="Z46" i="14"/>
  <c r="Z48" i="14" s="1"/>
  <c r="L186" i="5"/>
  <c r="L139" i="5"/>
  <c r="E7" i="2"/>
  <c r="H12" i="12" l="1"/>
  <c r="L140" i="5"/>
  <c r="L141" i="5" s="1"/>
  <c r="Z68" i="6"/>
  <c r="AP16" i="1" s="1"/>
  <c r="N137" i="5"/>
  <c r="AA33" i="6"/>
  <c r="AO22" i="1"/>
  <c r="AO64" i="1"/>
  <c r="W61" i="14"/>
  <c r="W63" i="14" s="1"/>
  <c r="K142" i="5"/>
  <c r="K144" i="5"/>
  <c r="M186" i="5"/>
  <c r="M139" i="5"/>
  <c r="AC33" i="6" l="1"/>
  <c r="AB33" i="6"/>
  <c r="M140" i="5"/>
  <c r="M141" i="5" s="1"/>
  <c r="AP64" i="1"/>
  <c r="AP22" i="1"/>
  <c r="L144" i="5"/>
  <c r="L142" i="5"/>
  <c r="N139" i="5"/>
  <c r="N186" i="5"/>
  <c r="O137" i="5"/>
  <c r="AA68" i="6"/>
  <c r="AQ16" i="1" s="1"/>
  <c r="AQ64" i="1" l="1"/>
  <c r="AQ22" i="1"/>
  <c r="AC68" i="6"/>
  <c r="AS16" i="1" s="1"/>
  <c r="Q137" i="5"/>
  <c r="M144" i="5"/>
  <c r="M142" i="5"/>
  <c r="N140" i="5"/>
  <c r="N141" i="5" s="1"/>
  <c r="O139" i="5"/>
  <c r="O186" i="5"/>
  <c r="P137" i="5"/>
  <c r="AB68" i="6"/>
  <c r="AR16" i="1" s="1"/>
  <c r="N142" i="5" l="1"/>
  <c r="N144" i="5"/>
  <c r="O140" i="5"/>
  <c r="O141" i="5" s="1"/>
  <c r="AS64" i="1"/>
  <c r="AS22" i="1"/>
  <c r="Q139" i="5"/>
  <c r="Q186" i="5"/>
  <c r="AR64" i="1"/>
  <c r="AR22" i="1"/>
  <c r="P139" i="5"/>
  <c r="P186" i="5"/>
  <c r="O142" i="5" l="1"/>
  <c r="O144" i="5"/>
  <c r="Q140" i="5"/>
  <c r="Q141" i="5" s="1"/>
  <c r="P140" i="5"/>
  <c r="P141" i="5" s="1"/>
  <c r="P144" i="5" l="1"/>
  <c r="P142" i="5"/>
  <c r="R141" i="5"/>
  <c r="Q142" i="5"/>
  <c r="Q144" i="5"/>
  <c r="S141" i="5" l="1"/>
  <c r="R144" i="5"/>
  <c r="T141" i="5" l="1"/>
  <c r="S144" i="5"/>
  <c r="U141" i="5" l="1"/>
  <c r="T144" i="5"/>
  <c r="U144" i="5" l="1"/>
  <c r="V141" i="5"/>
  <c r="W141" i="5" l="1"/>
  <c r="V144" i="5"/>
  <c r="W144" i="5" l="1"/>
  <c r="X141" i="5"/>
  <c r="X143" i="5" l="1"/>
  <c r="X144" i="5"/>
  <c r="G147" i="5" s="1"/>
  <c r="AF29" i="1" l="1"/>
  <c r="AF31" i="1" s="1"/>
  <c r="AH29" i="1"/>
  <c r="AH31" i="1" s="1"/>
  <c r="AF32" i="1" l="1"/>
  <c r="AH32" i="1"/>
  <c r="AH35" i="1" s="1"/>
  <c r="AH40" i="1" s="1"/>
  <c r="AF35" i="1" l="1"/>
  <c r="AF40" i="1" s="1"/>
  <c r="AJ29" i="1"/>
  <c r="AI29" i="1"/>
  <c r="AI31" i="1" s="1"/>
  <c r="AI32" i="1" l="1"/>
  <c r="AI35" i="1" l="1"/>
  <c r="AI40" i="1" s="1"/>
  <c r="AJ40" i="1" s="1"/>
  <c r="AJ32" i="1"/>
  <c r="AV40" i="1" l="1"/>
  <c r="G9" i="12"/>
  <c r="V61" i="14"/>
  <c r="V63" i="14" s="1"/>
  <c r="G10" i="12" l="1"/>
  <c r="G12" i="12"/>
  <c r="H10" i="12"/>
  <c r="T90" i="6" l="1"/>
  <c r="H38" i="5" s="1"/>
  <c r="H51" i="5" s="1"/>
  <c r="H52" i="5" s="1"/>
  <c r="T76" i="6"/>
  <c r="T87" i="6"/>
  <c r="T94" i="6" s="1"/>
  <c r="AJ13" i="1" s="1"/>
  <c r="AJ48" i="1" l="1"/>
  <c r="AK61" i="1"/>
  <c r="AJ24" i="1"/>
  <c r="AJ53" i="1" s="1"/>
  <c r="V56" i="14" s="1"/>
  <c r="V58" i="14" s="1"/>
  <c r="H42" i="5"/>
  <c r="H55" i="5" s="1"/>
  <c r="H39" i="5"/>
  <c r="H185" i="5"/>
  <c r="AJ14" i="1"/>
  <c r="V31" i="14"/>
  <c r="V33" i="14" s="1"/>
  <c r="AV13" i="1"/>
  <c r="AJ31" i="1" l="1"/>
  <c r="AJ33" i="1" s="1"/>
  <c r="AK66" i="1"/>
  <c r="V51" i="14"/>
  <c r="V53" i="14" s="1"/>
  <c r="AJ49" i="1"/>
  <c r="V36" i="14" s="1"/>
  <c r="V38" i="14" s="1"/>
  <c r="AK62" i="1"/>
  <c r="H169" i="5"/>
  <c r="H173" i="5" s="1"/>
  <c r="H174" i="5" s="1"/>
  <c r="D51" i="3"/>
  <c r="D53" i="3" s="1"/>
  <c r="AV31" i="1" l="1"/>
  <c r="AJ35" i="1"/>
  <c r="AJ56" i="1" s="1"/>
  <c r="AK68" i="1"/>
  <c r="H43" i="5"/>
  <c r="H44" i="5" s="1"/>
  <c r="H99" i="5"/>
  <c r="H100" i="5" s="1"/>
  <c r="AJ55" i="1"/>
  <c r="H153" i="5"/>
  <c r="H154" i="5" s="1"/>
  <c r="H155" i="5" s="1"/>
  <c r="G157" i="5" s="1"/>
  <c r="G159" i="5" s="1"/>
  <c r="R12" i="5" s="1"/>
  <c r="M12" i="5" s="1"/>
  <c r="I13" i="10" s="1"/>
  <c r="L13" i="10" s="1"/>
  <c r="T20" i="10" s="1"/>
  <c r="H140" i="5"/>
  <c r="H141" i="5" s="1"/>
  <c r="H144" i="5" s="1"/>
  <c r="G146" i="5" s="1"/>
  <c r="G148" i="5" s="1"/>
  <c r="H72" i="5"/>
  <c r="H73" i="5" s="1"/>
  <c r="H121" i="5"/>
  <c r="H122" i="5" s="1"/>
  <c r="O21" i="3"/>
  <c r="AK69" i="1" l="1"/>
  <c r="H142" i="5"/>
  <c r="D7" i="2"/>
  <c r="D39" i="3" s="1"/>
  <c r="E39" i="3" s="1"/>
  <c r="I142" i="5"/>
  <c r="L12" i="5"/>
  <c r="H13" i="10" s="1"/>
  <c r="K13" i="10" s="1"/>
  <c r="D25" i="3"/>
  <c r="D27" i="3" s="1"/>
  <c r="D21" i="2"/>
  <c r="D16" i="2" s="1"/>
  <c r="H164" i="5" s="1"/>
  <c r="H165" i="5" s="1"/>
  <c r="H179" i="5" s="1"/>
  <c r="H74" i="5" s="1"/>
  <c r="H75" i="5" s="1"/>
  <c r="E21" i="2"/>
  <c r="E16" i="2" s="1"/>
  <c r="I164" i="5" s="1"/>
  <c r="I165" i="5" s="1"/>
  <c r="I179" i="5" s="1"/>
  <c r="I74" i="5" s="1"/>
  <c r="I75" i="5" s="1"/>
  <c r="G149" i="5"/>
  <c r="O18" i="5"/>
  <c r="O22" i="5" s="1"/>
  <c r="D25" i="2" l="1"/>
  <c r="D43" i="2" s="1"/>
  <c r="H181" i="5"/>
  <c r="H123" i="5" s="1"/>
  <c r="H124" i="5" s="1"/>
  <c r="H126" i="5" s="1"/>
  <c r="H178" i="5"/>
  <c r="H45" i="5" s="1"/>
  <c r="H46" i="5" s="1"/>
  <c r="H47" i="5" s="1"/>
  <c r="H180" i="5"/>
  <c r="H101" i="5" s="1"/>
  <c r="H102" i="5" s="1"/>
  <c r="H103" i="5" s="1"/>
  <c r="E25" i="2"/>
  <c r="E41" i="2" s="1"/>
  <c r="I178" i="5"/>
  <c r="I45" i="5" s="1"/>
  <c r="I46" i="5" s="1"/>
  <c r="I48" i="5" s="1"/>
  <c r="I181" i="5"/>
  <c r="I123" i="5" s="1"/>
  <c r="I124" i="5" s="1"/>
  <c r="I126" i="5" s="1"/>
  <c r="I180" i="5"/>
  <c r="I101" i="5" s="1"/>
  <c r="I102" i="5" s="1"/>
  <c r="I104" i="5" s="1"/>
  <c r="I77" i="5"/>
  <c r="I76" i="5"/>
  <c r="H77" i="5"/>
  <c r="H76" i="5"/>
  <c r="H48" i="5" l="1"/>
  <c r="H125" i="5"/>
  <c r="D41" i="2"/>
  <c r="H104" i="5"/>
  <c r="D7" i="3"/>
  <c r="O7" i="3" s="1"/>
  <c r="I47" i="5"/>
  <c r="I125" i="5"/>
  <c r="I103" i="5"/>
  <c r="E42" i="2"/>
  <c r="E43" i="2" s="1"/>
  <c r="E7" i="3" s="1"/>
  <c r="D11" i="3" l="1"/>
  <c r="D17" i="3" s="1"/>
  <c r="E11" i="3"/>
  <c r="E17" i="3" s="1"/>
  <c r="F42" i="2"/>
  <c r="AP9" i="7" l="1"/>
  <c r="J37" i="5" l="1"/>
  <c r="V97" i="6"/>
  <c r="V83" i="6" s="1"/>
  <c r="X5" i="14"/>
  <c r="X7" i="14" s="1"/>
  <c r="AS9" i="7" l="1"/>
  <c r="V90" i="6"/>
  <c r="J38" i="5" s="1"/>
  <c r="J42" i="5" s="1"/>
  <c r="J53" i="5"/>
  <c r="J54" i="5"/>
  <c r="AQ9" i="7"/>
  <c r="J39" i="5" l="1"/>
  <c r="K37" i="5"/>
  <c r="Y5" i="14"/>
  <c r="Y7" i="14" s="1"/>
  <c r="W97" i="6"/>
  <c r="W83" i="6" s="1"/>
  <c r="J169" i="5"/>
  <c r="J55" i="5"/>
  <c r="J43" i="5"/>
  <c r="J44" i="5" s="1"/>
  <c r="J51" i="5"/>
  <c r="J52" i="5" s="1"/>
  <c r="AR9" i="7"/>
  <c r="M37" i="5"/>
  <c r="Y97" i="6"/>
  <c r="Y83" i="6" s="1"/>
  <c r="Y90" i="6" l="1"/>
  <c r="M38" i="5" s="1"/>
  <c r="M39" i="5" s="1"/>
  <c r="L37" i="5"/>
  <c r="X97" i="6"/>
  <c r="X83" i="6" s="1"/>
  <c r="Z5" i="14"/>
  <c r="Z7" i="14" s="1"/>
  <c r="W90" i="6"/>
  <c r="K38" i="5" s="1"/>
  <c r="K39" i="5" s="1"/>
  <c r="K54" i="5"/>
  <c r="K53" i="5"/>
  <c r="K42" i="5" l="1"/>
  <c r="K43" i="5" s="1"/>
  <c r="K44" i="5" s="1"/>
  <c r="M42" i="5"/>
  <c r="M169" i="5" s="1"/>
  <c r="K51" i="5"/>
  <c r="K52" i="5" s="1"/>
  <c r="F25" i="3"/>
  <c r="F27" i="3" s="1"/>
  <c r="F21" i="2"/>
  <c r="F16" i="2" s="1"/>
  <c r="J164" i="5" s="1"/>
  <c r="J165" i="5" s="1"/>
  <c r="X90" i="6"/>
  <c r="L38" i="5" s="1"/>
  <c r="L39" i="5" s="1"/>
  <c r="H35" i="5"/>
  <c r="J7" i="5" s="1"/>
  <c r="F6" i="10" s="1"/>
  <c r="L54" i="5"/>
  <c r="L53" i="5"/>
  <c r="AT9" i="7"/>
  <c r="K55" i="5" l="1"/>
  <c r="K169" i="5"/>
  <c r="L42" i="5"/>
  <c r="L43" i="5" s="1"/>
  <c r="L44" i="5" s="1"/>
  <c r="M43" i="5"/>
  <c r="M44" i="5" s="1"/>
  <c r="N37" i="5"/>
  <c r="Z97" i="6"/>
  <c r="Z83" i="6" s="1"/>
  <c r="L51" i="5"/>
  <c r="L52" i="5" s="1"/>
  <c r="AU9" i="7"/>
  <c r="G25" i="3" l="1"/>
  <c r="G27" i="3" s="1"/>
  <c r="L169" i="5"/>
  <c r="L55" i="5"/>
  <c r="K7" i="5"/>
  <c r="G6" i="10" s="1"/>
  <c r="AA97" i="6"/>
  <c r="AA83" i="6" s="1"/>
  <c r="O37" i="5"/>
  <c r="Z90" i="6"/>
  <c r="N38" i="5" s="1"/>
  <c r="N39" i="5" s="1"/>
  <c r="AV9" i="7"/>
  <c r="H25" i="3" l="1"/>
  <c r="H27" i="3" s="1"/>
  <c r="H21" i="2"/>
  <c r="N42" i="5"/>
  <c r="N43" i="5" s="1"/>
  <c r="N44" i="5" s="1"/>
  <c r="P37" i="5"/>
  <c r="AB97" i="6"/>
  <c r="AB83" i="6" s="1"/>
  <c r="AA90" i="6"/>
  <c r="O38" i="5" s="1"/>
  <c r="AW9" i="7"/>
  <c r="N169" i="5" l="1"/>
  <c r="O39" i="5"/>
  <c r="O42" i="5"/>
  <c r="O43" i="5" s="1"/>
  <c r="O44" i="5" s="1"/>
  <c r="AC97" i="6"/>
  <c r="AC83" i="6" s="1"/>
  <c r="Q37" i="5"/>
  <c r="AB90" i="6"/>
  <c r="P38" i="5" s="1"/>
  <c r="P39" i="5" s="1"/>
  <c r="P42" i="5" l="1"/>
  <c r="P43" i="5" s="1"/>
  <c r="P44" i="5" s="1"/>
  <c r="O169" i="5"/>
  <c r="AC90" i="6"/>
  <c r="Q38" i="5" s="1"/>
  <c r="P169" i="5" l="1"/>
  <c r="Q39" i="5"/>
  <c r="Q42" i="5"/>
  <c r="Q43" i="5" s="1"/>
  <c r="Q44" i="5" s="1"/>
  <c r="Q169" i="5" l="1"/>
  <c r="T31" i="14" l="1"/>
  <c r="T33" i="14" s="1"/>
  <c r="AD14" i="1"/>
  <c r="N87" i="6" s="1"/>
  <c r="N94" i="6" s="1"/>
  <c r="AD24" i="1"/>
  <c r="T51" i="14" s="1"/>
  <c r="T53" i="14" s="1"/>
  <c r="AD31" i="1" l="1"/>
  <c r="AD33" i="1" s="1"/>
  <c r="AD35" i="1" l="1"/>
  <c r="AD40" i="1" s="1"/>
  <c r="T61" i="14" s="1"/>
  <c r="T63" i="14" s="1"/>
  <c r="O39" i="3"/>
  <c r="D40" i="3"/>
  <c r="D41" i="3" s="1"/>
  <c r="D44" i="3" s="1"/>
  <c r="AD37" i="1" l="1"/>
  <c r="E40" i="3"/>
  <c r="E41" i="3" s="1"/>
  <c r="E44" i="3" s="1"/>
  <c r="AQ14" i="7" l="1"/>
  <c r="AQ17" i="7"/>
  <c r="AQ19" i="7"/>
  <c r="AR14" i="7"/>
  <c r="AR17" i="7"/>
  <c r="AR19" i="7"/>
  <c r="AP14" i="7"/>
  <c r="AS14" i="7" l="1"/>
  <c r="AS19" i="7"/>
  <c r="AS17" i="7"/>
  <c r="V98" i="6"/>
  <c r="J66" i="5"/>
  <c r="X11" i="14"/>
  <c r="X13" i="14" s="1"/>
  <c r="AR20" i="7"/>
  <c r="AR36" i="7"/>
  <c r="X101" i="6" s="1"/>
  <c r="AR18" i="7"/>
  <c r="AN6" i="1"/>
  <c r="AN8" i="1" s="1"/>
  <c r="L66" i="5"/>
  <c r="Z11" i="14"/>
  <c r="Z13" i="14" s="1"/>
  <c r="X98" i="6"/>
  <c r="AQ36" i="7"/>
  <c r="W101" i="6" s="1"/>
  <c r="AM6" i="1"/>
  <c r="AM8" i="1" s="1"/>
  <c r="AQ18" i="7"/>
  <c r="W98" i="6"/>
  <c r="Y11" i="14"/>
  <c r="Y13" i="14" s="1"/>
  <c r="K66" i="5"/>
  <c r="AT14" i="7" l="1"/>
  <c r="AT19" i="7"/>
  <c r="AT17" i="7"/>
  <c r="K83" i="5"/>
  <c r="K82" i="5"/>
  <c r="K184" i="5"/>
  <c r="W84" i="6"/>
  <c r="W87" i="6" s="1"/>
  <c r="W94" i="6" s="1"/>
  <c r="AM13" i="1" s="1"/>
  <c r="AM24" i="1" s="1"/>
  <c r="J4" i="12"/>
  <c r="AM60" i="1"/>
  <c r="AM52" i="1"/>
  <c r="AM51" i="1"/>
  <c r="Y26" i="14"/>
  <c r="Y28" i="14" s="1"/>
  <c r="G47" i="3"/>
  <c r="G49" i="3" s="1"/>
  <c r="G9" i="3" s="1"/>
  <c r="X84" i="6"/>
  <c r="X87" i="6" s="1"/>
  <c r="X94" i="6" s="1"/>
  <c r="AN13" i="1" s="1"/>
  <c r="AN14" i="1" s="1"/>
  <c r="L83" i="5"/>
  <c r="L82" i="5"/>
  <c r="L184" i="5"/>
  <c r="K4" i="12"/>
  <c r="H47" i="3"/>
  <c r="H49" i="3" s="1"/>
  <c r="H9" i="3" s="1"/>
  <c r="Z26" i="14"/>
  <c r="Z28" i="14" s="1"/>
  <c r="AN60" i="1"/>
  <c r="AN52" i="1"/>
  <c r="AN51" i="1"/>
  <c r="J83" i="5"/>
  <c r="J82" i="5"/>
  <c r="J184" i="5"/>
  <c r="V84" i="6"/>
  <c r="V87" i="6" s="1"/>
  <c r="V94" i="6" s="1"/>
  <c r="AL13" i="1" s="1"/>
  <c r="AS18" i="7"/>
  <c r="AS36" i="7"/>
  <c r="Y101" i="6" s="1"/>
  <c r="AO6" i="1"/>
  <c r="AO8" i="1" s="1"/>
  <c r="AS20" i="7"/>
  <c r="M66" i="5"/>
  <c r="Y98" i="6"/>
  <c r="X91" i="6" l="1"/>
  <c r="L67" i="5" s="1"/>
  <c r="L71" i="5" s="1"/>
  <c r="L170" i="5" s="1"/>
  <c r="W91" i="6"/>
  <c r="K67" i="5" s="1"/>
  <c r="K71" i="5" s="1"/>
  <c r="AN24" i="1"/>
  <c r="AN53" i="1" s="1"/>
  <c r="Z56" i="14" s="1"/>
  <c r="Z58" i="14" s="1"/>
  <c r="AM14" i="1"/>
  <c r="AN62" i="1" s="1"/>
  <c r="V91" i="6"/>
  <c r="J67" i="5" s="1"/>
  <c r="J80" i="5" s="1"/>
  <c r="J81" i="5" s="1"/>
  <c r="AU14" i="7"/>
  <c r="AU17" i="7"/>
  <c r="AU19" i="7"/>
  <c r="Y84" i="6"/>
  <c r="Y87" i="6" s="1"/>
  <c r="Y94" i="6" s="1"/>
  <c r="AO13" i="1" s="1"/>
  <c r="AO24" i="1" s="1"/>
  <c r="M184" i="5"/>
  <c r="I47" i="3"/>
  <c r="I49" i="3" s="1"/>
  <c r="I9" i="3" s="1"/>
  <c r="I17" i="2" s="1"/>
  <c r="AO52" i="1"/>
  <c r="AO51" i="1"/>
  <c r="AO60" i="1"/>
  <c r="AL48" i="1"/>
  <c r="AL61" i="1"/>
  <c r="X31" i="14"/>
  <c r="X33" i="14" s="1"/>
  <c r="AL14" i="1"/>
  <c r="AL24" i="1"/>
  <c r="AM66" i="1" s="1"/>
  <c r="H51" i="3"/>
  <c r="H53" i="3" s="1"/>
  <c r="AN49" i="1"/>
  <c r="Z36" i="14" s="1"/>
  <c r="Z38" i="14" s="1"/>
  <c r="K5" i="12"/>
  <c r="K7" i="12"/>
  <c r="AN61" i="1"/>
  <c r="AN48" i="1"/>
  <c r="Z31" i="14"/>
  <c r="Z33" i="14" s="1"/>
  <c r="AM53" i="1"/>
  <c r="Y56" i="14" s="1"/>
  <c r="Y58" i="14" s="1"/>
  <c r="Y51" i="14"/>
  <c r="Y53" i="14" s="1"/>
  <c r="AM31" i="1"/>
  <c r="G17" i="2"/>
  <c r="H17" i="2"/>
  <c r="H16" i="2" s="1"/>
  <c r="L164" i="5" s="1"/>
  <c r="L165" i="5" s="1"/>
  <c r="J5" i="12"/>
  <c r="J7" i="12"/>
  <c r="K68" i="5"/>
  <c r="K80" i="5"/>
  <c r="K81" i="5" s="1"/>
  <c r="K185" i="5"/>
  <c r="AM61" i="1"/>
  <c r="Y31" i="14"/>
  <c r="Y33" i="14" s="1"/>
  <c r="AM48" i="1"/>
  <c r="K170" i="5"/>
  <c r="K84" i="5"/>
  <c r="K72" i="5"/>
  <c r="K73" i="5" s="1"/>
  <c r="AT20" i="7"/>
  <c r="AT36" i="7"/>
  <c r="Z101" i="6" s="1"/>
  <c r="AT18" i="7"/>
  <c r="AP6" i="1"/>
  <c r="AP8" i="1" s="1"/>
  <c r="N66" i="5"/>
  <c r="Z98" i="6"/>
  <c r="AN31" i="1" l="1"/>
  <c r="L80" i="5"/>
  <c r="L81" i="5" s="1"/>
  <c r="L68" i="5"/>
  <c r="Z51" i="14"/>
  <c r="Z53" i="14" s="1"/>
  <c r="L84" i="5"/>
  <c r="L185" i="5"/>
  <c r="L72" i="5"/>
  <c r="L73" i="5" s="1"/>
  <c r="G51" i="3"/>
  <c r="G53" i="3" s="1"/>
  <c r="G21" i="2" s="1"/>
  <c r="G16" i="2" s="1"/>
  <c r="K164" i="5" s="1"/>
  <c r="K165" i="5" s="1"/>
  <c r="K8" i="5"/>
  <c r="G7" i="10" s="1"/>
  <c r="G10" i="10" s="1"/>
  <c r="AN66" i="1"/>
  <c r="AM62" i="1"/>
  <c r="AM49" i="1"/>
  <c r="Y36" i="14" s="1"/>
  <c r="Y38" i="14" s="1"/>
  <c r="J185" i="5"/>
  <c r="Y91" i="6"/>
  <c r="M67" i="5" s="1"/>
  <c r="M68" i="5" s="1"/>
  <c r="AO14" i="1"/>
  <c r="AO62" i="1" s="1"/>
  <c r="J68" i="5"/>
  <c r="J71" i="5"/>
  <c r="AW14" i="7"/>
  <c r="AW19" i="7"/>
  <c r="AW17" i="7"/>
  <c r="AV14" i="7"/>
  <c r="AV19" i="7"/>
  <c r="AV17" i="7"/>
  <c r="Z84" i="6"/>
  <c r="Z87" i="6" s="1"/>
  <c r="Z94" i="6" s="1"/>
  <c r="AP13" i="1" s="1"/>
  <c r="AP24" i="1" s="1"/>
  <c r="N184" i="5"/>
  <c r="J47" i="3"/>
  <c r="J49" i="3" s="1"/>
  <c r="J9" i="3" s="1"/>
  <c r="J17" i="2" s="1"/>
  <c r="AP52" i="1"/>
  <c r="AP60" i="1"/>
  <c r="AP51" i="1"/>
  <c r="K173" i="5"/>
  <c r="AM55" i="1"/>
  <c r="AM32" i="1"/>
  <c r="AM35" i="1" s="1"/>
  <c r="L173" i="5"/>
  <c r="L181" i="5" s="1"/>
  <c r="L123" i="5" s="1"/>
  <c r="L124" i="5" s="1"/>
  <c r="L126" i="5" s="1"/>
  <c r="AN68" i="1"/>
  <c r="AN32" i="1"/>
  <c r="AN35" i="1" s="1"/>
  <c r="AN55" i="1"/>
  <c r="AL53" i="1"/>
  <c r="X56" i="14" s="1"/>
  <c r="X58" i="14" s="1"/>
  <c r="X51" i="14"/>
  <c r="X53" i="14" s="1"/>
  <c r="AL31" i="1"/>
  <c r="AM68" i="1" s="1"/>
  <c r="AL66" i="1"/>
  <c r="AL62" i="1"/>
  <c r="F51" i="3"/>
  <c r="F53" i="3" s="1"/>
  <c r="AL49" i="1"/>
  <c r="X36" i="14" s="1"/>
  <c r="X38" i="14" s="1"/>
  <c r="AO53" i="1"/>
  <c r="AO31" i="1"/>
  <c r="AO66" i="1"/>
  <c r="AO48" i="1"/>
  <c r="AO61" i="1"/>
  <c r="AU20" i="7"/>
  <c r="AU18" i="7"/>
  <c r="AQ6" i="1"/>
  <c r="AQ8" i="1" s="1"/>
  <c r="AU36" i="7"/>
  <c r="AA101" i="6" s="1"/>
  <c r="AA98" i="6"/>
  <c r="O66" i="5"/>
  <c r="I51" i="3" l="1"/>
  <c r="I53" i="3" s="1"/>
  <c r="I21" i="3" s="1"/>
  <c r="I25" i="3" s="1"/>
  <c r="I27" i="3" s="1"/>
  <c r="Z91" i="6"/>
  <c r="N67" i="5" s="1"/>
  <c r="N68" i="5" s="1"/>
  <c r="AO49" i="1"/>
  <c r="N71" i="5"/>
  <c r="N72" i="5" s="1"/>
  <c r="N73" i="5" s="1"/>
  <c r="L179" i="5"/>
  <c r="L74" i="5" s="1"/>
  <c r="L75" i="5" s="1"/>
  <c r="L77" i="5" s="1"/>
  <c r="M71" i="5"/>
  <c r="M72" i="5" s="1"/>
  <c r="M73" i="5" s="1"/>
  <c r="K179" i="5"/>
  <c r="K74" i="5" s="1"/>
  <c r="K75" i="5" s="1"/>
  <c r="K77" i="5" s="1"/>
  <c r="M185" i="5"/>
  <c r="J84" i="5"/>
  <c r="J170" i="5"/>
  <c r="J72" i="5"/>
  <c r="J73" i="5" s="1"/>
  <c r="AP14" i="1"/>
  <c r="AP62" i="1" s="1"/>
  <c r="I21" i="2"/>
  <c r="I16" i="2" s="1"/>
  <c r="M164" i="5" s="1"/>
  <c r="M165" i="5" s="1"/>
  <c r="O184" i="5"/>
  <c r="AA84" i="6"/>
  <c r="AA87" i="6" s="1"/>
  <c r="AA94" i="6" s="1"/>
  <c r="AQ13" i="1" s="1"/>
  <c r="AQ14" i="1" s="1"/>
  <c r="AQ60" i="1"/>
  <c r="K47" i="3"/>
  <c r="K49" i="3" s="1"/>
  <c r="K9" i="3" s="1"/>
  <c r="K17" i="2" s="1"/>
  <c r="AQ51" i="1"/>
  <c r="AQ52" i="1"/>
  <c r="AO32" i="1"/>
  <c r="AO35" i="1" s="1"/>
  <c r="AO55" i="1"/>
  <c r="AO68" i="1"/>
  <c r="AL55" i="1"/>
  <c r="AL68" i="1"/>
  <c r="AL32" i="1"/>
  <c r="AL35" i="1" s="1"/>
  <c r="AM69" i="1" s="1"/>
  <c r="AN40" i="1"/>
  <c r="AN56" i="1"/>
  <c r="AN69" i="1"/>
  <c r="H7" i="2"/>
  <c r="H25" i="2" s="1"/>
  <c r="H41" i="2" s="1"/>
  <c r="L174" i="5"/>
  <c r="L178" i="5"/>
  <c r="L45" i="5" s="1"/>
  <c r="L46" i="5" s="1"/>
  <c r="L180" i="5"/>
  <c r="L101" i="5" s="1"/>
  <c r="L102" i="5" s="1"/>
  <c r="G7" i="2"/>
  <c r="G25" i="2" s="1"/>
  <c r="G41" i="2" s="1"/>
  <c r="AM56" i="1"/>
  <c r="AM40" i="1"/>
  <c r="K180" i="5"/>
  <c r="K101" i="5" s="1"/>
  <c r="K102" i="5" s="1"/>
  <c r="K181" i="5"/>
  <c r="K123" i="5" s="1"/>
  <c r="K124" i="5" s="1"/>
  <c r="L125" i="5" s="1"/>
  <c r="K178" i="5"/>
  <c r="K45" i="5" s="1"/>
  <c r="K46" i="5" s="1"/>
  <c r="K174" i="5"/>
  <c r="AP66" i="1"/>
  <c r="AP31" i="1"/>
  <c r="AP53" i="1"/>
  <c r="AP61" i="1"/>
  <c r="AP48" i="1"/>
  <c r="AV36" i="7"/>
  <c r="AB101" i="6" s="1"/>
  <c r="AV18" i="7"/>
  <c r="AV20" i="7"/>
  <c r="AR6" i="1"/>
  <c r="AR8" i="1" s="1"/>
  <c r="AB98" i="6"/>
  <c r="P66" i="5"/>
  <c r="AW36" i="7"/>
  <c r="AC101" i="6" s="1"/>
  <c r="AW20" i="7"/>
  <c r="AW18" i="7"/>
  <c r="AS6" i="1"/>
  <c r="AS8" i="1" s="1"/>
  <c r="Q66" i="5"/>
  <c r="AC98" i="6"/>
  <c r="N170" i="5" l="1"/>
  <c r="L76" i="5"/>
  <c r="N185" i="5"/>
  <c r="M170" i="5"/>
  <c r="M173" i="5" s="1"/>
  <c r="M178" i="5" s="1"/>
  <c r="M45" i="5" s="1"/>
  <c r="M46" i="5" s="1"/>
  <c r="M48" i="5" s="1"/>
  <c r="AY18" i="7"/>
  <c r="AA91" i="6"/>
  <c r="O67" i="5" s="1"/>
  <c r="O68" i="5" s="1"/>
  <c r="J51" i="3"/>
  <c r="J53" i="3" s="1"/>
  <c r="J21" i="3" s="1"/>
  <c r="J21" i="2" s="1"/>
  <c r="J16" i="2" s="1"/>
  <c r="N164" i="5" s="1"/>
  <c r="N165" i="5" s="1"/>
  <c r="AP49" i="1"/>
  <c r="AQ24" i="1"/>
  <c r="AQ66" i="1" s="1"/>
  <c r="J173" i="5"/>
  <c r="J179" i="5" s="1"/>
  <c r="J74" i="5" s="1"/>
  <c r="J75" i="5" s="1"/>
  <c r="AC84" i="6"/>
  <c r="AC87" i="6" s="1"/>
  <c r="AC94" i="6" s="1"/>
  <c r="AS13" i="1" s="1"/>
  <c r="H64" i="5"/>
  <c r="J8" i="5" s="1"/>
  <c r="F7" i="10" s="1"/>
  <c r="Q184" i="5"/>
  <c r="AS52" i="1"/>
  <c r="AS60" i="1"/>
  <c r="AS51" i="1"/>
  <c r="M47" i="3"/>
  <c r="M49" i="3" s="1"/>
  <c r="M9" i="3" s="1"/>
  <c r="P184" i="5"/>
  <c r="AB84" i="6"/>
  <c r="AB87" i="6" s="1"/>
  <c r="AB94" i="6" s="1"/>
  <c r="AR13" i="1" s="1"/>
  <c r="AR14" i="1" s="1"/>
  <c r="L47" i="3"/>
  <c r="L49" i="3" s="1"/>
  <c r="L9" i="3" s="1"/>
  <c r="L17" i="2" s="1"/>
  <c r="AR52" i="1"/>
  <c r="AR60" i="1"/>
  <c r="AR51" i="1"/>
  <c r="N173" i="5"/>
  <c r="AP55" i="1"/>
  <c r="AP32" i="1"/>
  <c r="AP35" i="1" s="1"/>
  <c r="AP68" i="1"/>
  <c r="K48" i="5"/>
  <c r="K126" i="5"/>
  <c r="K104" i="5"/>
  <c r="Y61" i="14"/>
  <c r="Y63" i="14" s="1"/>
  <c r="J9" i="12"/>
  <c r="L104" i="5"/>
  <c r="L103" i="5"/>
  <c r="L48" i="5"/>
  <c r="L47" i="5"/>
  <c r="Z61" i="14"/>
  <c r="Z63" i="14" s="1"/>
  <c r="K9" i="12"/>
  <c r="AL56" i="1"/>
  <c r="AL40" i="1"/>
  <c r="F7" i="2"/>
  <c r="AL69" i="1"/>
  <c r="AO56" i="1"/>
  <c r="AO40" i="1"/>
  <c r="I7" i="2"/>
  <c r="I25" i="2" s="1"/>
  <c r="I41" i="2" s="1"/>
  <c r="AO69" i="1"/>
  <c r="M174" i="5"/>
  <c r="K51" i="3"/>
  <c r="K53" i="3" s="1"/>
  <c r="K21" i="3" s="1"/>
  <c r="AQ49" i="1"/>
  <c r="AQ62" i="1"/>
  <c r="AQ61" i="1"/>
  <c r="AQ48" i="1"/>
  <c r="M179" i="5" l="1"/>
  <c r="M74" i="5" s="1"/>
  <c r="M75" i="5" s="1"/>
  <c r="M76" i="5" s="1"/>
  <c r="M180" i="5"/>
  <c r="M101" i="5" s="1"/>
  <c r="M102" i="5" s="1"/>
  <c r="M103" i="5" s="1"/>
  <c r="M181" i="5"/>
  <c r="M123" i="5" s="1"/>
  <c r="M124" i="5" s="1"/>
  <c r="M125" i="5" s="1"/>
  <c r="J25" i="3"/>
  <c r="J27" i="3" s="1"/>
  <c r="O71" i="5"/>
  <c r="O72" i="5" s="1"/>
  <c r="O73" i="5" s="1"/>
  <c r="AC91" i="6"/>
  <c r="Q67" i="5" s="1"/>
  <c r="Q71" i="5" s="1"/>
  <c r="Q170" i="5" s="1"/>
  <c r="O185" i="5"/>
  <c r="M77" i="5"/>
  <c r="N179" i="5"/>
  <c r="N74" i="5" s="1"/>
  <c r="N75" i="5" s="1"/>
  <c r="N76" i="5" s="1"/>
  <c r="M47" i="5"/>
  <c r="AB91" i="6"/>
  <c r="P67" i="5" s="1"/>
  <c r="AR24" i="1"/>
  <c r="AR31" i="1" s="1"/>
  <c r="AQ53" i="1"/>
  <c r="AQ31" i="1"/>
  <c r="AQ32" i="1" s="1"/>
  <c r="AQ35" i="1" s="1"/>
  <c r="AS24" i="1"/>
  <c r="AS53" i="1" s="1"/>
  <c r="AS14" i="1"/>
  <c r="AS62" i="1" s="1"/>
  <c r="AS61" i="1"/>
  <c r="AS48" i="1"/>
  <c r="J76" i="5"/>
  <c r="J77" i="5"/>
  <c r="K76" i="5"/>
  <c r="M17" i="2"/>
  <c r="J174" i="5"/>
  <c r="J178" i="5"/>
  <c r="J45" i="5" s="1"/>
  <c r="J46" i="5" s="1"/>
  <c r="J180" i="5"/>
  <c r="J101" i="5" s="1"/>
  <c r="J102" i="5" s="1"/>
  <c r="J181" i="5"/>
  <c r="J123" i="5" s="1"/>
  <c r="J124" i="5" s="1"/>
  <c r="K25" i="3"/>
  <c r="K27" i="3" s="1"/>
  <c r="K21" i="2"/>
  <c r="K16" i="2" s="1"/>
  <c r="O164" i="5" s="1"/>
  <c r="O165" i="5" s="1"/>
  <c r="F39" i="3"/>
  <c r="F25" i="2"/>
  <c r="X61" i="14"/>
  <c r="X63" i="14" s="1"/>
  <c r="I9" i="12"/>
  <c r="J10" i="12" s="1"/>
  <c r="K12" i="12"/>
  <c r="K10" i="12"/>
  <c r="J12" i="12"/>
  <c r="AP56" i="1"/>
  <c r="AP40" i="1"/>
  <c r="J7" i="2"/>
  <c r="J25" i="2" s="1"/>
  <c r="J41" i="2" s="1"/>
  <c r="AP69" i="1"/>
  <c r="N178" i="5"/>
  <c r="N45" i="5" s="1"/>
  <c r="N46" i="5" s="1"/>
  <c r="N180" i="5"/>
  <c r="N101" i="5" s="1"/>
  <c r="N102" i="5" s="1"/>
  <c r="N181" i="5"/>
  <c r="N123" i="5" s="1"/>
  <c r="N124" i="5" s="1"/>
  <c r="N174" i="5"/>
  <c r="AR62" i="1"/>
  <c r="L51" i="3"/>
  <c r="L53" i="3" s="1"/>
  <c r="L21" i="3" s="1"/>
  <c r="AR49" i="1"/>
  <c r="AR61" i="1"/>
  <c r="AR48" i="1"/>
  <c r="M126" i="5" l="1"/>
  <c r="Q185" i="5"/>
  <c r="M104" i="5"/>
  <c r="Q72" i="5"/>
  <c r="Q73" i="5" s="1"/>
  <c r="Q68" i="5"/>
  <c r="AR53" i="1"/>
  <c r="O170" i="5"/>
  <c r="O173" i="5" s="1"/>
  <c r="O181" i="5" s="1"/>
  <c r="O123" i="5" s="1"/>
  <c r="O124" i="5" s="1"/>
  <c r="N77" i="5"/>
  <c r="AQ55" i="1"/>
  <c r="AQ68" i="1"/>
  <c r="AR66" i="1"/>
  <c r="P185" i="5"/>
  <c r="P68" i="5"/>
  <c r="P71" i="5"/>
  <c r="AS66" i="1"/>
  <c r="AS31" i="1"/>
  <c r="AS32" i="1" s="1"/>
  <c r="AS35" i="1" s="1"/>
  <c r="K103" i="5"/>
  <c r="J104" i="5"/>
  <c r="J103" i="5"/>
  <c r="J47" i="5"/>
  <c r="K47" i="5"/>
  <c r="J48" i="5"/>
  <c r="AS49" i="1"/>
  <c r="M51" i="3"/>
  <c r="M53" i="3" s="1"/>
  <c r="M21" i="3" s="1"/>
  <c r="M21" i="2" s="1"/>
  <c r="M16" i="2" s="1"/>
  <c r="Q164" i="5" s="1"/>
  <c r="Q165" i="5" s="1"/>
  <c r="K125" i="5"/>
  <c r="J126" i="5"/>
  <c r="J125" i="5"/>
  <c r="Q173" i="5"/>
  <c r="L25" i="3"/>
  <c r="L27" i="3" s="1"/>
  <c r="L21" i="2"/>
  <c r="L16" i="2" s="1"/>
  <c r="P164" i="5" s="1"/>
  <c r="P165" i="5" s="1"/>
  <c r="AR55" i="1"/>
  <c r="AR32" i="1"/>
  <c r="AR35" i="1" s="1"/>
  <c r="AR68" i="1"/>
  <c r="N125" i="5"/>
  <c r="N126" i="5"/>
  <c r="N103" i="5"/>
  <c r="N104" i="5"/>
  <c r="N48" i="5"/>
  <c r="N47" i="5"/>
  <c r="I12" i="12"/>
  <c r="I10" i="12"/>
  <c r="F41" i="2"/>
  <c r="F43" i="2"/>
  <c r="G39" i="3"/>
  <c r="F40" i="3"/>
  <c r="F41" i="3" s="1"/>
  <c r="AQ56" i="1"/>
  <c r="AQ69" i="1"/>
  <c r="K7" i="2"/>
  <c r="K25" i="2" s="1"/>
  <c r="K41" i="2" s="1"/>
  <c r="AQ40" i="1"/>
  <c r="O180" i="5" l="1"/>
  <c r="O101" i="5" s="1"/>
  <c r="O102" i="5" s="1"/>
  <c r="O104" i="5" s="1"/>
  <c r="O178" i="5"/>
  <c r="O45" i="5" s="1"/>
  <c r="O46" i="5" s="1"/>
  <c r="O48" i="5" s="1"/>
  <c r="O174" i="5"/>
  <c r="O179" i="5"/>
  <c r="O74" i="5" s="1"/>
  <c r="O75" i="5" s="1"/>
  <c r="O76" i="5" s="1"/>
  <c r="AS55" i="1"/>
  <c r="AS68" i="1"/>
  <c r="P72" i="5"/>
  <c r="P73" i="5" s="1"/>
  <c r="P170" i="5"/>
  <c r="P173" i="5" s="1"/>
  <c r="P180" i="5" s="1"/>
  <c r="P101" i="5" s="1"/>
  <c r="P102" i="5" s="1"/>
  <c r="Q179" i="5"/>
  <c r="Q74" i="5" s="1"/>
  <c r="Q75" i="5" s="1"/>
  <c r="Q77" i="5" s="1"/>
  <c r="M25" i="3"/>
  <c r="M27" i="3" s="1"/>
  <c r="O126" i="5"/>
  <c r="O125" i="5"/>
  <c r="H39" i="3"/>
  <c r="G40" i="3"/>
  <c r="G41" i="3" s="1"/>
  <c r="F7" i="3"/>
  <c r="F11" i="3" s="1"/>
  <c r="F17" i="3" s="1"/>
  <c r="F44" i="3" s="1"/>
  <c r="G42" i="2"/>
  <c r="G43" i="2" s="1"/>
  <c r="AR56" i="1"/>
  <c r="L7" i="2"/>
  <c r="L25" i="2" s="1"/>
  <c r="L41" i="2" s="1"/>
  <c r="AR69" i="1"/>
  <c r="AR40" i="1"/>
  <c r="AS56" i="1"/>
  <c r="AS40" i="1"/>
  <c r="AS69" i="1"/>
  <c r="M7" i="2"/>
  <c r="M25" i="2" s="1"/>
  <c r="M41" i="2" s="1"/>
  <c r="Q178" i="5"/>
  <c r="Q45" i="5" s="1"/>
  <c r="Q46" i="5" s="1"/>
  <c r="Q180" i="5"/>
  <c r="Q101" i="5" s="1"/>
  <c r="Q102" i="5" s="1"/>
  <c r="Q181" i="5"/>
  <c r="Q123" i="5" s="1"/>
  <c r="Q124" i="5" s="1"/>
  <c r="Q174" i="5"/>
  <c r="O47" i="5" l="1"/>
  <c r="O103" i="5"/>
  <c r="O77" i="5"/>
  <c r="P178" i="5"/>
  <c r="P45" i="5" s="1"/>
  <c r="P46" i="5" s="1"/>
  <c r="P47" i="5" s="1"/>
  <c r="P179" i="5"/>
  <c r="P74" i="5" s="1"/>
  <c r="P75" i="5" s="1"/>
  <c r="P77" i="5" s="1"/>
  <c r="P174" i="5"/>
  <c r="P181" i="5"/>
  <c r="P123" i="5" s="1"/>
  <c r="P124" i="5" s="1"/>
  <c r="P125" i="5" s="1"/>
  <c r="R124" i="5"/>
  <c r="Q126" i="5"/>
  <c r="Q103" i="5"/>
  <c r="Q104" i="5"/>
  <c r="R102" i="5"/>
  <c r="Q48" i="5"/>
  <c r="Q47" i="5"/>
  <c r="R47" i="5" s="1"/>
  <c r="S47" i="5" s="1"/>
  <c r="T47" i="5" s="1"/>
  <c r="U47" i="5" s="1"/>
  <c r="P104" i="5"/>
  <c r="P103" i="5"/>
  <c r="G7" i="3"/>
  <c r="G11" i="3" s="1"/>
  <c r="G17" i="3" s="1"/>
  <c r="G44" i="3" s="1"/>
  <c r="H42" i="2"/>
  <c r="H43" i="2" s="1"/>
  <c r="I39" i="3"/>
  <c r="H40" i="3"/>
  <c r="H41" i="3" s="1"/>
  <c r="Q76" i="5" l="1"/>
  <c r="R76" i="5" s="1"/>
  <c r="S76" i="5" s="1"/>
  <c r="T76" i="5" s="1"/>
  <c r="U76" i="5" s="1"/>
  <c r="P48" i="5"/>
  <c r="P76" i="5"/>
  <c r="P126" i="5"/>
  <c r="Q125" i="5"/>
  <c r="R46" i="5"/>
  <c r="R48" i="5" s="1"/>
  <c r="J39" i="3"/>
  <c r="I40" i="3"/>
  <c r="I41" i="3" s="1"/>
  <c r="H7" i="3"/>
  <c r="H11" i="3" s="1"/>
  <c r="H17" i="3" s="1"/>
  <c r="H44" i="3" s="1"/>
  <c r="I42" i="2"/>
  <c r="I43" i="2" s="1"/>
  <c r="S102" i="5"/>
  <c r="R104" i="5"/>
  <c r="S124" i="5"/>
  <c r="R126" i="5"/>
  <c r="R75" i="5" l="1"/>
  <c r="S75" i="5" s="1"/>
  <c r="S77" i="5" s="1"/>
  <c r="S46" i="5"/>
  <c r="T46" i="5" s="1"/>
  <c r="S126" i="5"/>
  <c r="T124" i="5"/>
  <c r="S104" i="5"/>
  <c r="T102" i="5"/>
  <c r="I7" i="3"/>
  <c r="I11" i="3" s="1"/>
  <c r="I17" i="3" s="1"/>
  <c r="I44" i="3" s="1"/>
  <c r="J42" i="2"/>
  <c r="J43" i="2" s="1"/>
  <c r="K39" i="3"/>
  <c r="J40" i="3"/>
  <c r="J41" i="3" s="1"/>
  <c r="T75" i="5" l="1"/>
  <c r="U75" i="5" s="1"/>
  <c r="R77" i="5"/>
  <c r="T77" i="5"/>
  <c r="S48" i="5"/>
  <c r="L39" i="3"/>
  <c r="K40" i="3"/>
  <c r="K41" i="3" s="1"/>
  <c r="J7" i="3"/>
  <c r="J11" i="3" s="1"/>
  <c r="J17" i="3" s="1"/>
  <c r="J44" i="3" s="1"/>
  <c r="K42" i="2"/>
  <c r="K43" i="2" s="1"/>
  <c r="U77" i="5"/>
  <c r="V75" i="5"/>
  <c r="T48" i="5"/>
  <c r="U46" i="5"/>
  <c r="T104" i="5"/>
  <c r="U102" i="5"/>
  <c r="U124" i="5"/>
  <c r="W124" i="5"/>
  <c r="T126" i="5"/>
  <c r="W126" i="5" l="1"/>
  <c r="X124" i="5"/>
  <c r="U126" i="5"/>
  <c r="V124" i="5"/>
  <c r="V126" i="5" s="1"/>
  <c r="V102" i="5"/>
  <c r="U104" i="5"/>
  <c r="U48" i="5"/>
  <c r="V46" i="5"/>
  <c r="W75" i="5"/>
  <c r="V77" i="5"/>
  <c r="K7" i="3"/>
  <c r="K11" i="3" s="1"/>
  <c r="K17" i="3" s="1"/>
  <c r="K44" i="3" s="1"/>
  <c r="L42" i="2"/>
  <c r="L43" i="2" s="1"/>
  <c r="M39" i="3"/>
  <c r="M40" i="3" s="1"/>
  <c r="M41" i="3" s="1"/>
  <c r="L40" i="3"/>
  <c r="L41" i="3" s="1"/>
  <c r="L7" i="3" l="1"/>
  <c r="L11" i="3" s="1"/>
  <c r="L17" i="3" s="1"/>
  <c r="L44" i="3" s="1"/>
  <c r="M42" i="2"/>
  <c r="M43" i="2" s="1"/>
  <c r="M7" i="3" s="1"/>
  <c r="M11" i="3" s="1"/>
  <c r="M17" i="3" s="1"/>
  <c r="M44" i="3" s="1"/>
  <c r="X75" i="5"/>
  <c r="W77" i="5"/>
  <c r="W46" i="5"/>
  <c r="V48" i="5"/>
  <c r="V104" i="5"/>
  <c r="W102" i="5"/>
  <c r="Y124" i="5"/>
  <c r="X126" i="5"/>
  <c r="Y126" i="5" l="1"/>
  <c r="G128" i="5" s="1"/>
  <c r="Z124" i="5"/>
  <c r="Z126" i="5" s="1"/>
  <c r="G129" i="5" s="1"/>
  <c r="W104" i="5"/>
  <c r="X102" i="5"/>
  <c r="W48" i="5"/>
  <c r="X46" i="5"/>
  <c r="X77" i="5"/>
  <c r="G86" i="5" s="1"/>
  <c r="Y75" i="5"/>
  <c r="Y77" i="5" s="1"/>
  <c r="G87" i="5" s="1"/>
  <c r="G88" i="5" l="1"/>
  <c r="O8" i="5" s="1"/>
  <c r="L8" i="5" s="1"/>
  <c r="H7" i="10" s="1"/>
  <c r="G130" i="5"/>
  <c r="G131" i="5" s="1"/>
  <c r="X48" i="5"/>
  <c r="G57" i="5" s="1"/>
  <c r="Y46" i="5"/>
  <c r="Y48" i="5" s="1"/>
  <c r="G58" i="5" s="1"/>
  <c r="X104" i="5"/>
  <c r="G113" i="5" s="1"/>
  <c r="Y102" i="5"/>
  <c r="Y104" i="5" s="1"/>
  <c r="G114" i="5" s="1"/>
  <c r="O10" i="5" l="1"/>
  <c r="L10" i="5" s="1"/>
  <c r="H9" i="10" s="1"/>
  <c r="G89" i="5"/>
  <c r="G115" i="5"/>
  <c r="O9" i="5" s="1"/>
  <c r="G59" i="5"/>
  <c r="G60" i="5" s="1"/>
  <c r="G116" i="5" l="1"/>
  <c r="O7" i="5"/>
  <c r="L7" i="5" s="1"/>
  <c r="L9" i="5"/>
  <c r="H8" i="10" s="1"/>
  <c r="O11" i="5" l="1"/>
  <c r="U7" i="5" s="1"/>
  <c r="P7" i="5" s="1"/>
  <c r="H6" i="10"/>
  <c r="H10" i="10" s="1"/>
  <c r="H15" i="10" s="1"/>
  <c r="L11" i="5"/>
  <c r="U10" i="5" l="1"/>
  <c r="P10" i="5" s="1"/>
  <c r="Q10" i="5" s="1"/>
  <c r="U8" i="5"/>
  <c r="P8" i="5" s="1"/>
  <c r="Q8" i="5" s="1"/>
  <c r="K7" i="10" s="1"/>
  <c r="U9" i="5"/>
  <c r="P9" i="5" s="1"/>
  <c r="Q9" i="5" s="1"/>
  <c r="K8" i="10" s="1"/>
  <c r="R9" i="5"/>
  <c r="M9" i="5" s="1"/>
  <c r="I8" i="10" s="1"/>
  <c r="R8" i="5"/>
  <c r="L7" i="10" s="1"/>
  <c r="S20" i="10" s="1"/>
  <c r="R10" i="5"/>
  <c r="K9" i="10"/>
  <c r="U11" i="5"/>
  <c r="Q7" i="5"/>
  <c r="L8" i="10"/>
  <c r="P11" i="5" l="1"/>
  <c r="M8" i="5"/>
  <c r="I7" i="10" s="1"/>
  <c r="L9" i="10"/>
  <c r="M10" i="5"/>
  <c r="I9" i="10" s="1"/>
  <c r="K6" i="10"/>
  <c r="K10" i="10" s="1"/>
  <c r="K15" i="10" s="1"/>
  <c r="Q11" i="5"/>
  <c r="R7" i="5"/>
  <c r="M7" i="5" l="1"/>
  <c r="R11" i="5"/>
  <c r="L6" i="10"/>
  <c r="L10" i="10" l="1"/>
  <c r="L15" i="10" s="1"/>
  <c r="R20" i="10"/>
  <c r="S19" i="10" s="1"/>
  <c r="T19" i="10" s="1"/>
  <c r="U19" i="10" s="1"/>
  <c r="V20" i="10" s="1"/>
  <c r="R14" i="5"/>
  <c r="S11" i="5" s="1"/>
  <c r="I6" i="10"/>
  <c r="I10" i="10" s="1"/>
  <c r="I15" i="10" s="1"/>
  <c r="M11" i="5"/>
  <c r="S8" i="5" l="1"/>
  <c r="S9" i="5"/>
  <c r="S10" i="5"/>
  <c r="S7" i="5"/>
  <c r="AE1" i="6"/>
  <c r="S13" i="5"/>
  <c r="R16" i="5"/>
  <c r="N18" i="12"/>
  <c r="AU1" i="1"/>
  <c r="S12" i="5"/>
  <c r="R1" i="5"/>
  <c r="AZ1" i="7"/>
  <c r="S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Kannan, Poorna</author>
  </authors>
  <commentList>
    <comment ref="A1" authorId="0" shapeId="0" xr:uid="{53095398-4C2D-4E43-A84E-8DD7D9677704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Timestamp="1775573782"&gt;&lt;FQL&gt;&lt;Q&gt;COGT^FE_ESTIMATE(SALES,MEAN,ANN,2023,NOW,,,'')&lt;/Q&gt;&lt;R&gt;1&lt;/R&gt;&lt;C&gt;1&lt;/C&gt;&lt;D xsi:type="xsd:double"&gt;0&lt;/D&gt;&lt;/FQL&gt;&lt;FQL&gt;&lt;Q&gt;COGT^OS_SEC_SI_PCTFLT(0D,,D)&lt;/Q&gt;&lt;R&gt;1&lt;/R&gt;&lt;C&gt;1&lt;/C&gt;&lt;D xsi:type="xsd:double"&gt;15.0228145334049&lt;/D&gt;&lt;/FQL&gt;&lt;FQL&gt;&lt;Q&gt;COGT^P_VOLUME_AVG(0,-3AM,,,0)&lt;/Q&gt;&lt;R&gt;1&lt;/R&gt;&lt;C&gt;1&lt;/C&gt;&lt;D xsi:type="xsd:double"&gt;1386821.1&lt;/D&gt;&lt;/FQL&gt;&lt;FQL&gt;&lt;Q&gt;COGT^FREF_MARKET_VALUE_COMPANY(0,0,,,1,0,,"LEGACY")&lt;/Q&gt;&lt;R&gt;1&lt;/R&gt;&lt;C&gt;1&lt;/C&gt;&lt;D xsi:type="xsd:double"&gt;513.492628827618&lt;/D&gt;&lt;/FQL&gt;&lt;FQL&gt;&lt;Q&gt;COGT-US^FE_TIMESERIES(BFNG,MEAN,2026,2027,FY,'BKRACTMED=1,WIN=0,UNITS=AUTO,DATE=NOW')&lt;/Q&gt;&lt;R&gt;2&lt;/R&gt;&lt;C&gt;1&lt;/C&gt;&lt;D xsi:type="xsd:double"&gt;-263.12216&lt;/D&gt;&lt;D xsi:type="xsd:double"&gt;-151.63747&lt;/D&gt;&lt;/FQL&gt;&lt;FQL&gt;&lt;Q&gt;COGT-US^FE_TIMESERIES(BFNG,MEAN,2026/1F,2026/4F,FQ,'BKRACTMED=1,WIN=0,UNITS=AUTO,DATE=NOW')&lt;/Q&gt;&lt;R&gt;4&lt;/R&gt;&lt;C&gt;1&lt;/C&gt;&lt;D xsi:type="xsd:double"&gt;-75.74825&lt;/D&gt;&lt;D xsi:type="xsd:double"&gt;-77.23655&lt;/D&gt;&lt;D xsi:type="xsd:double"&gt;-75.0515&lt;/D&gt;&lt;D xsi:type="xsd:double"&gt;-59.01825&lt;/D&gt;&lt;/FQL&gt;&lt;FQL&gt;&lt;Q&gt;COGT-US^FE_TIMESERIES(BFNG,MEAN,2025,2025,FY,'BKRACTMED=1,WIN=0,UNITS=AUTO,DATE=NOW')&lt;/Q&gt;&lt;R&gt;1&lt;/R&gt;&lt;C&gt;1&lt;/C&gt;&lt;D xsi:type="xsd:double"&gt;-294.13574&lt;/D&gt;&lt;/FQL&gt;&lt;FQL&gt;&lt;Q&gt;COGT-US^FE_TIMESERIES(BFNG,MEAN,2025/1F,2025/4F,FQ,'BKRACTMED=1,WIN=0,UNITS=AUTO,DATE=NOW')&lt;/Q&gt;&lt;R&gt;4&lt;/R&gt;&lt;C&gt;1&lt;/C&gt;&lt;D xsi:type="xsd:double"&gt;-71.986&lt;/D&gt;&lt;D xsi:type="xsd:double"&gt;-73.529&lt;/D&gt;&lt;D xsi:type="xsd:double"&gt;-75.0736&lt;/D&gt;&lt;D xsi:type="xsd:double"&gt;-73.55247&lt;/D&gt;&lt;/FQL&gt;&lt;FQL&gt;&lt;Q&gt;COGT-US^FE_TIMESERIES(BFNG,MEAN,2023,2024,FY,'BKRACTMED=1,WIN=0,UNITS=AUTO,DATE=NOW')&lt;/Q&gt;&lt;R&gt;2&lt;/R&gt;&lt;C&gt;1&lt;/C&gt;&lt;D xsi:type="xsd:double"&gt;-192.41&lt;/D&gt;&lt;D xsi:type="xsd:double"&gt;-255.859&lt;/D&gt;&lt;/FQL&gt;&lt;FQL&gt;&lt;Q&gt;COGT-US^FE_TIMESERIES(NETBG,MEAN,2026,2027,FY,'BKRACTMED=1,WIN=0,UNITS=AUTO,DATE=NOW')&lt;/Q&gt;&lt;R&gt;2&lt;/R&gt;&lt;C&gt;1&lt;/C&gt;&lt;D xsi:type="xsd:double"&gt;-284.41675&lt;/D&gt;&lt;D xsi:type="xsd:double"&gt;-152.78734&lt;/D&gt;&lt;/FQL&gt;&lt;FQL&gt;&lt;Q&gt;COGT-US^FE_TIMESERIES(NETBG,MEAN,2026/1F,2026/4F,FQ,'BKRACTMED=1,WIN=0,UNITS=AUTO,DATE=NOW')&lt;/Q&gt;&lt;R&gt;4&lt;/R&gt;&lt;C&gt;1&lt;/C&gt;&lt;D xsi:type="xsd:double"&gt;-68.45&lt;/D&gt;&lt;D xsi:type="xsd:double"&gt;-69.814&lt;/D&gt;&lt;D xsi:type="xsd:double"&gt;-75.0515&lt;/D&gt;&lt;D xsi:type="xsd:double"&gt;-59.018&lt;/D&gt;&lt;/FQL&gt;&lt;FQL&gt;&lt;Q&gt;COGT-US^FE_TIMESERIES(NETBG,MEAN,2025,2025,FY,'BKRACTMED=1,WIN=0,UNITS=AUTO,DATE=NOW')&lt;/Q&gt;&lt;R&gt;1&lt;/R&gt;&lt;C&gt;1&lt;/C&gt;&lt;D xsi:type="xsd:double"&gt;-270.75925&lt;/D&gt;&lt;/FQL&gt;&lt;FQL&gt;&lt;Q&gt;COGT-US^FE_TIMESERIES(NETBG,MEAN,2025/1F,2025/4F,FQ,'BKRACTMED=1,WIN=0,UNITS=AUTO,DATE=NOW')&lt;/Q&gt;&lt;R&gt;4&lt;/R&gt;&lt;C&gt;1&lt;/C&gt;&lt;D xsi:type="xsd:double"&gt;-59.236&lt;/D&gt;&lt;D xsi:type="xsd:double"&gt;-61&lt;/D&gt;&lt;D xsi:type="xsd:double"&gt;-65.068665&lt;/D&gt;&lt;D xsi:type="xsd:double"&gt;-65.989&lt;/D&gt;&lt;/FQL&gt;&lt;FQL&gt;&lt;Q&gt;COGT-US^FE_TIMESERIES(NETBG,MEAN,2023,2024,FY,'BKRACTMED=1,WIN=0,UNITS=AUTO,DATE=NOW')&lt;/Q&gt;&lt;R&gt;2&lt;/R&gt;&lt;C&gt;1&lt;/C&gt;&lt;D xsi:type="xsd:double"&gt;-192.41&lt;/D&gt;&lt;D xsi:type="xsd:double"&gt;-255.859&lt;/D&gt;&lt;/FQL&gt;&lt;FQL&gt;&lt;Q&gt;COGT-US^FE_TIMESERIES(NETPROFIT,MEAN,2026,2027,FY,'BKRACTMED=1,WIN=0,UNITS=AUTO,DATE=NOW')&lt;/Q&gt;&lt;R&gt;2&lt;/R&gt;&lt;C&gt;1&lt;/C&gt;&lt;D xsi:type="xsd:double"&gt;-282.1738&lt;/D&gt;&lt;D xsi:type="xsd:double"&gt;-146.46797&lt;/D&gt;&lt;/FQL&gt;&lt;FQL&gt;&lt;Q&gt;COGT-US^FE_TIMESERIES(NETPROFIT,MEAN,2026/1F,2026/4F,FQ,'BKRACTMED=1,WIN=0,UNITS=AUTO,DATE=NOW')&lt;/Q&gt;&lt;R&gt;4&lt;/R&gt;&lt;C&gt;1&lt;/C&gt;&lt;D xsi:type="xsd:double"&gt;-78.5009&lt;/D&gt;&lt;D xsi:type="xsd:double"&gt;-81.49122&lt;/D&gt;&lt;D xsi:type="xsd:double"&gt;-77.829&lt;/D&gt;&lt;D xsi:type="xsd:double"&gt;-64.2379&lt;/D&gt;&lt;/FQL&gt;&lt;FQL&gt;&lt;Q&gt;COGT-US^FE_TIMESERIES(NETPROFIT,MEAN,2025,2025,FY,'BKRACTMED=1,WIN=0,UNITS=AUTO,DATE=NOW')&lt;/Q&gt;&lt;R&gt;1&lt;/R&gt;&lt;C&gt;1&lt;/C&gt;&lt;D xsi:type="xsd:double"&gt;-293.2236&lt;/D&gt;&lt;/FQL&gt;&lt;FQL&gt;&lt;Q&gt;COGT-US^FE_TIMESERIES(NETPROFIT,MEAN,2025/1F,2025/4F,FQ,'BKRACTMED=1,WIN=0,UNITS=AUTO,DATE=NOW')&lt;/Q&gt;&lt;R&gt;4&lt;/R&gt;&lt;C&gt;1&lt;/C&gt;&lt;D xsi:type="xsd:double"&gt;-71.986&lt;/D&gt;&lt;D xsi:type="xsd:double"&gt;-73.529&lt;/D&gt;&lt;D xsi:type="xsd:double"&gt;-74.95371&lt;/D&gt;&lt;D xsi:type="xsd:double"&gt;-73.87676&lt;/D&gt;&lt;/FQL&gt;&lt;FQL&gt;&lt;Q&gt;COGT-US^FE_TIMESERIES(NETPROFIT,MEAN,2023,2024,FY,'BKRACTMED=1,WIN=0,UNITS=AUTO,DATE=NOW')&lt;/Q&gt;&lt;R&gt;2&lt;/R&gt;&lt;C&gt;1&lt;/C&gt;&lt;D xsi:type="xsd:double"&gt;-192.41&lt;/D&gt;&lt;D xsi:type="xsd:double"&gt;-255.859&lt;/D&gt;&lt;/FQL&gt;&lt;FQL&gt;&lt;Q&gt;COGT-US^FE_TIMESERIES(TAX_EXPENSE,MEAN,2026,2027,FY,'BKRACTMED=1,WIN=0,UNITS=AUTO,DATE=NOW')&lt;/Q&gt;&lt;R&gt;2&lt;/R&gt;&lt;C&gt;1&lt;/C&gt;&lt;D xsi:type="xsd:double"&gt;0&lt;/D&gt;&lt;D xsi:type="xsd:double"&gt;6.1571426&lt;/D&gt;&lt;/FQL&gt;&lt;FQL&gt;&lt;Q&gt;COGT-US^FE_TIMESERIES(TAX_EXPENSE,MEAN,2026/1F,2026/4F,FQ,'BKRACTMED=1,WIN=0,UNITS=AUTO,DATE=NOW')&lt;/Q&gt;&lt;R&gt;4&lt;/R&gt;&lt;C&gt;1&lt;/C&gt;&lt;D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xsi:type="xsd:double"&gt;0&lt;/D&gt;&lt;/FQL&gt;&lt;FQL&gt;&lt;Q&gt;COGT-US^FE_TIMESERIES(TAX_EXPENSE,MEAN,2025,2025,FY,'BKRACTMED=1,WIN=0,UNITS=AUTO,DATE=NOW')&lt;/Q&gt;&lt;R&gt;1&lt;/R&gt;&lt;C&gt;1&lt;/C&gt;&lt;D xsi:type="xsd:double"&gt;0&lt;/D&gt;&lt;/FQL&gt;&lt;FQL&gt;&lt;Q&gt;COGT-US^FE_TIMESERIES(TAX_EXPENSE,MEAN,2025/1F,2025/4F,FQ,'BKRACTMED=1,WIN=0,UNITS=AUTO,DATE=NOW')&lt;/Q&gt;&lt;R&gt;4&lt;/R&gt;&lt;C&gt;1&lt;/C&gt;&lt;D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xsi:type="xsd:double"&gt;0&lt;/D&gt;&lt;/FQL&gt;&lt;FQL&gt;&lt;Q&gt;COGT-US^FE_TIMESERIES(TAX_EXPENSE,MEAN,2023,2024,FY,'BKRACTMED=1,WIN=0,UNITS=AUTO,DATE=NOW')&lt;/Q&gt;&lt;R&gt;2&lt;/R&gt;&lt;C&gt;1&lt;/C&gt;&lt;D xsi:type="xsd:double"&gt;0&lt;/D&gt;&lt;D xsi:type="xsd:double"&gt;0&lt;/D&gt;&lt;/FQL&gt;&lt;FQL&gt;&lt;Q&gt;COGT-US^FE_TIMESERIES(PTPBG,MEAN,2026,2027,FY,'BKRACTMED=1,WIN=0,UNITS=AUTO,DATE=NOW')&lt;/Q&gt;&lt;R&gt;2&lt;/R&gt;&lt;C&gt;1&lt;/C&gt;&lt;D xsi:type="xsd:double"&gt;-239.18925&lt;/D&gt;&lt;D xsi:type="xsd:double"&gt;-175.59398&lt;/D&gt;&lt;/FQL&gt;&lt;FQL&gt;&lt;Q&gt;COGT-US^FE_TIMESERIES(PTPBG,MEAN,2026/1F,2026/4F,FQ,'BKRACTMED=1,WIN=0,UNITS=AUTO,DATE=NOW')&lt;/Q&gt;&lt;R&gt;4&lt;/R&gt;&lt;C&gt;1&lt;/C&gt;&lt;D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xsi:type="xsd:string"&gt;@NA&lt;/D&gt;&lt;/FQL&gt;&lt;FQL&gt;&lt;Q&gt;COGT-US^FE_TIMESERIES(PTPBG,MEAN,2025,2025,FY,'BKRACTMED=1,WIN=0,UNITS=AUTO,DATE=NOW')&lt;/Q&gt;&lt;R&gt;1&lt;/R&gt;&lt;C&gt;1&lt;/C&gt;&lt;D xsi:type="xsd:double"&gt;-264.2286&lt;/D&gt;&lt;/FQL&gt;&lt;FQL&gt;&lt;Q&gt;COGT-US^FE_TIMESERIES(PTPBG,MEAN,2025/1F,2025/4F,FQ,'BKRACTMED=1,WIN=0,UNITS=AUTO,DATE=NOW')&lt;/Q&gt;&lt;R&gt;4&lt;/R&gt;&lt;C&gt;1&lt;/C&gt;&lt;D xsi:type="xsd:string"&gt;@NA&lt;/D&gt;&lt;D xsi:type="xsd:double"&gt;-73.5&lt;/D&gt;&lt;D xsi:type="xsd:double"&gt;-75&lt;/D&gt;&lt;D xsi:type="xsd:double"&gt;-67.4&lt;/D&gt;&lt;/FQL&gt;&lt;FQL&gt;&lt;Q&gt;COGT-US^FE_TIMESERIES(PTPBG,MEAN,2023,2024,FY,'BKRACTMED=1,WIN=0,UNITS=AUTO,DATE=NOW')&lt;/Q&gt;&lt;R&gt;2&lt;/R&gt;&lt;C&gt;1&lt;/C&gt;&lt;D xsi:type="xsd:double"&gt;-192.405&lt;/D&gt;&lt;D xsi:type="xsd:double"&gt;-255.859&lt;/D&gt;&lt;/FQL&gt;&lt;FQL&gt;&lt;Q&gt;COGT-US^FE_TIMESERIES(PTPA,MEAN,2026,2027,FY,'BKRACTMED=1,WIN=0,UNITS=AUTO,DATE=NOW')&lt;/Q&gt;&lt;R&gt;2&lt;/R&gt;&lt;C&gt;1&lt;/C&gt;&lt;D xsi:type="xsd:double"&gt;-255&lt;/D&gt;&lt;D xsi:type="xsd:double"&gt;-203&lt;/D&gt;&lt;/FQL&gt;&lt;FQL&gt;&lt;Q&gt;COGT-US^FE_TIMESERIES(PTPA,MEAN,2026/1F,2026/4F,FQ,'BKRACTMED=1,WIN=0,UNITS=AUTO,DATE=NOW')&lt;/Q&gt;&lt;R&gt;4&lt;/R&gt;&lt;C&gt;1&lt;/C&gt;&lt;D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xsi:type="xsd:string"&gt;@NA&lt;/D&gt;&lt;/FQL&gt;&lt;FQL&gt;&lt;Q&gt;COGT-US^FE_TIMESERIES(PTPA,MEAN,2025,2025,FY,'BKRACTMED=1,WIN=0,UNITS=AUTO,DATE=NOW')&lt;/Q&gt;&lt;R&gt;1&lt;/R&gt;&lt;C&gt;1&lt;/C&gt;&lt;D xsi:type="xsd:double"&gt;-241&lt;/D&gt;&lt;/FQL&gt;&lt;FQL&gt;&lt;Q&gt;COGT-US^FE_TIMESERIES(PTPA,MEAN,2025/1F,2025/4F,FQ,'BKRACTMED=1,WIN=0,UNITS=AUTO,DATE=NOW')&lt;/Q&gt;&lt;R&gt;4&lt;/R&gt;&lt;C&gt;1&lt;/C&gt;&lt;D xsi:type="xsd:double"&gt;-59&lt;/D&gt;&lt;D xsi:type="xsd:double"&gt;-61&lt;/D&gt;&lt;D xsi:type="xsd:double"&gt;-60&lt;/D&gt;&lt;D xsi:type="xsd:double"&gt;-60&lt;/D&gt;&lt;/FQL&gt;&lt;FQL&gt;&lt;Q&gt;COGT-US^FE_TIMESERIES(PTPA,MEAN,2023,2024,FY,'BKRACTMED=1,WIN=0,UNITS=AUTO,DATE=NOW')&lt;/Q&gt;&lt;R&gt;2&lt;/R&gt;&lt;C&gt;1&lt;/C&gt;&lt;D xsi:type="xsd:double"&gt;-192.41&lt;/D&gt;&lt;D xsi:type="xsd:double"&gt;-255.859&lt;/D&gt;&lt;/FQL&gt;&lt;FQL&gt;&lt;Q&gt;COGT-US^FE_TIMESERIES(PTP,MEAN,2026,2027,FY,'BKRACTMED=1,WIN=0,UNITS=AUTO,DATE=NOW')&lt;/Q&gt;&lt;R&gt;2&lt;/R&gt;&lt;C&gt;1&lt;/C&gt;&lt;D xsi:type="xsd:double"&gt;-282.1744&lt;/D&gt;&lt;D xsi:type="xsd:double"&gt;-142.55864&lt;/D&gt;&lt;/FQL&gt;&lt;FQL&gt;&lt;Q&gt;COGT-US^FE_TIMESERIES(PTP,MEAN,2026/1F,2026/4F,FQ,'BKRACTMED=1,WIN=0,UNITS=AUTO,DATE=NOW')&lt;/Q&gt;&lt;R&gt;4&lt;/R&gt;&lt;C&gt;1&lt;/C&gt;&lt;D xsi:type="xsd:double"&gt;-78.501&lt;/D&gt;&lt;D xsi:type="xsd:double"&gt;-81.4912&lt;/D&gt;&lt;D xsi:type="xsd:double"&gt;-77.829&lt;/D&gt;&lt;D xsi:type="xsd:double"&gt;-64.2378&lt;/D&gt;&lt;/FQL&gt;&lt;FQL&gt;&lt;Q&gt;COGT-US^FE_TIMESERIES(PTP,MEAN,2025,2025,FY,'BKRACTMED=1,WIN=0,UNITS=AUTO,DATE=NOW')&lt;/Q&gt;&lt;R&gt;1&lt;/R&gt;&lt;C&gt;1&lt;/C&gt;&lt;D xsi:type="xsd:double"&gt;-294.35718&lt;/D&gt;&lt;/FQL&gt;&lt;FQL&gt;&lt;Q&gt;COGT-US^FE_TIMESERIES(PTP,MEAN,2025/1F,2025/4F,FQ,'BKRACTMED=1,WIN=0,UNITS=AUTO,DATE=NOW')&lt;/Q&gt;&lt;R&gt;4&lt;/R&gt;&lt;C&gt;1&lt;/C&gt;&lt;D xsi:type="xsd:double"&gt;-71.993&lt;/D&gt;&lt;D xsi:type="xsd:double"&gt;-73.529&lt;/D&gt;&lt;D xsi:type="xsd:double"&gt;-74.95373&lt;/D&gt;&lt;D xsi:type="xsd:double"&gt;-73.876724&lt;/D&gt;&lt;/FQL&gt;&lt;FQL&gt;&lt;Q&gt;COGT-US^FE_TIMESERIES(PTP,MEAN,2023,2024,FY,'BKRACTMED=1,WIN=0,UNITS=AUTO,DATE=NOW')&lt;/Q&gt;&lt;R&gt;2&lt;/R&gt;&lt;C&gt;1&lt;/C&gt;&lt;D xsi:type="xsd:double"&gt;-192.41&lt;/D&gt;&lt;D xsi:type="xsd:double"&gt;-255.859&lt;/D&gt;&lt;/FQL&gt;&lt;FQL&gt;&lt;Q&gt;COGT-US^FE_TIMESERIES(INTEXP,MEAN,2026,2027,FY,'BKRACTMED=1,WIN=0,UNITS=AUTO,DATE=NOW')&lt;/Q&gt;&lt;R&gt;2&lt;/R&gt;&lt;C&gt;1&lt;/C&gt;&lt;D xsi:type="xsd:double"&gt;9.525&lt;/D&gt;&lt;D xsi:type="xsd:double"&gt;13.975&lt;/D&gt;&lt;/FQL&gt;&lt;FQL&gt;&lt;Q&gt;COGT-US^FE_TIMESERIES(INTEXP,MEAN,2026/1F,2026/4F,FQ,'BKRACTMED=1,WIN=0,UNITS=AUTO,DATE=NOW')&lt;/Q&gt;&lt;R&gt;4&lt;/R&gt;&lt;C&gt;1&lt;/C&gt;&lt;D xsi:type="xsd:double"&gt;1.4&lt;/D&gt;&lt;D xsi:type="xsd:double"&gt;1.4&lt;/D&gt;&lt;D xsi:type="xsd:double"&gt;1.4&lt;/D&gt;&lt;D xsi:type="xsd:double"&gt;1.4&lt;/D&gt;&lt;/FQL&gt;&lt;FQL&gt;&lt;Q&gt;COGT-US^FE_TIMESERIES(INTEXP,MEAN,2025,2025,FY,'BKRACTMED=1,WIN=0,UNITS=AUTO,DATE=NOW')&lt;/Q&gt;&lt;R&gt;1&lt;/R&gt;&lt;C&gt;1&lt;/C&gt;&lt;D xsi:type="xsd:double"&gt;3.426&lt;/D&gt;&lt;/FQL&gt;&lt;FQL&gt;&lt;Q&gt;COGT-US^FE_TIMESERIES(INTEXP,MEAN,2025/1F,2025/4F,FQ,'BKRACTMED=1,WIN=0,UNITS=AUTO,DATE=NOW')&lt;/Q&gt;&lt;R&gt;4&lt;/R&gt;&lt;C&gt;1&lt;/C&gt;&lt;D xsi:type="xsd:string"&gt;@NA&lt;/D&gt;&lt;D xsi:type="xsd:double"&gt;0.307&lt;/D&gt;&lt;D xsi:type="xsd:double"&gt;1.5345&lt;/D&gt;&lt;D xsi:type="xsd:double"&gt;1.5345&lt;/D&gt;&lt;/FQL&gt;&lt;FQL&gt;&lt;Q&gt;COGT-US^FE_TIMESERIES(INTEXP,MEAN,2023,2024,FY,'BKRACTMED=1,WIN=0,UNITS=AUTO,DATE=NOW')&lt;/Q&gt;&lt;R&gt;2&lt;/R&gt;&lt;C&gt;1&lt;/C&gt;&lt;D xsi:type="xsd:string"&gt;@NA&lt;/D&gt;&lt;D xsi:type="xsd:string"&gt;@NA&lt;/D&gt;&lt;/FQL&gt;&lt;FQL&gt;&lt;Q&gt;COGT-US^FE_TIMESERIES(EBIT_ADJ,MEAN,2026,2027,FY,'BKRACTMED=1,WIN=0,UNITS=AUTO,DATE=NOW')&lt;/Q&gt;&lt;R&gt;2&lt;/R&gt;&lt;C&gt;1&lt;/C&gt;&lt;D xsi:type="xsd:double"&gt;-309&lt;/D&gt;&lt;D xsi:type="xsd:double"&gt;-246&lt;/D&gt;&lt;/FQL&gt;&lt;FQL&gt;&lt;Q&gt;COGT-US^FE_TIMESERIES(EBIT_ADJ,MEAN,2026/1F,2026/4F,FQ,'BKRACTMED=1,WIN=0,UNITS=AUTO,DATE=NOW')&lt;/Q&gt;&lt;R&gt;4&lt;/R&gt;&lt;C&gt;1&lt;/C&gt;&lt;D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xsi:type="xsd:string"&gt;@NA&lt;/D&gt;&lt;/FQL&gt;&lt;FQL&gt;&lt;Q&gt;COGT-US^FE_TIMESERIES(EBIT_ADJ,MEAN,2025,2025,FY,'BKRACTMED=1,WIN=0,UNITS=AUTO,DATE=NOW')&lt;/Q&gt;&lt;R&gt;1&lt;/R&gt;&lt;C&gt;1&lt;/C&gt;&lt;D xsi:type="xsd:double"&gt;-291&lt;/D&gt;&lt;/FQL&gt;&lt;FQL&gt;&lt;Q&gt;COGT-US^FE_TIMESERIES(EBIT_ADJ,MEAN,2025/1F,2025/4F,FQ,'BKRACTMED=1,WIN=0,UNITS=AUTO,DATE=NOW')&lt;/Q&gt;&lt;R&gt;4&lt;/R&gt;&lt;C&gt;1&lt;/C&gt;&lt;D xsi:type="xsd:double"&gt;-72&lt;/D&gt;&lt;D xsi:type="xsd:double"&gt;-74&lt;/D&gt;&lt;D xsi:type="xsd:double"&gt;-73&lt;/D&gt;&lt;D xsi:type="xsd:double"&gt;-73&lt;/D&gt;&lt;/FQL&gt;&lt;FQL&gt;&lt;Q&gt;COGT-US^FE_TIMESERIES(EBIT_ADJ,MEAN,2023,2024,FY,'BKRACTMED=1,WIN=0,UNITS=AUTO,DATE=NOW')&lt;/Q&gt;&lt;R&gt;2&lt;/R&gt;&lt;C&gt;1&lt;/C&gt;&lt;D xsi:type="xsd:double"&gt;-192.41&lt;/D&gt;&lt;D xsi:type="xsd:double"&gt;-255.859&lt;/D&gt;&lt;/FQL&gt;&lt;FQL&gt;&lt;Q&gt;COGT-US^FE_TIMESERIES(EBIT,MEAN,2026,2027,FY,'BKRACTMED=1,WIN=0,UNITS=AUTO,DATE=NOW')&lt;/Q&gt;&lt;R&gt;2&lt;/R&gt;&lt;C&gt;1&lt;/C&gt;&lt;D xsi:type="xsd:double"&gt;-295.09076&lt;/D&gt;&lt;D xsi:type="xsd:double"&gt;-152.19308&lt;/D&gt;&lt;/FQL&gt;&lt;FQL&gt;&lt;Q&gt;COGT-US^FE_TIMESERIES(EBIT,MEAN,2026/1F,2026/4F,FQ,'BKRACTMED=1,WIN=0,UNITS=AUTO,DATE=NOW')&lt;/Q&gt;&lt;R&gt;4&lt;/R&gt;&lt;C&gt;1&lt;/C&gt;&lt;D xsi:type="xsd:double"&gt;-80.9316&lt;/D&gt;&lt;D xsi:type="xsd:double"&gt;-83.6424&lt;/D&gt;&lt;D xsi:type="xsd:double"&gt;-79.6788&lt;/D&gt;&lt;D xsi:type="xsd:double"&gt;-66.5348&lt;/D&gt;&lt;/FQL&gt;&lt;FQL&gt;&lt;Q&gt;COGT-US^FE_TIMESERIES(EBIT,MEAN,2025,2025,FY,'BKRACTMED=1,WIN=0,UNITS=AUTO,DATE=NOW')&lt;/Q&gt;&lt;R&gt;1&lt;/R&gt;&lt;C&gt;1&lt;/C&gt;&lt;D xsi:type="xsd:double"&gt;-304.77942&lt;/D&gt;&lt;/FQL&gt;&lt;FQL&gt;&lt;Q&gt;COGT-US^FE_TIMESERIES(EBIT,MEAN,2025/1F,2025/4F,FQ,'BKRACTMED=1,WIN=0,UNITS=AUTO,DATE=NOW')&lt;/Q&gt;&lt;R&gt;4&lt;/R&gt;&lt;C&gt;1&lt;/C&gt;&lt;D xsi:type="xsd:double"&gt;-74.9&lt;/D&gt;&lt;D xsi:type="xsd:double"&gt;-75.582&lt;/D&gt;&lt;D xsi:type="xsd:double"&gt;-76.71525&lt;/D&gt;&lt;D xsi:type="xsd:double"&gt;-78.01466&lt;/D&gt;&lt;/FQL&gt;&lt;FQL&gt;&lt;Q&gt;COGT-US^FE_TIMESERIES(EBIT,MEAN,2023,2024,FY,'BKRACTMED=1,WIN=0,UNITS=AUTO,DATE=NOW')&lt;/Q&gt;&lt;R&gt;2&lt;/R&gt;&lt;C&gt;1&lt;/C&gt;&lt;D xsi:type="xsd:double"&gt;-208.115&lt;/D&gt;&lt;D xsi:type="xsd:double"&gt;-275.9195&lt;/D&gt;&lt;/FQL&gt;&lt;FQL&gt;&lt;Q&gt;COGT-US^FE_TIMESERIES(DEPR_AMORT,MEAN,2026,2027,FY,'BKRACTMED=1,WIN=0,UNITS=AUTO,DATE=NOW')&lt;/Q&gt;&lt;R&gt;2&lt;/R&gt;&lt;C&gt;1&lt;/C&gt;&lt;D xsi:type="xsd:double"&gt;2.4384&lt;/D&gt;&lt;D xsi:type="xsd:double"&gt;2.377175&lt;/D&gt;&lt;/FQL&gt;&lt;FQL&gt;&lt;Q&gt;COGT-US^FE_TIMESERIES(DEPR_AMORT,MEAN,2026/1F,2026/4F,FQ,'BKRACTMED=1,WIN=0,UNITS=AUTO,DATE=NOW')&lt;/Q&gt;&lt;R&gt;4&lt;/R&gt;&lt;C&gt;1&lt;/C&gt;&lt;D xsi:type="xsd:double"&gt;0.60405&lt;/D&gt;&lt;D xsi:type="xsd:double"&gt;0.62075&lt;/D&gt;&lt;D xsi:type="xsd:double"&gt;0.57255&lt;/D&gt;&lt;D xsi:type="xsd:double"&gt;0.5795&lt;/D&gt;&lt;/FQL&gt;&lt;FQL&gt;&lt;Q&gt;COGT-US^FE_TIMESERIES(DEPR_AMORT,MEAN,2025,2025,FY,'BKRACTMED=1,WIN=0,UNITS=AUTO,DATE=NOW')&lt;/Q&gt;&lt;R&gt;1&lt;/R&gt;&lt;C&gt;1&lt;/C&gt;&lt;D xsi:type="xsd:double"&gt;2.48875&lt;/D&gt;&lt;/FQL&gt;&lt;FQL&gt;&lt;Q&gt;COGT-US^FE_TIMESERIES(DEPR_AMORT,MEAN,2025/1F,2025/4F,FQ,'BKRACTMED=1,WIN=0,UNITS=AUTO,DATE=NOW')&lt;/Q&gt;&lt;R&gt;4&lt;/R&gt;&lt;C&gt;1&lt;/C&gt;&lt;D xsi:type="xsd:string"&gt;@NA&lt;/D&gt;&lt;D xsi:type="xsd:double"&gt;0.6575&lt;/D&gt;&lt;D xsi:type="xsd:double"&gt;0.5925&lt;/D&gt;&lt;D xsi:type="xsd:double"&gt;0.5925&lt;/D&gt;&lt;/FQL&gt;&lt;FQL&gt;&lt;Q&gt;COGT-US^FE_TIMESERIES(DEPR_AMORT,MEAN,2023,2024,FY,'BKRACTMED=1,WIN=0,UNITS=AUTO,DATE=NOW')&lt;/Q&gt;&lt;R&gt;2&lt;/R&gt;&lt;C&gt;1&lt;/C&gt;&lt;D xsi:type="xsd:double"&gt;2.3&lt;/D&gt;&lt;D xsi:type="xsd:double"&gt;2.5&lt;/D&gt;&lt;/FQL&gt;&lt;FQL&gt;&lt;Q&gt;COGT-US^FE_TIMESERIES(EBITDA_ADJ,MEAN,2026,2027,FY,'BKRACTMED=1,WIN=0,UNITS=AUTO,DATE=NOW')&lt;/Q&gt;&lt;R&gt;2&lt;/R&gt;&lt;C&gt;1&lt;/C&gt;&lt;D xsi:type="xsd:double"&gt;-222&lt;/D&gt;&lt;D xsi:type="xsd:double"&gt;-169&lt;/D&gt;&lt;/FQL&gt;&lt;FQL&gt;&lt;Q&gt;COGT-US^FE_TIMESERIES(EBITDA_ADJ,MEAN,2026/1F,2026/4F,FQ,'BKRACTMED=1,WIN=0,UNITS=AUTO,DATE=NOW')&lt;/Q&gt;&lt;R&gt;4&lt;/R&gt;&lt;C&gt;1&lt;/C&gt;&lt;D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xsi:type="xsd:string"&gt;@NA&lt;/D&gt;&lt;/FQL&gt;&lt;FQL&gt;&lt;Q&gt;COGT-US^FE_TIMESERIES(EBITDA_ADJ,MEAN,2025,2025,FY,'BKRACTMED=1,WIN=0,UNITS=AUTO,DATE=NOW')&lt;/Q&gt;&lt;R&gt;1&lt;/R&gt;&lt;C&gt;1&lt;/C&gt;&lt;D xsi:type="xsd:double"&gt;-204&lt;/D&gt;&lt;/FQL&gt;&lt;FQL&gt;&lt;Q&gt;COGT-US^FE_TIMESERIES(EBITDA_ADJ,MEAN,2025/1F,2025/4F,FQ,'BKRACTMED=1,WIN=0,UNITS=AUTO,DATE=NOW')&lt;/Q&gt;&lt;R&gt;4&lt;/R&gt;&lt;C&gt;1&lt;/C&gt;&lt;D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xsi:type="xsd:string"&gt;@NA&lt;/D&gt;&lt;/FQL&gt;&lt;FQL&gt;&lt;Q&gt;COGT-US^FE_TIMESERIES(EBITDA_ADJ,MEAN,2023,2024,FY,'BKRACTMED=1,WIN=0,UNITS=AUTO,DATE=NOW')&lt;/Q&gt;&lt;R&gt;2&lt;/R&gt;&lt;C&gt;1&lt;/C&gt;&lt;D xsi:type="xsd:double"&gt;-95.14&lt;/D&gt;&lt;D xsi:type="xsd:double"&gt;-163.409&lt;/D&gt;&lt;/FQL&gt;&lt;FQL&gt;&lt;Q&gt;COGT-US^FE_TIMESERIES(EBITDA,MEAN,2026,2027,FY,'BKRACTMED=1,WIN=0,UNITS=AUTO,DATE=NOW')&lt;/Q&gt;&lt;R&gt;2&lt;/R&gt;&lt;C&gt;1&lt;/C&gt;&lt;D xsi:type="xsd:double"&gt;-272.635&lt;/D&gt;&lt;D xsi:type="xsd:double"&gt;-218.725&lt;/D&gt;&lt;/FQL&gt;&lt;FQL&gt;&lt;Q&gt;COGT-US^FE_TIMESERIES(EBITDA,MEAN,2026/1F,2026/4F,FQ,'BKRACTMED=1,WIN=0,UNITS=AUTO,DATE=NOW')&lt;/Q&gt;&lt;R&gt;4&lt;/R&gt;&lt;C&gt;1&lt;/C&gt;&lt;D xsi:type="xsd:double"&gt;-81.23&lt;/D&gt;&lt;D xsi:type="xsd:double"&gt;-81.5&lt;/D&gt;&lt;D xsi:type="xsd:double"&gt;-81.89&lt;/D&gt;&lt;D xsi:type="xsd:double"&gt;-78.64&lt;/D&gt;&lt;/FQL&gt;&lt;FQL&gt;&lt;Q&gt;COGT-US^FE_TIMESERIES(EBITDA,MEAN,2025,2025,FY,'BKRACTMED=1,WIN=0,UNITS=AUTO,DATE=NOW')&lt;/Q&gt;&lt;R&gt;1&lt;/R&gt;&lt;C&gt;1&lt;/C&gt;&lt;D xsi:type="xsd:double"&gt;-255.63&lt;/D&gt;&lt;/FQL&gt;&lt;FQL&gt;&lt;Q&gt;COGT-US^FE_TIMESERIES(EBITDA,MEAN,2025/1F,2025/4F,FQ,'BKRACTMED=1,WIN=0,UNITS=AUTO,DATE=NOW')&lt;/Q&gt;&lt;R&gt;4&lt;/R&gt;&lt;C&gt;1&lt;/C&gt;&lt;D xsi:type="xsd:string"&gt;@NA&lt;/D&gt;&lt;D xsi:type="xsd:double"&gt;-74.93&lt;/D&gt;&lt;D xsi:type="xsd:double"&gt;-76.93&lt;/D&gt;&lt;D xsi:type="xsd:double"&gt;-81.36&lt;/D&gt;&lt;/FQL&gt;&lt;FQL&gt;&lt;Q&gt;COGT-US^FE_TIMESERIES(EBITDA,MEAN,2023,2024,FY,'BKRACTMED=1,WIN=0,UNITS=AUTO,DATE=NOW')&lt;/Q&gt;&lt;R&gt;2&lt;/R&gt;&lt;C&gt;1&lt;/C&gt;&lt;D xsi:type="xsd:double"&gt;-150.5&lt;/D&gt;&lt;D xsi:type="xsd:double"&gt;-218.449&lt;/D&gt;&lt;/FQL&gt;&lt;FQL&gt;&lt;Q&gt;COGT-US^FE_TIMESERIES(RD_EXP,MEAN,2026,2027,FY,'BKRACTMED=1,WIN=0,UNITS=AUTO,DATE=NOW')&lt;/Q&gt;&lt;R&gt;2&lt;/R&gt;&lt;C&gt;1&lt;/C&gt;&lt;D xsi:type="xsd:double"&gt;251.1771&lt;/D&gt;&lt;D xsi:type="xsd:double"&gt;246.88667&lt;/D&gt;&lt;/FQL&gt;&lt;FQL&gt;&lt;Q&gt;COGT-US^FE_TIMESERIES(RD_EXP,MEAN,2026/1F,2026/4F,FQ,'BKRACTMED=1,WIN=0,UNITS=AUTO,DATE=NOW')&lt;/Q&gt;&lt;R&gt;4&lt;/R&gt;&lt;C&gt;1&lt;/C&gt;&lt;D xsi:type="xsd:double"&gt;64.1354&lt;/D&gt;&lt;D xsi:type="xsd:double"&gt;65.0478&lt;/D&gt;&lt;D xsi:type="xsd:double"&gt;65.9988&lt;/D&gt;&lt;D xsi:type="xsd:double"&gt;66.8956&lt;/D&gt;&lt;/FQL&gt;&lt;FQL&gt;&lt;Q&gt;COGT-US^FE_TIMESERIES(RD_EXP,MEAN,2025,2025,FY,'BKRACTMED=1,WIN=0,UNITS=AUTO,DATE=NOW')&lt;/Q&gt;&lt;R&gt;1&lt;/R&gt;&lt;C&gt;1&lt;/C&gt;&lt;D xsi:type="xsd:double"&gt;251.2682&lt;/D&gt;&lt;/FQL&gt;&lt;FQL&gt;&lt;Q&gt;COGT-US^FE_TIMESERIES(RD_EXP,MEAN,2025/1F,2025/4F,FQ,'BKRACTMED=1,WIN=0,UNITS=AUTO,DATE=NOW')&lt;/Q&gt;&lt;R&gt;4&lt;/R&gt;&lt;C&gt;1&lt;/C&gt;&lt;D xsi:type="xsd:double"&gt;63.0145&lt;/D&gt;&lt;D xsi:type="xsd:double"&gt;62.2015&lt;/D&gt;&lt;D xsi:type="xsd:double"&gt;62.9687&lt;/D&gt;&lt;D xsi:type="xsd:double"&gt;63.0806&lt;/D&gt;&lt;/FQL&gt;&lt;FQL&gt;&lt;Q&gt;COGT-US^FE_TIMESERIES(RD_EXP,MEAN,2023,2024,FY,'BKRACTMED=1,WIN=0,UNITS=AUTO,DATE=NOW')&lt;/Q&gt;&lt;R&gt;2&lt;/R&gt;&lt;C&gt;1&lt;/C&gt;&lt;D xsi:type="xsd:double"&gt;173.7775&lt;/D&gt;&lt;D xsi:type="xsd:double"&gt;232.679&lt;/D&gt;&lt;/FQL&gt;&lt;FQL&gt;&lt;Q&gt;COGT-US^FE_TIMESERIES(G_A_EXP,MEAN,2026,2027,FY,'BKRACTMED=1,WIN=0,UNITS=AUTO,DATE=NOW')&lt;/Q&gt;&lt;R&gt;2&lt;/R&gt;&lt;C&gt;1&lt;/C&gt;&lt;D xsi:type="xsd:double"&gt;104.109&lt;/D&gt;&lt;D xsi:type="xsd:string"&gt;@NA&lt;/D&gt;&lt;/FQL&gt;&lt;FQL&gt;&lt;Q&gt;COGT-US^FE_TIMESERIES(G_A_EXP,MEAN,2026/1F,2026/4F,FQ,'BKRACTMED=1,WIN=0,UNITS=AUTO,DATE=NOW')&lt;/Q&gt;&lt;R&gt;4&lt;/R&gt;&lt;C&gt;1&lt;/C&gt;&lt;D xsi:type="xsd:double"&gt;20.801&lt;/D&gt;&lt;D xsi:type="xsd:double"&gt;24.545&lt;/D&gt;&lt;D xsi:type="xsd:double"&gt;27.982&lt;/D&gt;&lt;D xsi:type="xsd:double"&gt;30.78&lt;/D&gt;&lt;/FQL&gt;&lt;FQL&gt;&lt;Q&gt;COGT-US^FE_TIMESERIES(G_A_EXP,MEAN,2025,2025,FY,'BKRACTMED=1,WIN=0,UNITS=AUTO,DATE=NOW')&lt;/Q&gt;&lt;R&gt;1&lt;/R&gt;&lt;C&gt;1&lt;/C&gt;&lt;D xsi:type="xsd:double"&gt;56.783&lt;/D&gt;&lt;/FQL&gt;&lt;FQL&gt;&lt;Q&gt;COGT-US^FE_TIMESERIES(G_A_EXP,MEAN,2025/1F,2025/4F,FQ,'BKRACTMED=1,WIN=0,UNITS=AUTO,DATE=NOW')&lt;/Q&gt;&lt;R&gt;4&lt;/R&gt;&lt;C&gt;1&lt;/C&gt;&lt;D xsi:type="xsd:double"&gt;11.904&lt;/D&gt;&lt;D xsi:type="xsd:double"&gt;13.379&lt;/D&gt;&lt;D xsi:type="xsd:double"&gt;14.449&lt;/D&gt;&lt;D xsi:type="xsd:double"&gt;17.05&lt;/D&gt;&lt;/FQL&gt;&lt;FQL&gt;&lt;Q&gt;COGT-US^FE_TIMESERIES(G_A_EXP,MEAN,2023,2024,FY,'BKRACTMED=1,WIN=0,UNITS=AUTO,DATE=NOW')&lt;/Q&gt;&lt;R&gt;2&lt;/R&gt;&lt;C&gt;1&lt;/C&gt;&lt;D xsi:type="xsd:double"&gt;34.375&lt;/D&gt;&lt;D xsi:type="xsd:double"&gt;43.281&lt;/D&gt;&lt;/FQL&gt;&lt;FQL&gt;&lt;Q&gt;COGT-US^FE_TIMESERIES(SGA,MEAN,2026,2027,FY,'BKRACTMED=1,WIN=0,UNITS=AUTO,DATE=NOW')&lt;/Q&gt;&lt;R&gt;2&lt;/R&gt;&lt;C&gt;1&lt;/C&gt;&lt;D xsi:type="xsd:double"&gt;82.8621&lt;/D&gt;&lt;D xsi:type="xsd:double"&gt;115.3105&lt;/D&gt;&lt;/FQL&gt;&lt;FQL&gt;&lt;Q&gt;COGT-US^FE_TIMESERIES(SGA,MEAN,2026/1F,2026/4F,FQ,'BKRACTMED=1,WIN=0,UNITS=AUTO,DATE=NOW')&lt;/Q&gt;&lt;R&gt;4&lt;/R&gt;&lt;C&gt;1&lt;/C&gt;&lt;D xsi:type="xsd:double"&gt;15.795&lt;/D&gt;&lt;D xsi:type="xsd:double"&gt;17.1045&lt;/D&gt;&lt;D xsi:type="xsd:double"&gt;18.6675&lt;/D&gt;&lt;D xsi:type="xsd:double"&gt;20.21125&lt;/D&gt;&lt;/FQL&gt;&lt;FQL&gt;&lt;Q&gt;COGT-US^FE_TIMESERIES(SGA,MEAN,2025,2025,FY,'BKRACTMED=1,WIN=0,UNITS=AUTO,DATE=NOW')&lt;/Q&gt;&lt;R&gt;1&lt;/R&gt;&lt;C&gt;1&lt;/C&gt;&lt;D xsi:type="xsd:double"&gt;54.2988&lt;/D&gt;&lt;/FQL&gt;&lt;FQL&gt;&lt;Q&gt;COGT-US^FE_TIMESERIES(SGA,MEAN,2025/1F,2025/4F,FQ,'BKRACTMED=1,WIN=0,UNITS=AUTO,DATE=NOW')&lt;/Q&gt;&lt;R&gt;4&lt;/R&gt;&lt;C&gt;1&lt;/C&gt;&lt;D xsi:type="xsd:double"&gt;11.902&lt;/D&gt;&lt;D xsi:type="xsd:double"&gt;13.3795&lt;/D&gt;&lt;D xsi:type="xsd:double"&gt;14.1348&lt;/D&gt;&lt;D xsi:type="xsd:double"&gt;14.9021&lt;/D&gt;&lt;/FQL&gt;&lt;FQL&gt;&lt;Q&gt;COGT-US^FE_TIMESERIES(SGA,MEAN,2023,2024,FY,'BKRACTMED=1,WIN=0,UNITS=AUTO,DATE=NOW')&lt;/Q&gt;&lt;R&gt;2&lt;/R&gt;&lt;C&gt;1&lt;/C&gt;&lt;D xsi:type="xsd:double"&gt;34.3875&lt;/D&gt;&lt;D xsi:type="xsd:double"&gt;43.2905&lt;/D&gt;&lt;/FQL&gt;&lt;FQL&gt;&lt;Q&gt;COGT-US^FE_TIMESERIES(GROSSINCOME,MEAN,2026,2027,FY,'BKRACTMED=1,WIN=0,UNITS=AUTO,DATE=NOW')&lt;/Q&gt;&lt;R&gt;2&lt;/R&gt;&lt;C&gt;1&lt;/C&gt;&lt;D xsi:type="xsd:double"&gt;24.96&lt;/D&gt;&lt;D xsi:type="xsd:double"&gt;150.3075&lt;/D&gt;&lt;/FQL&gt;&lt;FQL&gt;&lt;Q&gt;COGT-US^FE_TIMESERIES(GROSSINCOME,MEAN,2026/1F,2026/4F,FQ,'BKRACTMED=1,WIN=0,UNITS=AUTO,DATE=NOW')&lt;/Q&gt;&lt;R&gt;4&lt;/R&gt;&lt;C&gt;1&lt;/C&gt;&lt;D xsi:type="xsd:double"&gt;0&lt;/D&gt;&lt;D xsi:type="xsd:double"&gt;0&lt;/D&gt;&lt;D xsi:type="xsd:double"&gt;0&lt;/D&gt;&lt;D xsi:type="xsd:double"&gt;3.54&lt;/D&gt;&lt;/FQL&gt;&lt;FQL&gt;&lt;Q&gt;COGT-US^FE_TIMESERIES(GROSSINCOME,MEAN,2025,2025,FY,'BKRACTMED=1,WIN=0,UNITS=AUTO,DATE=NOW')&lt;/Q&gt;&lt;R&gt;1&lt;/R&gt;&lt;C&gt;1&lt;/C&gt;&lt;D xsi:type="xsd:double"&gt;0&lt;/D&gt;&lt;/FQL&gt;&lt;FQL&gt;&lt;Q&gt;COGT-US^FE_TIMESERIES(GROSSINCOME,MEAN,2025/1F,2025/4F,FQ,'BKRACTMED=1,WIN=0,UNITS=AUTO,DATE=NOW')&lt;/Q&gt;&lt;R&gt;4&lt;/R&gt;&lt;C&gt;1&lt;/C&gt;&lt;D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xsi:type="xsd:double"&gt;0&lt;/D&gt;&lt;/FQL&gt;&lt;FQL&gt;&lt;Q&gt;COGT-US^FE_TIMESERIES(GROSSINCOME,MEAN,2023,2024,FY,'BKRACTMED=1,WIN=0,UNITS=AUTO,DATE=NOW')&lt;/Q&gt;&lt;R&gt;2&lt;/R&gt;&lt;C&gt;1&lt;/C&gt;&lt;D xsi:type="xsd:double"&gt;0&lt;/D&gt;&lt;D xsi:type="xsd:double"&gt;0&lt;/D&gt;&lt;/FQL&gt;&lt;FQL&gt;&lt;Q&gt;COGT-US^FE_TIMESERIES(COS,MEAN,2026,2027,FY,'BKRACTMED=1,WIN=0,UNITS=AUTO,DATE=NOW')&lt;/Q&gt;&lt;R&gt;2&lt;/R&gt;&lt;C&gt;1&lt;/C&gt;&lt;D xsi:type="xsd:double"&gt;4.2904&lt;/D&gt;&lt;D xsi:type="xsd:double"&gt;28.9817&lt;/D&gt;&lt;/FQL&gt;&lt;FQL&gt;&lt;Q&gt;COGT-US^FE_TIMESERIES(COS,MEAN,2026/1F,2026/4F,FQ,'BKRACTMED=1,WIN=0,UNITS=AUTO,DATE=NOW')&lt;/Q&gt;&lt;R&gt;4&lt;/R&gt;&lt;C&gt;1&lt;/C&gt;&lt;D xsi:type="xsd:double"&gt;0&lt;/D&gt;&lt;D xsi:type="xsd:double"&gt;0&lt;/D&gt;&lt;D xsi:type="xsd:double"&gt;0.79&lt;/D&gt;&lt;D xsi:type="xsd:double"&gt;3.4922&lt;/D&gt;&lt;/FQL&gt;&lt;FQL&gt;&lt;Q&gt;COGT-US^FE_TIMESERIES(COS,MEAN,2025,2025,FY,'BKRACTMED=1,WIN=0,UNITS=AUTO,DATE=NOW')&lt;/Q&gt;&lt;R&gt;1&lt;/R&gt;&lt;C&gt;1&lt;/C&gt;&lt;D xsi:type="xsd:double"&gt;0&lt;/D&gt;&lt;/FQL&gt;&lt;FQL&gt;&lt;Q&gt;COGT-US^FE_TIMESERIES(COS,MEAN,2025/1F,2025/4F,FQ,'BKRACTMED=1,WIN=0,UNITS=AUTO,DATE=NOW')&lt;/Q&gt;&lt;R&gt;4&lt;/R&gt;&lt;C&gt;1&lt;/C&gt;&lt;D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xsi:type="xsd:double"&gt;0&lt;/D&gt;&lt;/FQL&gt;&lt;FQL&gt;&lt;Q&gt;COGT-US^FE_TIMESERIES(COS,MEAN,2023,2024,FY,'BKRACTMED=1,WIN=0,UNITS=AUTO,DATE=NOW')&lt;/Q&gt;&lt;R&gt;2&lt;/R&gt;&lt;C&gt;1&lt;/C&gt;&lt;D xsi:type="xsd:double"&gt;0&lt;/D&gt;&lt;D xsi:type="xsd:double"&gt;0&lt;/D&gt;&lt;/FQL&gt;&lt;FQL&gt;&lt;Q&gt;COGT-US^FE_TIMESERIES(SALES,MEAN,2026,2027,FY,'BKRACTMED=1,WIN=0,UNITS=AUTO,DATE=NOW')&lt;/Q&gt;&lt;R&gt;2&lt;/R&gt;&lt;C&gt;1&lt;/C&gt;&lt;D xsi:type="xsd:double"&gt;35.732456&lt;/D&gt;&lt;D xsi:type="xsd:double"&gt;212.11472&lt;/D&gt;&lt;/FQL&gt;&lt;FQL&gt;&lt;Q&gt;COGT-US^FE_TIMESERIES(SALES,MEAN,2026/1F,2026/4F,FQ,'BKRACTMED=1,WIN=0,UNITS=AUTO,DATE=NOW')&lt;/Q&gt;&lt;R&gt;4&lt;/R&gt;&lt;C&gt;1&lt;/C&gt;&lt;D xsi:type="xsd:double"&gt;0&lt;/D&gt;&lt;D xsi:type="xsd:double"&gt;0&lt;/D&gt;&lt;D xsi:type="xsd:double"&gt;5.492&lt;/D&gt;&lt;D xsi:type="xsd:double"&gt;19.126715&lt;/D&gt;&lt;/FQL&gt;&lt;FQL&gt;&lt;Q&gt;COGT-US^FE_TIMESERIES(SALES,MEAN,2025,2025,FY,'BKRACTMED=1,WIN=0,UNITS=AUTO,DATE=NOW')&lt;/Q&gt;&lt;R&gt;1&lt;/R&gt;&lt;C&gt;1&lt;/C&gt;&lt;D xsi:type="xsd:double"&gt;0&lt;/D&gt;&lt;/FQL&gt;&lt;FQL&gt;&lt;Q&gt;COGT-US^FE_TIMESERIES(SALES,MEAN,2025/1F,2025/4F,FQ,'BKRACTMED=1,WIN=0,UNITS=AUTO,DATE=NOW')&lt;/Q&gt;&lt;R&gt;4&lt;/R&gt;&lt;C&gt;1&lt;/C&gt;&lt;D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xsi:type="xsd:double"&gt;0&lt;/D&gt;&lt;/FQL&gt;&lt;FQL&gt;&lt;Q&gt;COGT-US^FE_TIMESERIES(SALES,MEAN,2023,2024,FY,'BKRACTMED=1,WIN=0,UNITS=AUTO,DATE=NOW')&lt;/Q&gt;&lt;R&gt;2&lt;/R&gt;&lt;C&gt;1&lt;/C&gt;&lt;D xsi:type="xsd:double"&gt;0&lt;/D&gt;&lt;D xsi:type="xsd:double"&gt;0&lt;/D&gt;&lt;/FQL&gt;&lt;FQL&gt;&lt;Q&gt;COGT-US^FE_TIMESERIES_PERIOD(,2026,2027,FY,'')&lt;/Q&gt;&lt;R&gt;2&lt;/R&gt;&lt;C&gt;1&lt;/C&gt;&lt;D xsi:type="xsd:string"&gt;2026&lt;/D&gt;&lt;D xsi:type="xsd:string"&gt;2027&lt;/D&gt;&lt;/FQL&gt;&lt;FQL&gt;&lt;Q&gt;COGT-US^FE_TIMESERIES(CUSTOM_EPS,MEAN,2026/1F,2026/4F,FQ,'BKRACTMED=1,WIN=0,UNITS=AUTO,DATE=NOW')&lt;/Q&gt;&lt;R&gt;4&lt;/R&gt;&lt;C&gt;1&lt;/C&gt;&lt;D xsi:type="xsd:double"&gt;-0.47666666&lt;/D&gt;&lt;D xsi:type="xsd:double"&gt;-0.47&lt;/D&gt;&lt;D xsi:type="xsd:double"&gt;-0.47333333&lt;/D&gt;&lt;D xsi:type="xsd:double"&gt;-0.39333335&lt;/D&gt;&lt;/FQL&gt;&lt;FQL&gt;&lt;Q&gt;COGT-US^FE_TIMESERIES(EAG,MEAN,2025,2025,FY,'BKRACTMED=1,WIN=0,UNITS=AUTO,DATE=NOW')&lt;/Q&gt;&lt;R&gt;1&lt;/R&gt;&lt;C&gt;1&lt;/C&gt;&lt;D xsi:type="xsd:double"&gt;-2.2642858&lt;/D&gt;&lt;/FQL&gt;&lt;FQL&gt;&lt;Q&gt;COGT-US^FE_TIMESERIES(EAG,MEAN,2025/1F,2025/4F,FQ,'BKRACTMED=1,WIN=0,UNITS=AUTO,DATE=NOW')&lt;/Q&gt;&lt;R&gt;4&lt;/R&gt;&lt;C&gt;1&lt;/C&gt;&lt;D xsi:type="xsd:double"&gt;-0.64&lt;/D&gt;&lt;D xsi:type="xsd:double"&gt;-0.64&lt;/D&gt;&lt;D xsi:type="xsd:double"&gt;-0.532&lt;/D&gt;&lt;D xsi:type="xsd:double"&gt;-0.506&lt;/D&gt;&lt;/FQL&gt;&lt;FQL&gt;&lt;Q&gt;COGT-US^FE_TIMESERIES_PERIOD(,2025,2025,FY,'')&lt;/Q&gt;&lt;R&gt;1&lt;/R&gt;&lt;C&gt;1&lt;/C&gt;&lt;D xsi:type="xsd:string"&gt;2025&lt;/D&gt;&lt;/FQL&gt;&lt;FQL&gt;&lt;Q&gt;COGT-US^FE_TIMESERIES_PERIOD(,2025/1F,2025/4F,FQ,'')&lt;/Q&gt;&lt;R&gt;4&lt;/R&gt;&lt;C&gt;1&lt;/C&gt;&lt;D xsi:type="xsd:string"&gt;2025/1F&lt;/D&gt;&lt;D xsi:type="xsd:string"&gt;2025/2F&lt;/D&gt;&lt;D xsi:type="xsd:string"&gt;2025/3F&lt;/D&gt;&lt;D xsi:type="xsd:string"&gt;2025/4F&lt;/D&gt;&lt;/FQL&gt;&lt;FQL&gt;&lt;Q&gt;COGT-US^FE_TIMESERIES_PERIOD(,2023,2024,FY,'')&lt;/Q&gt;&lt;R&gt;2&lt;/R&gt;&lt;C&gt;1&lt;/C&gt;&lt;D xsi:type="xsd:string"&gt;2023&lt;/D&gt;&lt;D xsi:type="xsd:string"&gt;2024&lt;/D&gt;&lt;/FQL&gt;&lt;FQL&gt;&lt;Q&gt;COGT-US^FE_TIMESERIES(EPS,MEAN,2025,2025,FY,'BKRACTMED=1,WIN=0,UNITS=AUTO,DATE=NOW')&lt;/Q&gt;&lt;R&gt;1&lt;/R&gt;&lt;C&gt;1&lt;/C&gt;&lt;D xsi:type="xsd:double"&gt;-2.1972&lt;/D&gt;&lt;/FQL&gt;&lt;FQL&gt;&lt;Q&gt;COGT-US^FE_TIMESERIES(EPS,MEAN,2025/1F,2025/4F,FQ,'BKRACTMED=1,WIN=0,UNITS=AUTO,DATE=NOW')&lt;/Q&gt;&lt;R&gt;4&lt;/R&gt;&lt;C&gt;1&lt;/C&gt;&lt;D xsi:type="xsd:double"&gt;-0.635313&lt;/D&gt;&lt;D xsi:type="xsd:double"&gt;-0.55&lt;/D&gt;&lt;D xsi:type="xsd:double"&gt;-0.525625&lt;/D&gt;&lt;D xsi:type="xsd:double"&gt;-0.505575&lt;/D&gt;&lt;/FQL&gt;&lt;FQL&gt;&lt;Q&gt;COGT-US^PROPER(CONVERT_DATE(FE_TIMESERIES_PERIOD(,2026,2027,FY,'DISPLAY=YYYYMMDD'),"MMM 'YY"))&lt;/Q&gt;&lt;R&gt;2&lt;/R&gt;&lt;C&gt;1&lt;/C&gt;&lt;D xsi:type="xsd:string"&gt;Dec '26&lt;/D&gt;&lt;D xsi:type="xsd:string"&gt;Dec '27&lt;/D&gt;&lt;/FQL&gt;&lt;FQL&gt;&lt;Q&gt;COGT-US^FE_TIMESERIES(CUSTOM_EPS,MEAN,2026,2026,FY,'BKRACTMED=1,WIN=0,UNITS=AUTO,DATE=NOW')&lt;/Q&gt;&lt;R&gt;1&lt;/R&gt;&lt;C&gt;1&lt;/C&gt;&lt;D xsi:type="xsd:double"&gt;-1.7198318&lt;/D&gt;&lt;/FQL&gt;&lt;FQL&gt;&lt;Q&gt;COGT-US^PROPER(CONVERT_DATE(FE_TIMESERIES_PERIOD(,2025,2025,FY,'DISPLAY=YYYYMMDD'),"MMM 'YY"))&lt;/Q&gt;&lt;R&gt;1&lt;/R&gt;&lt;C&gt;1&lt;/C&gt;&lt;D xsi:type="xsd:string"&gt;Dec '25&lt;/D&gt;&lt;/FQL&gt;&lt;FQL&gt;&lt;Q&gt;COGT-US^PROPER(CONVERT_DATE(FE_TIMESERIES_PERIOD(,2025/1F,2025/4F,FQ,'DISPLAY=YYYYMMDD'),"MMM 'YY"))&lt;/Q&gt;&lt;R&gt;4&lt;/R&gt;&lt;C&gt;1&lt;/C&gt;&lt;D xsi:type="xsd:string"&gt;Mar '25&lt;/D&gt;&lt;D xsi:type="xsd:string"&gt;Jun '25&lt;/D&gt;&lt;D xsi:type="xsd:string"&gt;Sep '25&lt;/D&gt;&lt;D xsi:type="xsd:string"&gt;Dec '25&lt;/D&gt;&lt;/FQL&gt;&lt;FQL&gt;&lt;Q&gt;COGT-US^PROPER(CONVERT_DATE(FE_TIMESERIES_PERIOD(,2023,2024,FY,'DISPLAY=YYYYMMDD'),"MMM 'YY"))&lt;/Q&gt;&lt;R&gt;2&lt;/R&gt;&lt;C&gt;1&lt;/C&gt;&lt;D xsi:type="xsd:string"&gt;Dec '23&lt;/D&gt;&lt;D xsi:type="xsd:string"&gt;Dec '24&lt;/D&gt;&lt;/FQL&gt;&lt;FQL&gt;&lt;Q&gt;COGT-US^FE_TIMESERIES(BFNG,MEAN,2021,2026,FY,'BKRACTMED=1,WIN=0,UNITS=AUTO,DATE=NOW')&lt;/Q&gt;&lt;R&gt;6&lt;/R&gt;&lt;C&gt;1&lt;/C&gt;&lt;D xsi:type="xsd:double"&gt;-72.273&lt;/D&gt;&lt;D xsi:type="xsd:double"&gt;-140.241&lt;/D&gt;&lt;D xsi:type="xsd:double"&gt;-192.41&lt;/D&gt;&lt;D xsi:type="xsd:double"&gt;-255.859&lt;/D&gt;&lt;D xsi:type="xsd:double"&gt;-294.13574&lt;/D&gt;&lt;D xsi:type="xsd:double"&gt;-263.12216&lt;/D&gt;&lt;/FQL&gt;&lt;FQL&gt;&lt;Q&gt;COGT-US^FE_TIMESERIES(NETBG,MEAN,2021,2026,FY,'BKRACTMED=1,WIN=0,UNITS=AUTO,DATE=NOW')&lt;/Q&gt;&lt;R&gt;6&lt;/R&gt;&lt;C&gt;1&lt;/C&gt;&lt;D xsi:type="xsd:string"&gt;@NA&lt;/D&gt;&lt;D xsi:type="xsd:string"&gt;@NA&lt;/D&gt;&lt;D xsi:type="xsd:double"&gt;-192.41&lt;/D&gt;&lt;D xsi:type="xsd:double"&gt;-255.859&lt;/D&gt;&lt;D xsi:type="xsd:double"&gt;-270.75925&lt;/D&gt;&lt;D xsi:type="xsd:double"&gt;-284.41675&lt;/D&gt;&lt;/FQL&gt;&lt;FQL&gt;&lt;Q&gt;COGT-US^FE_TIMESERIES(NETPROFIT,MEAN,2021,2026,FY,'BKRACTMED=1,WIN=0,UNITS=AUTO,DATE=NOW')&lt;/Q&gt;&lt;R&gt;6&lt;/R&gt;&lt;C&gt;1&lt;/C&gt;&lt;D xsi:type="xsd:double"&gt;-72.273&lt;/D&gt;&lt;D xsi:type="xsd:double"&gt;-140.241&lt;/D&gt;&lt;D xsi:type="xsd:double"&gt;-192.41&lt;/D&gt;&lt;D xsi:type="xsd:double"&gt;-255.859&lt;/D&gt;&lt;D xsi:type="xsd:double"&gt;-293.2236&lt;/D&gt;&lt;D xsi:type="xsd:double"&gt;-282.1738&lt;/D&gt;&lt;/FQL&gt;&lt;FQL&gt;&lt;Q&gt;COGT-US^FE_TIMESERIES(TAX_EXPENSE,MEAN,2021,2026,FY,'BKRACTMED=1,WIN=0,UNITS=AUTO,DATE=NOW')&lt;/Q&gt;&lt;R&gt;6&lt;/R&gt;&lt;C&gt;1&lt;/C&gt;&lt;D xsi:type="xsd:double"&gt;0&lt;/D&gt;&lt;D xsi:type="xsd:double"&gt;0&lt;/D&gt;&lt;D xsi:type="xsd:double"&gt;0&lt;/D&gt;&lt;D xsi:type="xsd:double"&gt;0&lt;/D&gt;&lt;D xsi:type="xsd:double"&gt;0&lt;/D&gt;&lt;D xsi:type="xsd:double"&gt;0&lt;/D&gt;&lt;/FQL&gt;&lt;FQL&gt;&lt;Q&gt;COGT-US^FE_TIMESERIES(PTPA,MEAN,2021,2026,FY,'BKRACTMED=1,WIN=0,UNITS=AUTO,DATE=NOW')&lt;/Q&gt;&lt;R&gt;6&lt;/R&gt;&lt;C&gt;1&lt;/C&gt;&lt;D xsi:type="xsd:string"&gt;@NA&lt;/D&gt;&lt;D xsi:type="xsd:string"&gt;@NA&lt;/D&gt;&lt;D xsi:type="xsd:double"&gt;-192.41&lt;/D&gt;&lt;D xsi:type="xsd:double"&gt;-255.859&lt;/D&gt;&lt;D xsi:type="xsd:double"&gt;-241&lt;/D&gt;&lt;D xsi:type="xsd:double"&gt;-255&lt;/D&gt;&lt;/FQL&gt;&lt;FQL&gt;&lt;Q&gt;COGT-US^FE_TIMESERIES(PTP,MEAN,2021,2026,FY,'BKRACTMED=1,WIN=0,UNITS=AUTO,DATE=NOW')&lt;/Q&gt;&lt;R&gt;6&lt;/R&gt;&lt;C&gt;1&lt;/C&gt;&lt;D xsi:type="xsd:double"&gt;-72.273&lt;/D&gt;&lt;D xsi:type="xsd:double"&gt;-140.241&lt;/D&gt;&lt;D xsi:type="xsd:double"&gt;-192.41&lt;/D&gt;&lt;D xsi:type="xsd:double"&gt;-255.859&lt;/D&gt;&lt;D xsi:type="xsd:double"&gt;-294.35718&lt;/D&gt;&lt;D xsi:type="xsd:double"&gt;-282.1744&lt;/D&gt;&lt;/FQL&gt;&lt;FQL&gt;&lt;Q&gt;COGT-US^FE_TIMESERIES(INTEXP,MEAN,2021,2026,FY,'BKRACTMED=1,WIN=0,UNITS=AUTO,DATE=NOW')&lt;/Q&gt;&lt;R&gt;6&lt;/R&gt;&lt;C&gt;1&lt;/C&gt;&lt;D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xsi:type="xsd:double"&gt;3.426&lt;/D&gt;&lt;D xsi:type="xsd:double"&gt;9.525&lt;/D&gt;&lt;/FQL&gt;&lt;FQL&gt;&lt;Q&gt;COGT-US^FE_TIMESERIES(EBIT_ADJ,MEAN,2021,2026,FY,'BKRACTMED=1,WIN=0,UNITS=AUTO,DATE=NOW')&lt;/Q&gt;&lt;R&gt;6&lt;/R&gt;&lt;C&gt;1&lt;/C&gt;&lt;D xsi:type="xsd:string"&gt;@NA&lt;/D&gt;&lt;D xsi:type="xsd:string"&gt;@NA&lt;/D&gt;&lt;D xsi:type="xsd:double"&gt;-192.41&lt;/D&gt;&lt;D xsi:type="xsd:double"&gt;-255.859&lt;/D&gt;&lt;D xsi:type="xsd:double"&gt;-291&lt;/D&gt;&lt;D xsi:type="xsd:double"&gt;-309&lt;/D&gt;&lt;/FQL&gt;&lt;FQL&gt;&lt;Q&gt;COGT-US^FE_TIMESERIES(EBIT,MEAN,2021,2026,FY,'BKRACTMED=1,WIN=0,UNITS=AUTO,DATE=NOW')&lt;/Q&gt;&lt;R&gt;6&lt;/R&gt;&lt;C&gt;1&lt;/C&gt;&lt;D xsi:type="xsd:double"&gt;-75.55&lt;/D&gt;&lt;D xsi:type="xsd:double"&gt;-147.839&lt;/D&gt;&lt;D xsi:type="xsd:double"&gt;-208.115&lt;/D&gt;&lt;D xsi:type="xsd:double"&gt;-275.9195&lt;/D&gt;&lt;D xsi:type="xsd:double"&gt;-304.77942&lt;/D&gt;&lt;D xsi:type="xsd:double"&gt;-295.09076&lt;/D&gt;&lt;/FQL&gt;&lt;FQL&gt;&lt;Q&gt;COGT-US^FE_TIMESERIES(DEPR_AMORT,MEAN,2021,2026,FY,'BKRACTMED=1,WIN=0,UNITS=AUTO,DATE=NOW')&lt;/Q&gt;&lt;R&gt;6&lt;/R&gt;&lt;C&gt;1&lt;/C&gt;&lt;D xsi:type="xsd:string"&gt;@NA&lt;/D&gt;&lt;D xsi:type="xsd:double"&gt;0.8&lt;/D&gt;&lt;D xsi:type="xsd:double"&gt;2.3&lt;/D&gt;&lt;D xsi:type="xsd:double"&gt;2.5&lt;/D&gt;&lt;D xsi:type="xsd:double"&gt;2.48875&lt;/D&gt;&lt;D xsi:type="xsd:double"&gt;2.4384&lt;/D&gt;&lt;/FQL&gt;&lt;FQL&gt;&lt;Q&gt;COGT-US^FE_TIMESERIES(EBITDA_REP,MEAN,2021,2026,FY,'BKRACTMED=1,WIN=0,UNITS=AUTO,DATE=NOW')&lt;/Q&gt;&lt;R&gt;6&lt;/R&gt;&lt;C&gt;1&lt;/C&gt;&lt;D xsi:type="xsd:string"&gt;@NA&lt;/D&gt;&lt;D xsi:type="xsd:string"&gt;@NA&lt;/D&gt;&lt;D xsi:type="xsd:double"&gt;-95.14&lt;/D&gt;&lt;D xsi:type="xsd:double"&gt;-163.409&lt;/D&gt;&lt;D xsi:type="xsd:double"&gt;-203.73915&lt;/D&gt;&lt;D xsi:type="xsd:double"&gt;-221.82062&lt;/D&gt;&lt;/FQL&gt;&lt;FQL&gt;&lt;Q&gt;COGT-US^FE_TIMESERIES(EBITDA,MEAN,2021,2026,FY,'BKRACTMED=1,WIN=0,UNITS=AUTO,DATE=NOW')&lt;/Q&gt;&lt;R&gt;6&lt;/R&gt;&lt;C&gt;1&lt;/C&gt;&lt;D xsi:type="xsd:string"&gt;@NA&lt;/D&gt;&lt;D xsi:type="xsd:string"&gt;@NA&lt;/D&gt;&lt;D xsi:type="xsd:double"&gt;-150.5&lt;/D&gt;&lt;D xsi:type="xsd:double"&gt;-218.449&lt;/D&gt;&lt;D xsi:type="xsd:double"&gt;-255.63&lt;/D&gt;&lt;D xsi:type="xsd:double"&gt;-272.635&lt;/D&gt;&lt;/FQL&gt;&lt;FQL&gt;&lt;Q&gt;COGT-US^FE_TIMESERIES(RD_EXP,MEAN,2021,2026,FY,'BKRACTMED=1,WIN=0,UNITS=AUTO,DATE=NOW')&lt;/Q&gt;&lt;R&gt;6&lt;/R&gt;&lt;C&gt;1&lt;/C&gt;&lt;D xsi:type="xsd:double"&gt;55.913&lt;/D&gt;&lt;D xsi:type="xsd:double"&gt;121.627&lt;/D&gt;&lt;D xsi:type="xsd:double"&gt;173.7775&lt;/D&gt;&lt;D xsi:type="xsd:double"&gt;232.679&lt;/D&gt;&lt;D xsi:type="xsd:double"&gt;251.2682&lt;/D&gt;&lt;D xsi:type="xsd:double"&gt;251.1771&lt;/D&gt;&lt;/FQL&gt;&lt;FQL&gt;&lt;Q&gt;COGT-US^FE_TIMESERIES(G_A_EXP,MEAN,2021,2026,FY,'BKRACTMED=1,WIN=0,UNITS=AUTO,DATE=NOW')&lt;/Q&gt;&lt;R&gt;6&lt;/R&gt;&lt;C&gt;1&lt;/C&gt;&lt;D xsi:type="xsd:double"&gt;19.64&lt;/D&gt;&lt;D xsi:type="xsd:double"&gt;26.212&lt;/D&gt;&lt;D xsi:type="xsd:double"&gt;34.375&lt;/D&gt;&lt;D xsi:type="xsd:double"&gt;43.281&lt;/D&gt;&lt;D xsi:type="xsd:double"&gt;56.783&lt;/D&gt;&lt;D xsi:type="xsd:double"&gt;104.109&lt;/D&gt;&lt;/FQL&gt;&lt;FQL&gt;&lt;Q&gt;COGT-US^FE_TIMESERIES(S_M_EXP,MEAN,2021,2026,FY,'BKRACTMED=1,WIN=0,UNITS=AUTO,DATE=NOW')&lt;/Q&gt;&lt;R&gt;6&lt;/R&gt;&lt;C&gt;1&lt;/C&gt;&lt;D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xsi:type="xsd:string"&gt;@NA&lt;/D&gt;&lt;/FQL&gt;&lt;FQL&gt;&lt;Q&gt;COGT-US^FE_TIMESERIES(SALES,MEAN,2019,2020,FY,'BKRACTMED=1,WIN=0,UNITS=AUTO,DATE=NOW')&lt;/Q&gt;&lt;R&gt;2&lt;/R&gt;&lt;C&gt;1&lt;/C&gt;&lt;D xsi:type="xsd:double"&gt;22.499&lt;/D&gt;&lt;D xsi:type="xsd:double"&gt;7.871&lt;/D&gt;&lt;/FQL&gt;&lt;FQL&gt;&lt;Q&gt;COGT-US^FE_TIMESERIES(SGA,MEAN,2021,2026,FY,'BKRACTMED=1,WIN=0,UNITS=AUTO,DATE=NOW')&lt;/Q&gt;&lt;R&gt;6&lt;/R&gt;&lt;C&gt;1&lt;/C&gt;&lt;D xsi:type="xsd:double"&gt;19.637&lt;/D&gt;&lt;D xsi:type="xsd:double"&gt;26.212&lt;/D&gt;&lt;D xsi:type="xsd:double"&gt;34.3875&lt;/D&gt;&lt;D xsi:type="xsd:double"&gt;43.2905&lt;/D&gt;&lt;D xsi:type="xsd:double"&gt;54.2988&lt;/D&gt;&lt;D xsi:type="xsd:double"&gt;82.8621&lt;/D&gt;&lt;/FQL&gt;&lt;FQL&gt;&lt;Q&gt;COGT-US^FE_TIMESERIES(GROSSINCOME,MEAN,2021,2026,FY,'BKRACTMED=1,WIN=0,UNITS=AUTO,DATE=NOW')&lt;/Q&gt;&lt;R&gt;6&lt;/R&gt;&lt;C&gt;1&lt;/C&gt;&lt;D xsi:type="xsd:string"&gt;@NA&lt;/D&gt;&lt;D xsi:type="xsd:double"&gt;0&lt;/D&gt;&lt;D xsi:type="xsd:double"&gt;0&lt;/D&gt;&lt;D xsi:type="xsd:double"&gt;0&lt;/D&gt;&lt;D xsi:type="xsd:double"&gt;0&lt;/D&gt;&lt;D xsi:type="xsd:double"&gt;24.96&lt;/D&gt;&lt;/FQL&gt;&lt;FQL&gt;&lt;Q&gt;COGT-US^FE_TIMESERIES(COS,MEAN,2021,2026,FY,'BKRACTMED=1,WIN=0,UNITS=AUTO,DATE=NOW')&lt;/Q&gt;&lt;R&gt;6&lt;/R&gt;&lt;C&gt;1&lt;/C&gt;&lt;D xsi:type="xsd:double"&gt;0&lt;/D&gt;&lt;D xsi:type="xsd:double"&gt;0&lt;/D&gt;&lt;D xsi:type="xsd:double"&gt;0&lt;/D&gt;&lt;D xsi:type="xsd:double"&gt;0&lt;/D&gt;&lt;D xsi:type="xsd:double"&gt;0&lt;/D&gt;&lt;D xsi:type="xsd:double"&gt;4.2904&lt;/D&gt;&lt;/FQL&gt;&lt;FQL&gt;&lt;Q&gt;COGT-US^FE_TIMESERIES(SALES,MEAN,2021,2026,FY,'BKRACTMED=1,WIN=0,UNITS=AUTO,DATE=NOW')&lt;/Q&gt;&lt;R&gt;6&lt;/R&gt;&lt;C&gt;1&lt;/C&gt;&lt;D xsi:type="xsd:double"&gt;0&lt;/D&gt;&lt;D xsi:type="xsd:double"&gt;0&lt;/D&gt;&lt;D xsi:type="xsd:double"&gt;0&lt;/D&gt;&lt;D xsi:type="xsd:double"&gt;0&lt;/D&gt;&lt;D xsi:type="xsd:double"&gt;0&lt;/D&gt;&lt;D xsi:type="xsd:double"&gt;35.732456&lt;/D&gt;&lt;/FQL&gt;&lt;FQL&gt;&lt;Q&gt;COGT-US^PROPER(CONVERT_DATE(FE_TIMESERIES_PERIOD(,2021,2026,FY,'DISPLAY=YYYYMMDD'),"MMM 'YY"))&lt;/Q&gt;&lt;R&gt;6&lt;/R&gt;&lt;C&gt;1&lt;/C&gt;&lt;D xsi:type="xsd:string"&gt;Dec '21&lt;/D&gt;&lt;D xsi:type="xsd:string"&gt;Dec '22&lt;/D&gt;&lt;D xsi:type="xsd:string"&gt;Dec '23&lt;/D&gt;&lt;D xsi:type="xsd:string"&gt;Dec '24&lt;/D&gt;&lt;D xsi:type="xsd:string"&gt;Dec '25&lt;/D&gt;&lt;D xsi:type="xsd:string"&gt;Dec '26&lt;/D&gt;&lt;/FQL&gt;&lt;FQL&gt;&lt;Q&gt;COGT-US^FE_TIMESERIES(BFNG,MEAN,2024,2024,FY,'BKRACTMED=1,WIN=0,UNITS=AUTO,DATE=NOW')&lt;/Q&gt;&lt;R&gt;1&lt;/R&gt;&lt;C&gt;1&lt;/C&gt;&lt;D xsi:type="xsd:double"&gt;-255.859&lt;/D&gt;&lt;/FQL&gt;&lt;FQL&gt;&lt;Q&gt;COGT-US^FE_TIMESERIES(BFNG,MEAN,2024/1F,2024/4F,FQ,'BKRACTMED=1,WIN=0,UNITS=AUTO,DATE=NOW')&lt;/Q&gt;&lt;R&gt;4&lt;/R&gt;&lt;C&gt;1&lt;/C&gt;&lt;D xsi:type="xsd:double"&gt;-58.348&lt;/D&gt;&lt;D xsi:type="xsd:double"&gt;-58.95&lt;/D&gt;&lt;D xsi:type="xsd:double"&gt;-70.634&lt;/D&gt;&lt;D xsi:type="xsd:double"&gt;-67.9135&lt;/D&gt;&lt;/FQL&gt;&lt;FQL&gt;&lt;Q&gt;COGT-US^FE_TIMESERIES(BFNG,MEAN,2023,2023,FY,'BKRACTMED=1,WIN=0,UNITS=AUTO,DATE=NOW')&lt;/Q&gt;&lt;R&gt;1&lt;/R&gt;&lt;C&gt;1&lt;/C&gt;&lt;D xsi:type="xsd:double"&gt;-192.41&lt;/D&gt;&lt;/FQL&gt;&lt;FQL&gt;&lt;Q&gt;COGT-US^FE_TIMESERIES(BFNG,MEAN,2023/1F,2023/4F,FQ,'BKRACTMED=1,WIN=0,UNITS=AUTO,DATE=NOW')&lt;/Q&gt;&lt;R&gt;4&lt;/R&gt;&lt;C&gt;1&lt;/C&gt;&lt;D xsi:type="xsd:double"&gt;-38.587&lt;/D&gt;&lt;D xsi:type="xsd:double"&gt;-44.076&lt;/D&gt;&lt;D xsi:type="xsd:double"&gt;-55.382&lt;/D&gt;&lt;D xsi:type="xsd:double"&gt;-54.365&lt;/D&gt;&lt;/FQL&gt;&lt;FQL&gt;&lt;Q&gt;COGT-US^FE_TIMESERIES(BFNG,MEAN,2022,2022,FY,'BKRACTMED=1,WIN=0,UNITS=AUTO,DATE=NOW')&lt;/Q&gt;&lt;R&gt;1&lt;/R&gt;&lt;C&gt;1&lt;/C&gt;&lt;D xsi:type="xsd:double"&gt;-140.241&lt;/D&gt;&lt;/FQL&gt;&lt;FQL&gt;&lt;Q&gt;COGT-US^FE_TIMESERIES(BFNG,MEAN,2022/1F,2022/4F,FQ,'BKRACTMED=1,WIN=0,UNITS=AUTO,DATE=NOW')&lt;/Q&gt;&lt;R&gt;4&lt;/R&gt;&lt;C&gt;1&lt;/C&gt;&lt;D xsi:type="xsd:double"&gt;-30.634&lt;/D&gt;&lt;D xsi:type="xsd:double"&gt;-34.927&lt;/D&gt;&lt;D xsi:type="xsd:double"&gt;-35.062&lt;/D&gt;&lt;D xsi:type="xsd:double"&gt;-39.618&lt;/D&gt;&lt;/FQL&gt;&lt;FQL&gt;&lt;Q&gt;COGT-US^FE_TIMESERIES(BFNG,MEAN,2021,2021,FY,'BKRACTMED=1,WIN=0,UNITS=AUTO,DATE=NOW')&lt;/Q&gt;&lt;R&gt;1&lt;/R&gt;&lt;C&gt;1&lt;/C&gt;&lt;D xsi:type="xsd:double"&gt;-72.273&lt;/D&gt;&lt;/FQL&gt;&lt;FQL&gt;&lt;Q&gt;COGT-US^FE_TIMESERIES(BFNG,MEAN,2021/1F,2021/4F,FQ,'BKRACTMED=1,WIN=0,UNITS=AUTO,DATE=NOW')&lt;/Q&gt;&lt;R&gt;4&lt;/R&gt;&lt;C&gt;1&lt;/C&gt;&lt;D xsi:type="xsd:double"&gt;-11.728&lt;/D&gt;&lt;D xsi:type="xsd:double"&gt;-16.549&lt;/D&gt;&lt;D xsi:type="xsd:string"&gt;@NA&lt;/D&gt;&lt;D xsi:type="xsd:double"&gt;-24.912&lt;/D&gt;&lt;/FQL&gt;&lt;FQL&gt;&lt;Q&gt;COGT-US^FE_TIMESERIES(BFNG,MEAN,2019,2020,FY,'BKRACTMED=1,WIN=0,UNITS=AUTO,DATE=NOW')&lt;/Q&gt;&lt;R&gt;2&lt;/R&gt;&lt;C&gt;1&lt;/C&gt;&lt;D xsi:type="xsd:string"&gt;@NA&lt;/D&gt;&lt;D xsi:type="xsd:double"&gt;-127.004&lt;/D&gt;&lt;/FQL&gt;&lt;FQL&gt;&lt;Q&gt;COGT-US^FE_TIMESERIES(NETBG,MEAN,2024,2024,FY,'BKRACTMED=1,WIN=0,UNITS=AUTO,DATE=NOW')&lt;/Q&gt;&lt;R&gt;1&lt;/R&gt;&lt;C&gt;1&lt;/C&gt;&lt;D xsi:type="xsd:double"&gt;-255.859&lt;/D&gt;&lt;/FQL&gt;&lt;FQL&gt;&lt;Q&gt;COGT-US^FE_TIMESERIES(NETBG,MEAN,2024/1F,2024/4F,FQ,'BKRACTMED=1,WIN=0,UNITS=AUTO,DATE=NOW')&lt;/Q&gt;&lt;R&gt;4&lt;/R&gt;&lt;C&gt;1&lt;/C&gt;&lt;D xsi:type="xsd:string"&gt;@NA&lt;/D&gt;&lt;D xsi:type="xsd:string"&gt;@NA&lt;/D&gt;&lt;D xsi:type="xsd:double"&gt;-70.817&lt;/D&gt;&lt;D xsi:type="xsd:double"&gt;-55.657&lt;/D&gt;&lt;/FQL&gt;&lt;FQL&gt;&lt;Q&gt;COGT-US^FE_TIMESERIES(NETBG,MEAN,2023,2023,FY</t>
        </r>
      </text>
    </comment>
    <comment ref="A2" authorId="0" shapeId="0" xr:uid="{6C283B04-423B-4FDD-83E1-481EC4FF2742}">
      <text>
        <r>
          <rPr>
            <b/>
            <sz val="9"/>
            <color indexed="81"/>
            <rFont val="Tahoma"/>
            <charset val="1"/>
          </rPr>
          <t>,'BKRACTMED=1,WIN=0,UNITS=AUTO,DATE=NOW')&lt;/Q&gt;&lt;R&gt;1&lt;/R&gt;&lt;C&gt;1&lt;/C&gt;&lt;D xsi:type="xsd:double"&gt;-192.41&lt;/D&gt;&lt;/FQL&gt;&lt;FQL&gt;&lt;Q&gt;COGT-US^FE_TIMESERIES(NETBG,MEAN,2023/1F,2023/4F,FQ,'BKRACTMED=1,WIN=0,UNITS=AUTO,DATE=NOW')&lt;/Q&gt;&lt;R&gt;4&lt;/R&gt;&lt;C&gt;1&lt;/C&gt;&lt;D xsi:type="xsd:string"&gt;@NA&lt;/D&gt;&lt;D xsi:type="xsd:string"&gt;@NA&lt;/D&gt;&lt;D xsi:type="xsd:double"&gt;-55.191&lt;/D&gt;&lt;D xsi:type="xsd:string"&gt;@NA&lt;/D&gt;&lt;/FQL&gt;&lt;FQL&gt;&lt;Q&gt;COGT-US^FE_TIMESERIES(NETBG,MEAN,2022,2022,FY,'BKRACTMED=1,WIN=0,UNITS=AUTO,DATE=NOW')&lt;/Q&gt;&lt;R&gt;0&lt;/R&gt;&lt;C&gt;0&lt;/C&gt;&lt;/FQL&gt;&lt;FQL&gt;&lt;Q&gt;COGT-US^FE_TIMESERIES(NETB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NETBG,MEAN,2021,2021,FY,'BKRACTMED=1,WIN=0,UNITS=AUTO,DATE=NOW')&lt;/Q&gt;&lt;R&gt;0&lt;/R&gt;&lt;C&gt;0&lt;/C&gt;&lt;/FQL&gt;&lt;FQL&gt;&lt;Q&gt;COGT-US^FE_TIMESERIES(NETB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xsi:type="xsd:string"&gt;@NA&lt;/D&gt;&lt;/FQL&gt;&lt;FQL&gt;&lt;Q&gt;COGT-US^FE_TIMESERIES(NETBG,MEAN,2019,2020,FY,'BKRACTMED=1,WIN=0,UNITS=AUTO,DATE=NOW')&lt;/Q&gt;&lt;R&gt;2&lt;/R&gt;&lt;C&gt;1&lt;/C&gt;&lt;D xsi:type="xsd:string"&gt;@NA&lt;/D&gt;&lt;D xsi:type="xsd:string"&gt;@NA&lt;/D&gt;&lt;/FQL&gt;&lt;FQL&gt;&lt;Q&gt;COGT-US^FE_TIMESERIES(NETPROFIT,MEAN,2024,2024,FY,'BKRACTMED=1,WIN=0,UNITS=AUTO,DATE=NOW')&lt;/Q&gt;&lt;R&gt;1&lt;/R&gt;&lt;C&gt;1&lt;/C&gt;&lt;D xsi:type="xsd:double"&gt;-255.859&lt;/D&gt;&lt;/FQL&gt;&lt;FQL&gt;&lt;Q&gt;COGT-US^FE_TIMESERIES(NETPROFIT,MEAN,2024/1F,2024/4F,FQ,'BKRACTMED=1,WIN=0,UNITS=AUTO,DATE=NOW')&lt;/Q&gt;&lt;R&gt;4&lt;/R&gt;&lt;C&gt;1&lt;/C&gt;&lt;D xsi:type="xsd:double"&gt;-58.348&lt;/D&gt;&lt;D xsi:type="xsd:double"&gt;-58.95&lt;/D&gt;&lt;D xsi:type="xsd:double"&gt;-70.634&lt;/D&gt;&lt;D xsi:type="xsd:double"&gt;-67.927&lt;/D&gt;&lt;/FQL&gt;&lt;FQL&gt;&lt;Q&gt;COGT-US^FE_TIMESERIES(NETPROFIT,MEAN,2023,2023,FY,'BKRACTMED=1,WIN=0,UNITS=AUTO,DATE=NOW')&lt;/Q&gt;&lt;R&gt;1&lt;/R&gt;&lt;C&gt;1&lt;/C&gt;&lt;D xsi:type="xsd:double"&gt;-192.41&lt;/D&gt;&lt;/FQL&gt;&lt;FQL&gt;&lt;Q&gt;COGT-US^FE_TIMESERIES(NETPROFIT,MEAN,2023/1F,2023/4F,FQ,'BKRACTMED=1,WIN=0,UNITS=AUTO,DATE=NOW')&lt;/Q&gt;&lt;R&gt;4&lt;/R&gt;&lt;C&gt;1&lt;/C&gt;&lt;D xsi:type="xsd:double"&gt;-38.587&lt;/D&gt;&lt;D xsi:type="xsd:double"&gt;-44.1&lt;/D&gt;&lt;D xsi:type="xsd:double"&gt;-55.382&lt;/D&gt;&lt;D xsi:type="xsd:double"&gt;-54.365&lt;/D&gt;&lt;/FQL&gt;&lt;FQL&gt;&lt;Q&gt;COGT-US^FE_TIMESERIES(NETPROFIT,MEAN,2022,2022,FY,'BKRACTMED=1,WIN=0,UNITS=AUTO,DATE=NOW')&lt;/Q&gt;&lt;R&gt;1&lt;/R&gt;&lt;C&gt;1&lt;/C&gt;&lt;D xsi:type="xsd:double"&gt;-140.241&lt;/D&gt;&lt;/FQL&gt;&lt;FQL&gt;&lt;Q&gt;COGT-US^FE_TIMESERIES(NETPROFIT,MEAN,2022/1F,2022/4F,FQ,'BKRACTMED=1,WIN=0,UNITS=AUTO,DATE=NOW')&lt;/Q&gt;&lt;R&gt;4&lt;/R&gt;&lt;C&gt;1&lt;/C&gt;&lt;D xsi:type="xsd:double"&gt;-30.634&lt;/D&gt;&lt;D xsi:type="xsd:double"&gt;-34.927&lt;/D&gt;&lt;D xsi:type="xsd:double"&gt;-35.062&lt;/D&gt;&lt;D xsi:type="xsd:double"&gt;-39.618&lt;/D&gt;&lt;/FQL&gt;&lt;FQL&gt;&lt;Q&gt;COGT-US^FE_TIMESERIES(NETPROFIT,MEAN,2021,2021,FY,'BKRACTMED=1,WIN=0,UNITS=AUTO,DATE=NOW')&lt;/Q&gt;&lt;R&gt;1&lt;/R&gt;&lt;C&gt;1&lt;/C&gt;&lt;D xsi:type="xsd:double"&gt;-72.273&lt;/D&gt;&lt;/FQL&gt;&lt;FQL&gt;&lt;Q&gt;COGT-US^FE_TIMESERIES(NETPROFIT,MEAN,2021/1F,2021/4F,FQ,'BKRACTMED=1,WIN=0,UNITS=AUTO,DATE=NOW')&lt;/Q&gt;&lt;R&gt;4&lt;/R&gt;&lt;C&gt;1&lt;/C&gt;&lt;D xsi:type="xsd:double"&gt;-11.728&lt;/D&gt;&lt;D xsi:type="xsd:double"&gt;-16.549&lt;/D&gt;&lt;D xsi:type="xsd:double"&gt;-19.084&lt;/D&gt;&lt;D xsi:type="xsd:double"&gt;-24.912&lt;/D&gt;&lt;/FQL&gt;&lt;FQL&gt;&lt;Q&gt;COGT-US^FE_TIMESERIES(NETPROFIT,MEAN,2019,2020,FY,'BKRACTMED=1,WIN=0,UNITS=AUTO,DATE=NOW')&lt;/Q&gt;&lt;R&gt;2&lt;/R&gt;&lt;C&gt;1&lt;/C&gt;&lt;D xsi:type="xsd:double"&gt;-31.833&lt;/D&gt;&lt;D xsi:type="xsd:double"&gt;-179.208&lt;/D&gt;&lt;/FQL&gt;&lt;FQL&gt;&lt;Q&gt;COGT-US^FE_TIMESERIES(TAX_EXPENSE,MEAN,2024,2024,FY,'BKRACTMED=1,WIN=0,UNITS=AUTO,DATE=NOW')&lt;/Q&gt;&lt;R&gt;1&lt;/R&gt;&lt;C&gt;1&lt;/C&gt;&lt;D xsi:type="xsd:double"&gt;0&lt;/D&gt;&lt;/FQL&gt;&lt;FQL&gt;&lt;Q&gt;COGT-US^FE_TIMESERIES(TAX_EXPENSE,MEAN,2024/1F,2024/4F,FQ,'BKRACTMED=1,WIN=0,UNITS=AUTO,DATE=NOW')&lt;/Q&gt;&lt;R&gt;4&lt;/R&gt;&lt;C&gt;1&lt;/C&gt;&lt;D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xsi:type="xsd:double"&gt;0&lt;/D&gt;&lt;/FQL&gt;&lt;FQL&gt;&lt;Q&gt;COGT-US^FE_TIMESERIES(TAX_EXPENSE,MEAN,2023,2023,FY,'BKRACTMED=1,WIN=0,UNITS=AUTO,DATE=NOW')&lt;/Q&gt;&lt;R&gt;1&lt;/R&gt;&lt;C&gt;1&lt;/C&gt;&lt;D xsi:type="xsd:double"&gt;0&lt;/D&gt;&lt;/FQL&gt;&lt;FQL&gt;&lt;Q&gt;COGT-US^FE_TIMESERIES(TAX_EXPENSE,MEAN,2023/1F,2023/4F,FQ,'BKRACTMED=1,WIN=0,UNITS=AUTO,DATE=NOW')&lt;/Q&gt;&lt;R&gt;4&lt;/R&gt;&lt;C&gt;1&lt;/C&gt;&lt;D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xsi:type="xsd:double"&gt;0&lt;/D&gt;&lt;/FQL&gt;&lt;FQL&gt;&lt;Q&gt;COGT-US^FE_TIMESERIES(TAX_EXPENSE,MEAN,2022,2022,FY,'BKRACTMED=1,WIN=0,UNITS=AUTO,DATE=NOW')&lt;/Q&gt;&lt;R&gt;1&lt;/R&gt;&lt;C&gt;1&lt;/C&gt;&lt;D xsi:type="xsd:double"&gt;0&lt;/D&gt;&lt;/FQL&gt;&lt;FQL&gt;&lt;Q&gt;COGT-US^FE_TIMESERIES(TAX_EXPENSE,MEAN,2022/1F,2022/4F,FQ,'BKRACTMED=1,WIN=0,UNITS=AUTO,DATE=NOW')&lt;/Q&gt;&lt;R&gt;4&lt;/R&gt;&lt;C&gt;1&lt;/C&gt;&lt;D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xsi:type="xsd:double"&gt;0&lt;/D&gt;&lt;/FQL&gt;&lt;FQL&gt;&lt;Q&gt;COGT-US^FE_TIMESERIES(TAX_EXPENSE,MEAN,2021,2021,FY,'BKRACTMED=1,WIN=0,UNITS=AUTO,DATE=NOW')&lt;/Q&gt;&lt;R&gt;1&lt;/R&gt;&lt;C&gt;1&lt;/C&gt;&lt;D xsi:type="xsd:double"&gt;0&lt;/D&gt;&lt;/FQL&gt;&lt;FQL&gt;&lt;Q&gt;COGT-US^FE_TIMESERIES(TAX_EXPENSE,MEAN,2021/1F,2021/4F,FQ,'BKRACTMED=1,WIN=0,UNITS=AUTO,DATE=NOW')&lt;/Q&gt;&lt;R&gt;4&lt;/R&gt;&lt;C&gt;1&lt;/C&gt;&lt;D xsi:type="xsd:double"&gt;0&lt;/D&gt;&lt;D xsi:type="xsd:double"&gt;0&lt;/D&gt;&lt;D xsi:type="xsd:string"&gt;@NA&lt;/D&gt;&lt;D xsi:type="xsd:string"&gt;@NA&lt;/D&gt;&lt;/FQL&gt;&lt;FQL&gt;&lt;Q&gt;COGT-US^FE_TIMESERIES(TAX_EXPENSE,MEAN,2019,2020,FY,'BKRACTMED=1,WIN=0,UNITS=AUTO,DATE=NOW')&lt;/Q&gt;&lt;R&gt;2&lt;/R&gt;&lt;C&gt;1&lt;/C&gt;&lt;D xsi:type="xsd:double"&gt;0&lt;/D&gt;&lt;D xsi:type="xsd:double"&gt;0&lt;/D&gt;&lt;/FQL&gt;&lt;FQL&gt;&lt;Q&gt;COGT-US^FE_TIMESERIES(PTPA,MEAN,2024,2024,FY,'BKRACTMED=1,WIN=0,UNITS=AUTO,DATE=NOW')&lt;/Q&gt;&lt;R&gt;1&lt;/R&gt;&lt;C&gt;1&lt;/C&gt;&lt;D xsi:type="xsd:double"&gt;-255.859&lt;/D&gt;&lt;/FQL&gt;&lt;FQL&gt;&lt;Q&gt;COGT-US^FE_TIMESERIES(PTPA,MEAN,2024/1F,2024/4F,FQ,'BKRACTMED=1,WIN=0,UNITS=AUTO,DATE=NOW')&lt;/Q&gt;&lt;R&gt;4&lt;/R&gt;&lt;C&gt;1&lt;/C&gt;&lt;D xsi:type="xsd:string"&gt;@NA&lt;/D&gt;&lt;D xsi:type="xsd:string"&gt;@NA&lt;/D&gt;&lt;D xsi:type="xsd:double"&gt;-71&lt;/D&gt;&lt;D xsi:type="xsd:string"&gt;@NA&lt;/D&gt;&lt;/FQL&gt;&lt;FQL&gt;&lt;Q&gt;COGT-US^FE_TIMESERIES(PTPA,MEAN,2023,2023,FY,'BKRACTMED=1,WIN=0,UNITS=AUTO,DATE=NOW')&lt;/Q&gt;&lt;R&gt;1&lt;/R&gt;&lt;C&gt;1&lt;/C&gt;&lt;D xsi:type="xsd:double"&gt;-192.41&lt;/D&gt;&lt;/FQL&gt;&lt;FQL&gt;&lt;Q&gt;COGT-US^FE_TIMESERIES(PTPA,MEAN,2023/1F,2023/4F,FQ,'BKRACTMED=1,WIN=0,UNITS=AUTO,DATE=NOW')&lt;/Q&gt;&lt;R&gt;4&lt;/R&gt;&lt;C&gt;1&lt;/C&gt;&lt;D xsi:type="xsd:string"&gt;@NA&lt;/D&gt;&lt;D xsi:type="xsd:string"&gt;@NA&lt;/D&gt;&lt;D xsi:type="xsd:double"&gt;-55&lt;/D&gt;&lt;D xsi:type="xsd:string"&gt;@NA&lt;/D&gt;&lt;/FQL&gt;&lt;FQL&gt;&lt;Q&gt;COGT-US^FE_TIMESERIES(PTPA,MEAN,2022,2022,FY,'BKRACTMED=1,WIN=0,UNITS=AUTO,DATE=NOW')&lt;/Q&gt;&lt;R&gt;0&lt;/R&gt;&lt;C&gt;0&lt;/C&gt;&lt;/FQL&gt;&lt;FQL&gt;&lt;Q&gt;COGT-US^FE_TIMESERIES(PTPA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PTPA,MEAN,2021,2021,FY,'BKRACTMED=1,WIN=0,UNITS=AUTO,DATE=NOW')&lt;/Q&gt;&lt;R&gt;0&lt;/R&gt;&lt;C&gt;0&lt;/C&gt;&lt;/FQL&gt;&lt;FQL&gt;&lt;Q&gt;COGT-US^FE_TIMESERIES(PTPA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xsi:type="xsd:string"&gt;@NA&lt;/D&gt;&lt;/FQL&gt;&lt;FQL&gt;&lt;Q&gt;COGT-US^FE_TIMESERIES(PTPA,MEAN,2019,2020,FY,'BKRACTMED=1,WIN=0,UNITS=AUTO,DATE=NOW')&lt;/Q&gt;&lt;R&gt;2&lt;/R&gt;&lt;C&gt;1&lt;/C&gt;&lt;D xsi:type="xsd:string"&gt;@NA&lt;/D&gt;&lt;D xsi:type="xsd:string"&gt;@NA&lt;/D&gt;&lt;/FQL&gt;&lt;FQL&gt;&lt;Q&gt;COGT-US^FE_TIMESERIES(PTP,MEAN,2024,2024,FY,'BKRACTMED=1,WIN=0,UNITS=AUTO,DATE=NOW')&lt;/Q&gt;&lt;R&gt;1&lt;/R&gt;&lt;C&gt;1&lt;/C&gt;&lt;D xsi:type="xsd:double"&gt;-255.859&lt;/D&gt;&lt;/FQL&gt;&lt;FQL&gt;&lt;Q&gt;COGT-US^FE_TIMESERIES(PTP,MEAN,2024/1F,2024/4F,FQ,'BKRACTMED=1,WIN=0,UNITS=AUTO,DATE=NOW')&lt;/Q&gt;&lt;R&gt;4&lt;/R&gt;&lt;C&gt;1&lt;/C&gt;&lt;D xsi:type="xsd:double"&gt;-58.348&lt;/D&gt;&lt;D xsi:type="xsd:double"&gt;-58.95&lt;/D&gt;&lt;D xsi:type="xsd:double"&gt;-70.634&lt;/D&gt;&lt;D xsi:type="xsd:double"&gt;-67.927&lt;/D&gt;&lt;/FQL&gt;&lt;FQL&gt;&lt;Q&gt;COGT-US^FE_TIMESERIES(PTP,MEAN,2023,2023,FY,'BKRACTMED=1,WIN=0,UNITS=AUTO,DATE=NOW')&lt;/Q&gt;&lt;R&gt;1&lt;/R&gt;&lt;C&gt;1&lt;/C&gt;&lt;D xsi:type="xsd:double"&gt;-192.41&lt;/D&gt;&lt;/FQL&gt;&lt;FQL&gt;&lt;Q&gt;COGT-US^FE_TIMESERIES(PTP,MEAN,2023/1F,2023/4F,FQ,'BKRACTMED=1,WIN=0,UNITS=AUTO,DATE=NOW')&lt;/Q&gt;&lt;R&gt;4&lt;/R&gt;&lt;C&gt;1&lt;/C&gt;&lt;D xsi:type="xsd:double"&gt;-38.587&lt;/D&gt;&lt;D xsi:type="xsd:double"&gt;-44.076&lt;/D&gt;&lt;D xsi:type="xsd:double"&gt;-55.382&lt;/D&gt;&lt;D xsi:type="xsd:double"&gt;-54.365&lt;/D&gt;&lt;/FQL&gt;&lt;FQL&gt;&lt;Q&gt;COGT-US^FE_TIMESERIES(PTP,MEAN,2022,2022,FY,'BKRACTMED=1,WIN=0,UNITS=AUTO,DATE=NOW')&lt;/Q&gt;&lt;R&gt;1&lt;/R&gt;&lt;C&gt;1&lt;/C&gt;&lt;D xsi:type="xsd:double"&gt;-140.241&lt;/D&gt;&lt;/FQL&gt;&lt;FQL&gt;&lt;Q&gt;COGT-US^FE_TIMESERIES(PTP,MEAN,2022/1F,2022/4F,FQ,'BKRACTMED=1,WIN=0,UNITS=AUTO,DATE=NOW')&lt;/Q&gt;&lt;R&gt;4&lt;/R&gt;&lt;C&gt;1&lt;/C&gt;&lt;D xsi:type="xsd:double"&gt;-30.617&lt;/D&gt;&lt;D xsi:type="xsd:double"&gt;-34.9135&lt;/D&gt;&lt;D xsi:type="xsd:double"&gt;-35.1&lt;/D&gt;&lt;D xsi:type="xsd:double"&gt;-39.618&lt;/D&gt;&lt;/FQL&gt;&lt;FQL&gt;&lt;Q&gt;COGT-US^FE_TIMESERIES(PTP,MEAN,2021,2021,FY,'BKRACTMED=1,WIN=0,UNITS=AUTO,DATE=NOW')&lt;/Q&gt;&lt;R&gt;1&lt;/R&gt;&lt;C&gt;1&lt;/C&gt;&lt;D xsi:type="xsd:double"&gt;-72.273&lt;/D&gt;&lt;/FQL&gt;&lt;FQL&gt;&lt;Q&gt;COGT-US^FE_TIMESERIES(PTP,MEAN,2021/1F,2021/4F,FQ,'BKRACTMED=1,WIN=0,UNITS=AUTO,DATE=NOW')&lt;/Q&gt;&lt;R&gt;4&lt;/R&gt;&lt;C&gt;1&lt;/C&gt;&lt;D xsi:type="xsd:double"&gt;-11.728&lt;/D&gt;&lt;D xsi:type="xsd:double"&gt;-16.549&lt;/D&gt;&lt;D xsi:type="xsd:double"&gt;-19.084&lt;/D&gt;&lt;D xsi:type="xsd:double"&gt;-24.912&lt;/D&gt;&lt;/FQL&gt;&lt;FQL&gt;&lt;Q&gt;COGT-US^FE_TIMESERIES(PTP,MEAN,2019,2020,FY,'BKRACTMED=1,WIN=0,UNITS=AUTO,DATE=NOW')&lt;/Q&gt;&lt;R&gt;2&lt;/R&gt;&lt;C&gt;1&lt;/C&gt;&lt;D xsi:type="xsd:double"&gt;-31.833&lt;/D&gt;&lt;D xsi:type="xsd:double"&gt;-74.808&lt;/D&gt;&lt;/FQL&gt;&lt;FQL&gt;&lt;Q&gt;COGT-US^FE_TIMESERIES(INTEXP,MEAN,2024,2024,FY,'BKRACTMED=1,WIN=0,UNITS=AUTO,DATE=NOW')&lt;/Q&gt;&lt;R&gt;0&lt;/R&gt;&lt;C&gt;0&lt;/C&gt;&lt;/FQL&gt;&lt;FQL&gt;&lt;Q&gt;COGT-US^FE_TIMESERIES(INT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INTEXP,MEAN,2023,2023,FY,'BKRACTMED=1,WIN=0,UNITS=AUTO,DATE=NOW')&lt;/Q&gt;&lt;R&gt;0&lt;/R&gt;&lt;C&gt;0&lt;/C&gt;&lt;/FQL&gt;&lt;FQL&gt;&lt;Q&gt;COGT-US^FE_TIMESERIES(INT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INTEXP,MEAN,2022,2022,FY,'BKRACTMED=1,WIN=0,UNITS=AUTO,DATE=NOW')&lt;/Q&gt;&lt;R&gt;0&lt;/R&gt;&lt;C&gt;0&lt;/C&gt;&lt;/FQL&gt;&lt;FQL&gt;&lt;Q&gt;COGT-US^FE_TIMESERIES(INT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INTEXP,MEAN,2021,2021,FY,'BKRACTMED=1,WIN=0,UNITS=AUTO,DATE=NOW')&lt;/Q&gt;&lt;R&gt;0&lt;/R&gt;&lt;C&gt;0&lt;/C&gt;&lt;/FQL&gt;&lt;FQL&gt;&lt;Q&gt;COGT-US^FE_TIMESERIES(INT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xsi:type="xsd:string"&gt;@NA&lt;/D&gt;&lt;/FQL&gt;&lt;FQL&gt;&lt;Q&gt;COGT-US^FE_TIMESERIES(INTEXP,MEAN,2019,2020,FY,'BKRACTMED=1,WIN=0,UNITS=AUTO,DATE=NOW')&lt;/Q&gt;&lt;R&gt;2&lt;/R&gt;&lt;C&gt;1&lt;/C&gt;&lt;D xsi:type="xsd:string"&gt;@NA&lt;/D&gt;&lt;D xsi:type="xsd:double"&gt;0&lt;/D&gt;&lt;/FQL&gt;&lt;FQL&gt;&lt;Q&gt;COGT-US^FE_TIMESERIES(EBIT_ADJ,MEAN,2024,2024,FY,'BKRACTMED=1,WIN=0,UNITS=AUTO,DATE=NOW')&lt;/Q&gt;&lt;R&gt;1&lt;/R&gt;&lt;C&gt;1&lt;/C&gt;&lt;D xsi:type="xsd:double"&gt;-255.859&lt;/D&gt;&lt;/FQL&gt;&lt;FQL&gt;&lt;Q&gt;COGT-US^FE_TIMESERIES(EBIT_ADJ,MEAN,2024/1F,2024/4F,FQ,'BKRACTMED=1,WIN=0,UNITS=AUTO,DATE=NOW')&lt;/Q&gt;&lt;R&gt;4&lt;/R&gt;&lt;C&gt;1&lt;/C&gt;&lt;D xsi:type="xsd:double"&gt;-58.348&lt;/D&gt;&lt;D xsi:type="xsd:double"&gt;-58.95&lt;/D&gt;&lt;D xsi:type="xsd:double"&gt;-71&lt;/D&gt;&lt;D xsi:type="xsd:string"&gt;@NA&lt;/D&gt;&lt;/FQL&gt;&lt;FQL&gt;&lt;Q&gt;COGT-US^FE_TIMESERIES(EBIT_ADJ,MEAN,2023,2023,FY,'BKRACTMED=1,WIN=0,UNITS=AUTO,DATE=NOW')&lt;/Q&gt;&lt;R&gt;1&lt;/R&gt;&lt;C&gt;1&lt;/C&gt;&lt;D xsi:type="xsd:double"&gt;-192.41&lt;/D&gt;&lt;/FQL&gt;&lt;FQL&gt;&lt;Q&gt;COGT-US^FE_TIMESERIES(EBIT_ADJ,MEAN,2023/1F,2023/4F,FQ,'BKRACTMED=1,WIN=0,UNITS=AUTO,DATE=NOW')&lt;/Q&gt;&lt;R&gt;4&lt;/R&gt;&lt;C&gt;1&lt;/C&gt;&lt;D xsi:type="xsd:string"&gt;@NA&lt;/D&gt;&lt;D xsi:type="xsd:string"&gt;@NA&lt;/D&gt;&lt;D xsi:type="xsd:double"&gt;-55&lt;/D&gt;&lt;D xsi:type="xsd:string"&gt;@NA&lt;/D&gt;&lt;/FQL&gt;&lt;FQL&gt;&lt;Q&gt;COGT-US^FE_TIMESERIES(EBIT_ADJ,MEAN,2022,2022,FY,'BKRACTMED=1,WIN=0,UNITS=AUTO,DATE=NOW')&lt;/Q&gt;&lt;R&gt;0&lt;/R&gt;&lt;C&gt;0&lt;/C&gt;&lt;/FQL&gt;&lt;FQL&gt;&lt;Q&gt;COGT-US^FE_TIMESERIES(EBIT_ADJ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_ADJ,MEAN,2021,2021,FY,'BKRACTMED=1,WIN=0,UNITS=AUTO,DATE=NOW')&lt;/Q&gt;&lt;R&gt;0&lt;/R&gt;&lt;C&gt;0&lt;/C&gt;&lt;/FQL&gt;&lt;FQL&gt;&lt;Q&gt;COGT-US^FE_TIMESERIES(EBIT_ADJ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xsi:type="xsd:string"&gt;@NA&lt;/D&gt;&lt;/FQL&gt;&lt;FQL&gt;&lt;Q&gt;COGT-US^FE_TIMESERIES(EBIT_ADJ,MEAN,2019,2020,FY,'BKRACTMED=1,WIN=0,UNITS=AUTO,DATE=NOW')&lt;/Q&gt;&lt;R&gt;2&lt;/R&gt;&lt;C&gt;1&lt;/C&gt;&lt;D xsi:type="xsd:string"&gt;@NA&lt;/D&gt;&lt;D xsi:type="xsd:string"&gt;@NA&lt;/D&gt;&lt;/FQL&gt;&lt;FQL&gt;&lt;Q&gt;COGT-US^FE_TIMESERIES(EBIT,MEAN,2024,2024,FY,'BKRACTMED=1,WIN=0,UNITS=AUTO,DATE=NOW')&lt;/Q&gt;&lt;R&gt;1&lt;/R&gt;&lt;C&gt;1&lt;/C&gt;&lt;D xsi:type="xsd:double"&gt;-275.9195&lt;/D&gt;&lt;/FQL&gt;&lt;FQL&gt;&lt;Q&gt;COGT-US^FE_TIMESERIES(EBIT,MEAN,2024/1F,2024/4F,FQ,'BKRACTMED=1,WIN=0,UNITS=AUTO,DATE=NOW')&lt;/Q&gt;&lt;R&gt;4&lt;/R&gt;&lt;C&gt;1&lt;/C&gt;&lt;D xsi:type="xsd:double"&gt;-62.402&lt;/D&gt;&lt;D xsi:type="xsd:double"&gt;-64.387&lt;/D&gt;&lt;D xsi:type="xsd:double"&gt;-75.414&lt;/D&gt;&lt;D xsi:type="xsd:double"&gt;-73.734&lt;/D&gt;&lt;/FQL&gt;&lt;FQL&gt;&lt;Q&gt;COGT-US^FE_TIMESERIES(EBIT,MEAN,2023,2023,FY,'BKRACTMED=1,WIN=0,UNITS=AUTO,DATE=NOW')&lt;/Q&gt;&lt;R&gt;1&lt;/R&gt;&lt;C&gt;1&lt;/C&gt;&lt;D xsi:type="xsd:double"&gt;-208.115&lt;/D&gt;&lt;/FQL&gt;&lt;FQL&gt;&lt;Q&gt;COGT-US^FE_TIMESERIES(EBIT,MEAN,2023/1F,2023/4F,FQ,'BKRACTMED=1,WIN=0,UNITS=AUTO,DATE=NOW')&lt;/Q&gt;&lt;R&gt;4&lt;/R&gt;&lt;C&gt;1&lt;/C&gt;&lt;D xsi:type="xsd:double"&gt;-43.237&lt;/D&gt;&lt;D xsi:type="xsd:double"&gt;-47.085&lt;/D&gt;&lt;D xsi:type="xsd:double"&gt;-59.58&lt;/D&gt;&lt;D xsi:type="xsd:double"&gt;-58.228&lt;/D&gt;&lt;/FQL&gt;&lt;FQL&gt;&lt;Q&gt;COGT-US^FE_TIMESERIES(EBIT,MEAN,2022,2022,FY,'BKRACTMED=1,WIN=0,UNITS=AUTO,DATE=NOW')&lt;/Q&gt;&lt;R&gt;1&lt;/R&gt;&lt;C&gt;1&lt;/C&gt;&lt;D xsi:type="xsd:double"&gt;-147.839&lt;/D&gt;&lt;/FQL&gt;&lt;FQL&gt;&lt;Q&gt;COGT-US^FE_TIMESERIES(EBIT,MEAN,2022/1F,2022/4F,FQ,'BKRACTMED=1,WIN=0,UNITS=AUTO,DATE=NOW')&lt;/Q&gt;&lt;R&gt;4&lt;/R&gt;&lt;C&gt;1&lt;/C&gt;&lt;D xsi:type="xsd:double"&gt;-31.409&lt;/D&gt;&lt;D xsi:type="xsd:double"&gt;-35.8775&lt;/D&gt;&lt;D xsi:type="xsd:double"&gt;-36.8&lt;/D&gt;&lt;D xsi:type="xsd:double"&gt;-43.745&lt;/D&gt;&lt;/FQL&gt;&lt;FQL&gt;&lt;Q&gt;COGT-US^FE_TIMESERIES(EBIT,MEAN,2021,2021,FY,'BKRACTMED=1,WIN=0,UNITS=AUTO,DATE=NOW')&lt;/Q&gt;&lt;R&gt;1&lt;/R&gt;&lt;C&gt;1&lt;/C&gt;&lt;D xsi:type="xsd:double"&gt;-75.55&lt;/D&gt;&lt;/FQL&gt;&lt;FQL&gt;&lt;Q&gt;COGT-US^FE_TIMESERIES(EBIT,MEAN,2021/1F,2021/4F,FQ,'BKRACTMED=1,WIN=0,UNITS=AUTO,DATE=NOW')&lt;/Q&gt;&lt;R&gt;4&lt;/R&gt;&lt;C&gt;1&lt;/C&gt;&lt;D xsi:type="xsd:double"&gt;-12.8&lt;/D&gt;&lt;D xsi:type="xsd:double"&gt;-17.292&lt;/D&gt;&lt;D xsi:type="xsd:double"&gt;-19.819&lt;/D&gt;&lt;D xsi:type="xsd:double"&gt;-25.639&lt;/D&gt;&lt;/FQL&gt;&lt;FQL&gt;&lt;Q&gt;COGT-US^FE_TIMESERIES(EBIT,MEAN,2019,2020,FY,'BKRACTMED=1,WIN=0,UNITS=AUTO,DATE=NOW')&lt;/Q&gt;&lt;R&gt;2&lt;/R&gt;&lt;C&gt;1&lt;/C&gt;&lt;D xsi:type="xsd:double"&gt;-32.178&lt;/D&gt;&lt;D xsi:type="xsd:double"&gt;-82.199&lt;/D&gt;&lt;/FQL&gt;&lt;FQL&gt;&lt;Q&gt;COGT-US^FE_TIMESERIES(DEPR_AMORT,MEAN,2024,2024,FY,'BKRACTMED=1,WIN=0,UNITS=AUTO,DATE=NOW')&lt;/Q&gt;&lt;R&gt;1&lt;/R&gt;&lt;C&gt;1&lt;/C&gt;&lt;D xsi:type="xsd:double"&gt;2.5&lt;/D&gt;&lt;/FQL&gt;&lt;FQL&gt;&lt;Q&gt;COGT-US^FE_TIMESERIES(DEPR_AMORT,MEAN,2024/1F,2024/4F,FQ,'BKRACTMED=1,WIN=0,UNITS=AUTO,DATE=NOW')&lt;/Q&gt;&lt;R&gt;4&lt;/R&gt;&lt;C&gt;1&lt;/C&gt;&lt;D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xsi:type="xsd:string"&gt;@NA&lt;/D&gt;&lt;/FQL&gt;&lt;FQL&gt;&lt;Q&gt;COGT-US^FE_TIMESERIES(DEPR_AMORT,MEAN,2023,2023,FY,'BKRACTMED=1,WIN=0,UNITS=AUTO,DATE=NOW')&lt;/Q&gt;&lt;R&gt;1&lt;/R&gt;&lt;C&gt;1&lt;/C&gt;&lt;D xsi:type="xsd:double"&gt;2.3&lt;/D&gt;&lt;/FQL&gt;&lt;FQL&gt;&lt;Q&gt;COGT-US^FE_TIMESERIES(DEPR_AMORT,MEAN,2023/1F,2023/4F,FQ,'BKRACTMED=1,WIN=0,UNITS=AUTO,DATE=NOW')&lt;/Q&gt;&lt;R&gt;4&lt;/R&gt;&lt;C&gt;1&lt;/C&gt;&lt;D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xsi:type="xsd:string"&gt;@NA&lt;/D&gt;&lt;/FQL&gt;&lt;FQL&gt;&lt;Q&gt;COGT-US^FE_TIMESERIES(DEPR_AMORT,MEAN,2022,2022,FY,'BKRACTMED=1,WIN=0,UNITS=AUTO,DATE=NOW')&lt;/Q&gt;&lt;R&gt;1&lt;/R&gt;&lt;C&gt;1&lt;/C&gt;&lt;D xsi:type="xsd:double"&gt;0.8&lt;/D&gt;&lt;/FQL&gt;&lt;FQL&gt;&lt;Q&gt;COGT-US^FE_TIMESERIES(DEPR_AMORT,MEAN,2022/1F,2022/4F,FQ,'BKRACTMED=1,WIN=0,UNITS=AUTO,DATE=NOW')&lt;/Q&gt;&lt;R&gt;4&lt;/R&gt;&lt;C&gt;1&lt;/C&gt;&lt;D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DEPR_AMORT,MEAN,2021,2021,FY,'BKRACTMED=1,WIN=0,UNITS=AUTO,DATE=NOW')&lt;/Q&gt;&lt;R&gt;0&lt;/R&gt;&lt;C&gt;0&lt;/C&gt;&lt;/FQL&gt;&lt;FQL&gt;&lt;Q&gt;COGT-US^FE_TIMESERIES(DEPR_AMORT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xsi:type="xsd:string"&gt;@NA&lt;/D&gt;&lt;/FQL&gt;&lt;FQL&gt;&lt;Q&gt;COGT-US^FE_TIMESERIES(DEPR_AMORT,MEAN,2019,2020,FY,'BKRACTMED=1,WIN=0,UNITS=AUTO,DATE=NOW')&lt;/Q&gt;&lt;R&gt;2&lt;/R&gt;&lt;C&gt;1&lt;/C&gt;&lt;D xsi:type="xsd:string"&gt;@NA&lt;/D&gt;&lt;D xsi:type="xsd:string"&gt;@NA&lt;/D&gt;&lt;/FQL&gt;&lt;FQL&gt;&lt;Q&gt;COGT-US^FE_TIMESERIES(EBITDA_REP,MEAN,2024,2024,FY,'BKRACTMED=1,WIN=0,UNITS=AUTO,DATE=NOW')&lt;/Q&gt;&lt;R&gt;1&lt;/R&gt;&lt;C&gt;1&lt;/C&gt;&lt;D xsi:type="xsd:double"&gt;-163.409&lt;/D&gt;&lt;/FQL&gt;&lt;FQL&gt;&lt;Q&gt;COGT-US^FE_TIMESERIES(EBITDA_REP,MEAN,2024/1F,2024/4F,FQ,'BKRACTMED=1,WIN=0,UNITS=AUTO,DATE=NOW')&lt;/Q&gt;&lt;R&gt;4&lt;/R&gt;&lt;C&gt;1&lt;/C&gt;&lt;D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xsi:type="xsd:string"&gt;@NA&lt;/D&gt;&lt;/FQL&gt;&lt;FQL&gt;&lt;Q&gt;COGT-US^FE_TIMESERIES(EBITDA_REP,MEAN,2023,2023,FY,'BKRACTMED=1,WIN=0,UNITS=AUTO,DATE=NOW')&lt;/Q&gt;&lt;R&gt;1&lt;/R&gt;&lt;C&gt;1&lt;/C&gt;&lt;D xsi:type="xsd:double"&gt;-95.14&lt;/D&gt;&lt;/FQL&gt;&lt;FQL&gt;&lt;Q&gt;COGT-US^FE_TIMESERIES(EBITDA_REP,MEAN,2023/1F,2023/4F,FQ,'BKRACTMED=1,WIN=0,UNITS=AUTO,DATE=NOW')&lt;/Q&gt;&lt;R&gt;4&lt;/R&gt;&lt;C&gt;1&lt;/C&gt;&lt;D xsi:type="xsd:string"&gt;@NA&lt;/D&gt;&lt;D xsi:type="xsd:string"&gt;@NA&lt;/D&gt;&lt;D xsi:type="xsd:double"&gt;41.618&lt;/D&gt;&lt;D xsi:type="xsd:string"&gt;@NA&lt;/D&gt;&lt;/FQL&gt;&lt;FQL&gt;&lt;Q&gt;COGT-US^FE_TIMESERIES(EBITDA_REP,MEAN,2022,2022,FY,'BKRACTMED=1,WIN=0,UNITS=AUTO,DATE=NOW')&lt;/Q&gt;&lt;R&gt;0&lt;/R&gt;&lt;C&gt;0&lt;/C&gt;&lt;/FQL&gt;&lt;FQL&gt;&lt;Q&gt;COGT-US^FE_TIMESERIES(EBITDA_RE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_REP,MEAN,2021,2021,FY,'BKRACTMED=1,WIN=0,UNITS=AUTO,DATE=NOW')&lt;/Q&gt;&lt;R&gt;0&lt;/R&gt;&lt;C&gt;0&lt;/C&gt;&lt;/FQL&gt;&lt;FQL&gt;&lt;Q&gt;COGT-US^FE_TIMESERIES(EBITDA_RE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xsi:type="xsd:string"&gt;@NA&lt;/D&gt;&lt;/FQL&gt;&lt;FQL&gt;&lt;Q&gt;COGT-US^FE_TIMESERIES(EBITDA_REP,MEAN,2019,2020,FY,'BKRACTMED=1,WIN=0,UNITS=AUTO,DATE=NOW')&lt;/Q&gt;&lt;R&gt;2&lt;/R&gt;&lt;C&gt;1&lt;/C&gt;&lt;D xsi:type="xsd:string"&gt;@NA&lt;/D&gt;&lt;D xsi:type="xsd:string"&gt;@NA&lt;/D&gt;&lt;/FQL&gt;&lt;FQL&gt;&lt;Q&gt;COGT-US^FE_TIMESERIES(EBITDA,MEAN,2024,2024,FY,'BKRACTMED=1,WIN=0,UNITS=AUTO,DATE=NOW')&lt;/Q&gt;&lt;R&gt;1&lt;/R&gt;&lt;C&gt;1&lt;/C&gt;&lt;D xsi:type="xsd:double"&gt;-218.449&lt;/D&gt;&lt;/FQL&gt;&lt;FQL&gt;&lt;Q&gt;COGT-US^FE_TIMESERIES(EBITDA,MEAN,2024/1F,2024/4F,FQ,'BKRACTMED=1,WIN=0,UNITS=AUTO,DATE=NOW')&lt;/Q&gt;&lt;R&gt;4&lt;/R&gt;&lt;C&gt;1&lt;/C&gt;&lt;D xsi:type="xsd:string"&gt;@NA&lt;/D&gt;&lt;D xsi:type="xsd:string"&gt;@NA&lt;/D&gt;&lt;D xsi:type="xsd:double"&gt;-75.414&lt;/D&gt;&lt;D xsi:type="xsd:string"&gt;@NA&lt;/D&gt;&lt;/FQL&gt;&lt;FQL&gt;&lt;Q&gt;COGT-US^FE_TIMESERIES(EBITDA,MEAN,2023,2023,FY,'BKRACTMED=1,WIN=0,UNITS=AUTO,DATE=NOW')&lt;/Q&gt;&lt;R&gt;1&lt;/R&gt;&lt;C&gt;1&lt;/C&gt;&lt;D xsi:type="xsd:double"&gt;-150.5&lt;/D&gt;&lt;/FQL&gt;&lt;FQL&gt;&lt;Q&gt;COGT-US^FE_TIMESERIES(EBITDA,MEAN,2023/1F,2023/4F,FQ,'BKRACTMED=1,WIN=0,UNITS=AUTO,DATE=NOW')&lt;/Q&gt;&lt;R&gt;4&lt;/R&gt;&lt;C&gt;1&lt;/C&gt;&lt;D xsi:type="xsd:string"&gt;@NA&lt;/D&gt;&lt;D xsi:type="xsd:string"&gt;@NA&lt;/D&gt;&lt;D xsi:type="xsd:double"&gt;-8.79&lt;/D&gt;&lt;D xsi:type="xsd:string"&gt;@NA&lt;/D&gt;&lt;/FQL&gt;&lt;FQL&gt;&lt;Q&gt;COGT-US^FE_TIMESERIES(EBITDA,MEAN,2022,2022,FY,'BKRACTMED=1,WIN=0,UNITS=AUTO,DATE=NOW')&lt;/Q&gt;&lt;R&gt;0&lt;/R&gt;&lt;C&gt;0&lt;/C&gt;&lt;/FQL&gt;&lt;FQL&gt;&lt;Q&gt;COGT-US^FE_TIMESERIES(EBITDA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,MEAN,2021,2021,FY,'BKRACTMED=1,WIN=0,UNITS=AUTO,DATE=NOW')&lt;/Q&gt;&lt;R&gt;0&lt;/R&gt;&lt;C&gt;0&lt;/C&gt;&lt;/FQL&gt;&lt;FQL&gt;&lt;Q&gt;COGT-US^FE_TIMESERIES(EBITDA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xsi:type="xsd:string"&gt;@NA&lt;/D&gt;&lt;/FQL&gt;&lt;FQL&gt;&lt;Q&gt;COGT-US^FE_TIMESERIES(EBITDA,MEAN,2019,2020,FY,'BKRACTMED=1,WIN=0,UNITS=AUTO,DATE=NOW')&lt;/Q&gt;&lt;R&gt;2&lt;/R&gt;&lt;C&gt;1&lt;/C&gt;&lt;D xsi:type="xsd:string"&gt;@NA&lt;/D&gt;&lt;D xsi:type="xsd:string"&gt;@NA&lt;/D&gt;&lt;/FQL&gt;&lt;FQL&gt;&lt;Q&gt;COGT-US^FE_TIMESERIES(RD_EXP,MEAN,2024,2024,FY,'BKRACTMED=1,WIN=0,UNITS=AUTO,DATE=NOW')&lt;/Q&gt;&lt;R&gt;1&lt;/R&gt;&lt;C&gt;1&lt;/C&gt;&lt;D xsi:type="xsd:double"&gt;232.679&lt;/D&gt;&lt;/FQL&gt;&lt;FQL&gt;&lt;Q&gt;COGT-US^FE_TIMESERIES(RD_EXP,MEAN,2024/1F,2024/4F,FQ,'BKRACTMED=1,WIN=0,UNITS=AUTO,DATE=NOW')&lt;/Q&gt;&lt;R&gt;4&lt;/R&gt;&lt;C&gt;1&lt;/C&gt;&lt;D xsi:type="xsd:double"&gt;52.705&lt;/D&gt;&lt;D xsi:type="xsd:double"&gt;54.294&lt;/D&gt;&lt;D xsi:type="xsd:double"&gt;63.614&lt;/D&gt;&lt;D xsi:type="xsd:double"&gt;62.045&lt;/D&gt;&lt;/FQL&gt;&lt;FQL&gt;&lt;Q&gt;COGT-US^FE_TIMESERIES(RD_EXP,MEAN,2023,2023,FY,'BKRACTMED=1,WIN=0,UNITS=AUTO,DATE=NOW')&lt;/Q&gt;&lt;R&gt;1&lt;/R&gt;&lt;C&gt;1&lt;/C&gt;&lt;D xsi:type="xsd:double"&gt;173.7775&lt;/D&gt;&lt;/FQL&gt;&lt;FQL&gt;&lt;Q&gt;COGT-US^FE_TIMESERIES(RD_EXP,MEAN,2023/1F,2023/4F,FQ,'BKRACTMED=1,WIN=0,UNITS=AUTO,DATE=NOW')&lt;/Q&gt;&lt;R&gt;4&lt;/R&gt;&lt;C&gt;1&lt;/C&gt;&lt;D xsi:type="xsd:double"&gt;36.038&lt;/D&gt;&lt;D xsi:type="xsd:double"&gt;38.871&lt;/D&gt;&lt;D xsi:type="xsd:double"&gt;50.127&lt;/D&gt;&lt;D xsi:type="xsd:double"&gt;48.719&lt;/D&gt;&lt;/FQL&gt;&lt;FQL&gt;&lt;Q&gt;COGT-US^FE_TIMESERIES(RD_EXP,MEAN,2022,2022,FY,'BKRACTMED=1,WIN=0,UNITS=AUTO,DATE=NOW')&lt;/Q&gt;&lt;R&gt;1&lt;/R&gt;&lt;C&gt;1&lt;/C&gt;&lt;D xsi:type="xsd:double"&gt;121.627&lt;/D&gt;&lt;/FQL&gt;&lt;FQL&gt;&lt;Q&gt;COGT-US^FE_TIMESERIES(RD_EXP,MEAN,2022/1F,2022/4F,FQ,'BKRACTMED=1,WIN=0,UNITS=AUTO,DATE=NOW')&lt;/Q&gt;&lt;R&gt;4&lt;/R&gt;&lt;C&gt;1&lt;/C&gt;&lt;D xsi:type="xsd:double"&gt;25.485&lt;/D&gt;&lt;D xsi:type="xsd:double"&gt;29.4895&lt;/D&gt;&lt;D xsi:type="xsd:double"&gt;29.9&lt;/D&gt;&lt;D xsi:type="xsd:double"&gt;36.742&lt;/D&gt;&lt;/FQL&gt;&lt;FQL&gt;&lt;Q&gt;COGT-US^FE_TIMESERIES(RD_EXP,MEAN,2021,2021,FY,'BKRACTMED=1,WIN=0,UNITS=AUTO,DATE=NOW')&lt;/Q&gt;&lt;R&gt;1&lt;/R&gt;&lt;C&gt;1&lt;/C&gt;&lt;D xsi:type="xsd:double"&gt;55.913&lt;/D&gt;&lt;/FQL&gt;&lt;FQL&gt;&lt;Q&gt;COGT-US^FE_TIMESERIES(RD_EXP,MEAN,2021/1F,2021/4F,FQ,'BKRACTMED=1,WIN=0,UNITS=AUTO,DATE=NOW')&lt;/Q&gt;&lt;R&gt;4&lt;/R&gt;&lt;C&gt;1&lt;/C&gt;&lt;D xsi:type="xsd:double"&gt;8.213&lt;/D&gt;&lt;D xsi:type="xsd:double"&gt;12.388&lt;/D&gt;&lt;D xsi:type="xsd:double"&gt;14.8&lt;/D&gt;&lt;D xsi:type="xsd:double"&gt;20.512&lt;/D&gt;&lt;/FQL&gt;&lt;FQL&gt;&lt;Q&gt;COGT-US^FE_TIMESERIES(RD_EXP,MEAN,2019,2020,FY,'BKRACTMED=1,WIN=0,UNITS=AUTO,DATE=NOW')&lt;/Q&gt;&lt;R&gt;2&lt;/R&gt;&lt;C&gt;1&lt;/C&gt;&lt;D xsi:type="xsd:double"&gt;43.709&lt;/D&gt;&lt;D xsi:type="xsd:double"&gt;25.738&lt;/D&gt;&lt;/FQL&gt;&lt;FQL&gt;&lt;Q&gt;COGT-US^FE_TIMESERIES(G_A_EXP,MEAN,2024,2024,FY,'BKRACTMED=1,WIN=0,UNITS=AUTO,DATE=NOW')&lt;/Q&gt;&lt;R&gt;1&lt;/R&gt;&lt;C&gt;1&lt;/C&gt;&lt;D xsi:type="xsd:double"&gt;43.281&lt;/D&gt;&lt;/FQL&gt;&lt;FQL&gt;&lt;Q&gt;COGT-US^FE_TIMESERIES(G_A_EXP,MEAN,2024/1F,2024/4F,FQ,'BKRACTMED=1,WIN=0,UNITS=AUTO,DATE=NOW')&lt;/Q&gt;&lt;R&gt;4&lt;/R&gt;&lt;C&gt;1&lt;/C&gt;&lt;D xsi:type="xsd:double"&gt;9.699&lt;/D&gt;&lt;D xsi:type="xsd:double"&gt;10.093&lt;/D&gt;&lt;D xsi:type="xsd:double"&gt;11.8&lt;/D&gt;&lt;D xsi:type="xsd:double"&gt;11.689&lt;/D&gt;&lt;/FQL&gt;&lt;FQL&gt;&lt;Q&gt;COGT-US^FE_TIMESERIES(G_A_EXP,MEAN,2023,2023,FY,'BKRACTMED=1,WIN=0,UNITS=AUTO,DATE=NOW')&lt;/Q&gt;&lt;R&gt;1&lt;/R&gt;&lt;C&gt;1&lt;/C&gt;&lt;D xsi:type="xsd:double"&gt;34.375&lt;/D&gt;&lt;/FQL&gt;&lt;FQL&gt;&lt;Q&gt;COGT-US^FE_TIMESERIES(G_A_EXP,MEAN,2023/1F,2023/4F,FQ,'BKRACTMED=1,WIN=0,UNITS=AUTO,DATE=NOW')&lt;/Q&gt;&lt;R&gt;4&lt;/R&gt;&lt;C&gt;1&lt;/C&gt;&lt;D xsi:type="xsd:double"&gt;7.199&lt;/D&gt;&lt;D xsi:type="xsd:double"&gt;8.214&lt;/D&gt;&lt;D xsi:type="xsd:double"&gt;9.453&lt;/D&gt;&lt;D xsi:type="xsd:double"&gt;9.509&lt;/D&gt;&lt;/FQL&gt;&lt;FQL&gt;&lt;Q&gt;COGT-US^FE_TIMESERIES(G_A_EXP,MEAN,2022,2022,FY,'BKRACTMED=1,WIN=0,UNITS=AUTO,DATE=NOW')&lt;/Q&gt;&lt;R&gt;1&lt;/R&gt;&lt;C&gt;1&lt;/C&gt;&lt;D xsi:type="xsd:double"&gt;26.212&lt;/D&gt;&lt;/FQL&gt;&lt;FQL&gt;&lt;Q&gt;COGT-US^FE_TIMESERIES(G_A_EXP,MEAN,2022/1F,2022/4F,FQ,'BKRACTMED=1,WIN=0,UNITS=AUTO,DATE=NOW')&lt;/Q&gt;&lt;R&gt;4&lt;/R&gt;&lt;C&gt;1&lt;/C&gt;&lt;D xsi:type="xsd:string"&gt;@NA&lt;/D&gt;&lt;D xsi:type="xsd:string"&gt;@NA&lt;/D&gt;&lt;D xsi:type="xsd:string"&gt;@NA&lt;/D&gt;&lt;D xsi:type="xsd:double"&gt;7.003&lt;/D&gt;&lt;/FQL&gt;&lt;FQL&gt;&lt;Q&gt;COGT-US^FE_TIMESERIES(G_A_EXP,MEAN,2021,2021,FY,'BKRACTMED=1,WIN=0,UNITS=AUTO,DATE=NOW')&lt;/Q&gt;&lt;R&gt;1&lt;/R&gt;&lt;C&gt;1&lt;/C&gt;&lt;D xsi:type="xsd:double"&gt;19.64&lt;/D&gt;&lt;/FQL&gt;&lt;FQL&gt;&lt;Q&gt;COGT-US^FE_TIMESERIES(G_A_EXP,MEAN,2021/1F,2021/4F,FQ,'BKRACTMED=1,WIN=0,UNITS=AUTO,DATE=NOW')&lt;/Q&gt;&lt;R&gt;4&lt;/R&gt;&lt;C&gt;1&lt;/C&gt;&lt;D xsi:type="xsd:string"&gt;@NA&lt;/D&gt;&lt;D xsi:type="xsd:double"&gt;4.9&lt;/D&gt;&lt;D xsi:type="xsd:double"&gt;5.02&lt;/D&gt;&lt;D xsi:type="xsd:double"&gt;5.13&lt;/D&gt;&lt;/FQL&gt;&lt;FQL&gt;&lt;Q&gt;COGT-US^FE_TIMESERIES(G_A_EXP,MEAN,2019,2020,FY,'BKRACTMED=1,WIN=0,UNITS=AUTO,DATE=NOW')&lt;/Q&gt;&lt;R&gt;2&lt;/R&gt;&lt;C&gt;1&lt;/C&gt;&lt;D xsi:type="xsd:string"&gt;@NA&lt;/D&gt;&lt;D xsi:type="xsd:string"&gt;@NA&lt;/D&gt;&lt;/FQL&gt;&lt;FQL&gt;&lt;Q&gt;COGT-US^FE_TIMESERIES(S_M_EXP,MEAN,2024,2024,FY,'BKRACTMED=1,WIN=0,UNITS=AUTO,DATE=NOW')&lt;/Q&gt;&lt;R&gt;0&lt;/R&gt;&lt;C&gt;0&lt;/C&gt;&lt;/FQL&gt;&lt;FQL&gt;&lt;Q&gt;COGT-US^FE_TIMESERIES(S_M_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S_M_EXP,MEAN,2023,2023,FY,'BKRACTMED=1,WIN=0,UNITS=AUTO,DATE=NOW')&lt;/Q&gt;&lt;R&gt;0&lt;/R&gt;&lt;C&gt;0&lt;/C&gt;&lt;/FQL&gt;&lt;FQL&gt;&lt;Q&gt;COGT-US^FE_TIMESERIES(S_M_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S_M_EXP,MEAN,2022,2022,FY,'BKRACTMED=1,WIN=0,UNITS=AUTO,DATE=NOW')&lt;/Q&gt;&lt;R&gt;0&lt;/R&gt;&lt;C&gt;0&lt;/C&gt;&lt;/FQL&gt;&lt;FQL&gt;&lt;Q&gt;COGT-US^FE_TIMESERIES(S_M_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S_M_EXP,MEAN,2021,2021,FY,'BKRACTMED=1,WIN=0,UNITS=AUTO,DATE=NOW')&lt;/Q&gt;&lt;R&gt;0&lt;/R&gt;&lt;C&gt;0&lt;/C&gt;&lt;/FQL&gt;&lt;FQL&gt;&lt;Q&gt;COGT-US^FE_TIMESERIES(S_M_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xsi:type="xsd:string"&gt;@NA&lt;/D&gt;&lt;/FQL&gt;&lt;FQL&gt;&lt;Q&gt;COGT-US^FE_TIMESERIES(S_M_EXP,MEAN,2019,2020,FY,'BKRACTMED=1,WIN=0,UNITS=AUTO,DATE=NOW')&lt;/Q&gt;&lt;R&gt;2&lt;/R&gt;&lt;C&gt;1&lt;/C&gt;&lt;D xsi:type="xsd:string"&gt;@NA&lt;/D&gt;&lt;D xsi:type="xsd:string"&gt;@NA&lt;/D&gt;&lt;/FQL&gt;&lt;FQL&gt;&lt;Q&gt;COGT-US^FE_TIMESERIES(SGA,MEAN,2024,2024,FY,'BKRACTMED=1,WIN=0,UNITS=AUTO,DATE=NOW')&lt;/Q&gt;&lt;R&gt;1&lt;/R&gt;&lt;C&gt;1&lt;/C&gt;&lt;D xsi:type="xsd:double"&gt;43.2905&lt;/D&gt;&lt;/FQL&gt;&lt;FQL&gt;&lt;Q&gt;COGT-US^FE_TIMESERIES(SGA,MEAN,2024/1F,2024/4F,FQ,'BKRACTMED=1,WIN=0,UNITS=AUTO,DATE=NOW')&lt;/Q&gt;&lt;R&gt;4&lt;/R&gt;&lt;C&gt;1&lt;/C&gt;&lt;D xsi:type="xsd:double"&gt;9.6995&lt;/D&gt;&lt;D xsi:type="xsd:double"&gt;10.0965&lt;/D&gt;&lt;D xsi:type="xsd:double"&gt;11.8&lt;/D&gt;&lt;D xsi:type="xsd:double"&gt;11.6945&lt;/D&gt;&lt;/FQL&gt;&lt;FQL&gt;&lt;Q&gt;COGT-US^FE_TIMESERIES(SGA,MEAN,2023,2023,FY,'BKRACTMED=1,WIN=0,UNITS=AUTO,DATE=NOW')&lt;/Q&gt;&lt;R&gt;1&lt;/R&gt;&lt;C&gt;1&lt;/C&gt;&lt;D xsi:type="xsd:double"&gt;34.3875&lt;/D&gt;&lt;/FQL&gt;&lt;FQL&gt;&lt;Q&gt;COGT-US^FE_TIMESERIES(SGA,MEAN,2023/1F,2023/4F,FQ,'BKRACTMED=1,WIN=0,UNITS=AUTO,DATE=NOW')&lt;/Q&gt;&lt;R&gt;4&lt;/R&gt;&lt;C&gt;1&lt;/C&gt;&lt;D xsi:type="xsd:double"&gt;7.1995&lt;/D&gt;&lt;D xsi:type="xsd:double"&gt;8.207&lt;/D&gt;&lt;D xsi:type="xsd:double"&gt;9.453&lt;/D&gt;&lt;D xsi:type="xsd:double"&gt;9.5045&lt;/D&gt;&lt;/FQL&gt;&lt;FQL&gt;&lt;Q&gt;COGT-US^FE_TIMESERIES(SGA,MEAN,2022,2022,FY,'BKRACTMED=1,WIN=0,UNITS=AUTO,DATE=NOW')&lt;/Q&gt;&lt;R&gt;1&lt;/R&gt;&lt;C&gt;1&lt;/C&gt;&lt;D xsi:type="xsd:double"&gt;26.212&lt;/D&gt;&lt;/FQL&gt;&lt;FQL&gt;&lt;Q&gt;COGT-US^FE_TIMESERIES(SGA,MEAN,2022/1F,2022/4F,FQ,'BKRACTMED=1,WIN=0,UNITS=AUTO,DATE=NOW')&lt;/Q&gt;&lt;R&gt;4&lt;/R&gt;&lt;C&gt;1&lt;/C&gt;&lt;D xsi:type="xsd:double"&gt;5.924&lt;/D&gt;&lt;D xsi:type="xsd:double"&gt;6.388&lt;/D&gt;&lt;D xsi:type="xsd:double"&gt;6.9&lt;/D&gt;&lt;D xsi:type="xsd:double"&gt;7.0015&lt;/D&gt;&lt;/FQL&gt;&lt;FQL&gt;&lt;Q&gt;COGT-US^FE_TIMESERIES(SGA,MEAN,2021,2021,FY,'BKRACTMED=1,WIN=0,UNITS=AUTO,DATE=NOW')&lt;/Q&gt;&lt;R&gt;1&lt;/R&gt;&lt;C&gt;1&lt;/C&gt;&lt;D xsi:type="xsd:double"&gt;19.637&lt;/D&gt;&lt;/FQL&gt;&lt;FQL&gt;&lt;Q&gt;COGT-US^FE_TIMESERIES(SGA,MEAN,2021/1F,2021/4F,FQ,'BKRACTMED=1,WIN=0,UNITS=AUTO,DATE=NOW')&lt;/Q&gt;&lt;R&gt;4&lt;/R&gt;&lt;C&gt;1&lt;/C&gt;&lt;D xsi:type="xsd:double"&gt;4.587&lt;/D&gt;&lt;D xsi:type="xsd:double"&gt;4.904&lt;/D&gt;&lt;D xsi:type="xsd:double"&gt;5.0105&lt;/D&gt;&lt;D xsi:type="xsd:double"&gt;5.125&lt;/D&gt;&lt;/FQL&gt;&lt;FQL&gt;&lt;Q&gt;COGT-US^FE_TIMESERIES(SGA,MEAN,2019,2020,FY,'BKRACTMED=1,WIN=0,UNITS=AUTO,DATE=NOW')&lt;/Q&gt;&lt;R&gt;2&lt;/R&gt;&lt;C&gt;1&lt;/C&gt;&lt;D xsi:type="xsd:double"&gt;10.968&lt;/D&gt;&lt;D xsi:type="xsd:double"&gt;17.422&lt;/D&gt;&lt;/FQL&gt;&lt;FQL&gt;&lt;Q&gt;COGT-US^FE_TIMESERIES(GROSSINCOME,MEAN,2024,2024,FY,'BKRACTMED=1,WIN=0,UNITS=AUTO,DATE=NOW')&lt;/Q&gt;&lt;R&gt;1&lt;/R&gt;&lt;C&gt;1&lt;/C&gt;&lt;D xsi:type="xsd:double"&gt;0&lt;/D&gt;&lt;/FQL&gt;&lt;FQL&gt;&lt;Q&gt;COGT-US^FE_TIMESERIES(GROSSINCOME,MEAN,2024/1F,2024/4F,FQ,'BKRACTMED=1,WIN=0,UNITS=AUTO,DATE=NOW')&lt;/Q&gt;&lt;R&gt;4&lt;/R&gt;&lt;C&gt;1&lt;/C&gt;&lt;D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xsi:type="xsd:double"&gt;0&lt;/D&gt;&lt;/FQL&gt;&lt;FQL&gt;&lt;Q&gt;COGT-US^FE_TIMESERIES(GROSSINCOME,MEAN,2023,2023,FY,'BKRACTMED=1,WIN=0,UNITS=AUTO,DATE=NOW')&lt;/Q&gt;&lt;R&gt;1&lt;/R&gt;&lt;C&gt;1&lt;/C&gt;&lt;D xsi:type="xsd:double"&gt;0&lt;/D&gt;&lt;/FQL&gt;&lt;FQL&gt;&lt;Q&gt;COGT-US^FE_TIMESERIES(GROSSINCOME,MEAN,2023/1F,2023/4F,FQ,'BKRACTMED=1,WIN=0,UNITS=AUTO,DATE=NOW')&lt;/Q&gt;&lt;R&gt;4&lt;/R&gt;&lt;C&gt;1&lt;/C&gt;&lt;D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xsi:type="xsd:double"&gt;0&lt;/D&gt;&lt;/FQL&gt;&lt;FQL&gt;&lt;Q&gt;COGT-US^FE_TIMESERIES(GROSSINCOME,MEAN,2022,2022,FY,'BKRACTMED=1,WIN=0,UNITS=AUTO,DATE=NOW')&lt;/Q&gt;&lt;R&gt;1&lt;/R&gt;&lt;C&gt;1&lt;/C&gt;&lt;D xsi:type="xsd:double"&gt;0&lt;/D&gt;&lt;/FQL&gt;&lt;FQL&gt;&lt;Q&gt;COGT-US^FE_TIMESERIES(GROSSINCOME,MEAN,2022/1F,2022/4F,FQ,'BKRACTMED=1,WIN=0,UNITS=AUTO,DATE=NOW')&lt;/Q&gt;&lt;R&gt;4&lt;/R&gt;&lt;C&gt;1&lt;/C&gt;&lt;D xsi:type="xsd:string"&gt;@NA&lt;/D&gt;&lt;D xsi:type="xsd:string"&gt;@NA&lt;/D&gt;&lt;D xsi:type="xsd:double"&gt;0&lt;/D&gt;&lt;D xsi:type="xsd:double"&gt;0&lt;/D&gt;&lt;/FQL&gt;&lt;FQL&gt;&lt;Q&gt;COGT-US^FE_TIMESERIES(GROSSINCOME,MEAN,2021,2021,FY,'BKRACTMED=1,WIN=0,UNITS=AUTO,DATE=NOW')&lt;/Q&gt;&lt;R&gt;0&lt;/R&gt;&lt;C&gt;0&lt;/C&gt;&lt;/FQL&gt;&lt;FQL&gt;&lt;Q&gt;COGT-US^FE_TIMESERIES(GROSSINCOME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xsi:type="xsd:string"&gt;@NA&lt;/D&gt;&lt;/FQL&gt;&lt;FQL&gt;&lt;Q&gt;COGT-US^FE_TIMESERIES(GROSSINCOME,MEAN,2019,2020,FY,'BKRACTMED=1,WIN=0,UNITS=AUTO,DATE=NOW')&lt;/Q&gt;&lt;R&gt;2&lt;/R&gt;&lt;C&gt;1&lt;/C&gt;&lt;D xsi:type="xsd:string"&gt;@NA&lt;/D&gt;&lt;D xsi:type="xsd:string"&gt;@NA&lt;/D&gt;&lt;/FQL&gt;&lt;FQL&gt;&lt;Q&gt;COGT-US^FE_TIMESERIES(COS,MEAN,2024,2024,FY,'BKRACTMED=1,WIN=0,UNITS=AUTO,DATE=NOW')&lt;/Q&gt;&lt;R&gt;1&lt;/R&gt;&lt;C&gt;1&lt;/C&gt;&lt;D xsi:type="xsd:double"&gt;0&lt;/D&gt;&lt;/FQL&gt;&lt;FQL&gt;&lt;Q&gt;COGT-US^FE_TIMESERIES(COS,MEAN,2024/1F,2024/4F,FQ,'BKRACTMED=1,WIN=0,UNITS=AUTO,DATE=NOW')&lt;/Q&gt;&lt;R&gt;4&lt;/R&gt;&lt;C&gt;1&lt;/C&gt;&lt;D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xsi:type="xsd:double"&gt;0&lt;/D&gt;&lt;/FQL&gt;&lt;FQL&gt;&lt;Q&gt;COGT-US^FE_TIMESERIES(COS,MEAN,2023,2023,FY,'BKRACTMED=1,WIN=0,UNITS=AUTO,DATE=NOW')&lt;/Q&gt;&lt;R&gt;1&lt;/R&gt;&lt;C&gt;1&lt;/C&gt;&lt;D xsi:type="xsd:double"&gt;0&lt;/D&gt;&lt;/FQL&gt;&lt;FQL&gt;&lt;Q&gt;COGT-US^FE_TIMESERIES(COS,MEAN,2023/1F,2023/4F,FQ,'BKRACTMED=1,WIN=0,UNITS=AUTO,DATE=NOW')&lt;/Q&gt;&lt;R&gt;4&lt;/R&gt;&lt;C&gt;1&lt;/C&gt;&lt;D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xsi:type="xsd:double"&gt;0&lt;/D&gt;&lt;/FQL&gt;&lt;FQL&gt;&lt;Q&gt;COGT-US^FE_TIMESERIES(COS,MEAN,2022,2022,FY,'BKRACTMED=1,WIN=0,UNITS=AUTO,DATE=NOW')&lt;/Q&gt;&lt;R&gt;1&lt;/R&gt;&lt;C&gt;1&lt;/C&gt;&lt;D xsi:type="xsd:double"&gt;0&lt;/D&gt;&lt;/FQL&gt;&lt;FQL&gt;&lt;Q&gt;COGT-US^FE_TIMESERIES(COS,MEAN,2022/1F,2022/4F,FQ,'BKRACTMED=1,WIN=0,UNITS=AUTO,DATE=NOW')&lt;/Q&gt;&lt;R&gt;4&lt;/R&gt;&lt;C&gt;1&lt;/C&gt;&lt;D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xsi:type="xsd:double"&gt;0&lt;/D&gt;&lt;/FQL&gt;&lt;FQL&gt;&lt;Q&gt;COGT-US^FE_TIMESERIES(COS,MEAN,2021,2021,FY,'BKRACTMED=1,WIN=0,UNITS=AUTO,DATE=NOW')&lt;/Q&gt;&lt;R&gt;1&lt;/R&gt;&lt;C&gt;1&lt;/C&gt;&lt;D xsi:type="xsd:double"&gt;0&lt;/D&gt;&lt;/FQL&gt;&lt;FQL&gt;&lt;Q&gt;COGT-US^FE_TIMESERIES(COS,MEAN,2021/1F,2021/4F,FQ,'BKRACTMED=1,WIN=0,UNITS=AUTO,DATE=NOW')&lt;/Q&gt;&lt;R&gt;4&lt;/R&gt;&lt;C&gt;1&lt;/C&gt;&lt;D xsi:type="xsd:double"&gt;0&lt;/D&gt;&lt;D xsi:type="xsd:double"&gt;0&lt;/D&gt;&lt;D xsi:type="xsd:string"&gt;@NA&lt;/D&gt;&lt;D xsi:type="xsd:string"&gt;@NA&lt;/D&gt;&lt;/FQL&gt;&lt;FQL&gt;&lt;Q&gt;COGT-US^FE_TIMESERIES(COS,MEAN,2019,2020,FY,'BKRACTMED=1,WIN=0,UNITS=AUTO,DATE=NOW')&lt;/Q&gt;&lt;R&gt;2&lt;/R&gt;&lt;C&gt;1&lt;/C&gt;&lt;D xsi:type="xsd:double"&gt;0&lt;/D&gt;&lt;D xsi:type="xsd:double"&gt;0&lt;/D&gt;&lt;/FQL&gt;&lt;FQL&gt;&lt;Q&gt;COGT-US^FE_TIMESERIES(SALES,MEAN,2024,2024,FY,'BKRACTMED=1,WIN=0,UNITS=AUTO,DATE=NOW')&lt;/Q&gt;&lt;R&gt;1&lt;/R&gt;&lt;C&gt;1&lt;/C&gt;&lt;D xsi:type="xsd:double"&gt;0&lt;/D&gt;&lt;/FQL&gt;&lt;FQL&gt;&lt;Q&gt;COGT-US^FE_TIMESERIES(SALES,MEAN,2024/1F,2024/4F,FQ,'BKRACTMED=1,WIN=0,UNITS=AUTO,DATE=NOW')&lt;/Q&gt;&lt;R&gt;4&lt;/R&gt;&lt;C&gt;1&lt;/C&gt;&lt;D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xsi:type="xsd:double"&gt;0&lt;/D&gt;&lt;/FQL&gt;&lt;FQL&gt;&lt;Q&gt;COGT-US^FE_TIMESERIES(SALES,MEAN,2023,2023,FY,'BKRACTMED=1,WIN=0,UNITS=AUTO,DATE=NOW')&lt;/Q&gt;&lt;R&gt;1&lt;/R&gt;&lt;C&gt;1&lt;/C&gt;&lt;D xsi:type="xsd:double"&gt;0&lt;/D&gt;&lt;/FQL&gt;&lt;FQL&gt;&lt;Q&gt;COGT-US^FE_TIMESERIES(SALES,MEAN,2023/1F,2023/4F,FQ,'BKRACTMED=1,WIN=0,UNITS=AUTO,DATE=NOW')&lt;/Q&gt;&lt;R&gt;4&lt;/R&gt;&lt;C&gt;1&lt;/C&gt;&lt;D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xsi:type="xsd:double"&gt;0&lt;/D&gt;&lt;/FQL&gt;&lt;FQL&gt;&lt;Q&gt;COGT-US^FE_TIMESERIES(EAG,MEAN,2024,2025,FY,'BKRACTMED=1,WIN=0,UNITS=AUTO,DATE=NOW')&lt;/Q&gt;&lt;R&gt;2&lt;/R&gt;&lt;C&gt;1&lt;/C&gt;&lt;D xsi:type="xsd:double"&gt;-2.46&lt;/D&gt;&lt;D xsi:type="xsd:double"&gt;-2.2642858&lt;/D&gt;&lt;/FQL&gt;&lt;FQL&gt;&lt;Q&gt;COGT-US^FE_TIMESERIES(EAG,MEAN,2024/1F,2024/4F,FQ,'BKRACTMED=1,WIN=0,UNITS=AUTO,DATE=NOW')&lt;/Q&gt;&lt;R&gt;4&lt;/R&gt;&lt;C&gt;1&lt;/C&gt;&lt;D xsi:type="xsd:double"&gt;-0.62&lt;/D&gt;&lt;D xsi:type="xsd:double"&gt;-0.59&lt;/D&gt;&lt;D xsi:type="xsd:double"&gt;-0.64&lt;/D&gt;&lt;D xsi:type="xsd:double"&gt;-0.61&lt;/D&gt;&lt;/FQL&gt;&lt;FQL&gt;&lt;Q&gt;COGT-US^FE_TIMESERIES(EAG,MEAN,2023,2023,FY,'BKRACTMED=1,WIN=0,UNITS=AUTO,DATE=NOW')&lt;/Q&gt;&lt;R&gt;1&lt;/R&gt;&lt;C&gt;1&lt;/C&gt;&lt;D xsi:type="xsd:double"&gt;-2.42&lt;/D&gt;&lt;/FQL&gt;&lt;FQL&gt;&lt;Q&gt;COGT-US^FE_TIMESERIES(EAG,MEAN,2023/1F,2023/4F,FQ,'BKRACTMED=1,WIN=0,UNITS=AUTO,DATE=NOW')&lt;/Q&gt;&lt;R&gt;4&lt;/R&gt;&lt;C&gt;1&lt;/C&gt;&lt;D xsi:type="xsd:double"&gt;-0.54&lt;/D&gt;&lt;D xsi:type="xsd:double"&gt;-0.59&lt;/D&gt;&lt;D xsi:type="xsd:double"&gt;-0.64&lt;/D&gt;&lt;D xsi:type="xsd:double"&gt;-0.63&lt;/D&gt;&lt;/FQL&gt;&lt;FQL&gt;&lt;Q&gt;COGT-US^FE_TIMESERIES(EAG,MEAN,2022,2022,FY,'BKRACTMED=1,WIN=0,UNITS=AUTO,DATE=NOW')&lt;/Q&gt;&lt;R&gt;1&lt;/R&gt;&lt;C&gt;1&lt;/C&gt;&lt;D xsi:type="xsd:double"&gt;-2.39&lt;/D&gt;&lt;/FQL&gt;&lt;FQL&gt;&lt;Q&gt;COGT-US^FE_TIMESERIES(EAG,MEAN,2022/1F,2022/4F,FQ,'BKRACTMED=1,WIN=0,UNITS=AUTO,DATE=NOW')&lt;/Q&gt;&lt;R&gt;4&lt;/R&gt;&lt;C&gt;1&lt;/C&gt;&lt;D xsi:type="xsd:double"&gt;-0.68&lt;/D&gt;&lt;D xsi:type="xsd:double"&gt;-0.71&lt;/D&gt;&lt;D xsi:type="xsd:double"&gt;-0.5&lt;/D&gt;&lt;D xsi:type="xsd:double"&gt;-0.56&lt;/D&gt;&lt;/FQL&gt;&lt;FQL&gt;&lt;Q&gt;COGT-US^FE_TIMESERIES(EAG,MEAN,2021,2021,FY,'BKRACTMED=1,WIN=0,UNITS=AUTO,DATE=NOW')&lt;/Q&gt;&lt;R&gt;1&lt;/R&gt;&lt;C&gt;1&lt;/C&gt;&lt;D xsi:type="xsd:double"&gt;-1.87&lt;/D&gt;&lt;/FQL&gt;&lt;FQL&gt;&lt;Q&gt;COGT-US^FE_TIMESERIES(EAG,MEAN,2021/1F,2021/4F,FQ,'BKRACTMED=1,WIN=0,UNITS=AUTO,DATE=NOW')&lt;/Q&gt;&lt;R&gt;4&lt;/R&gt;&lt;C&gt;1&lt;/C&gt;&lt;D xsi:type="xsd:double"&gt;-0.34&lt;/D&gt;&lt;D xsi:type="xsd:double"&gt;-0.43&lt;/D&gt;&lt;D xsi:type="xsd:double"&gt;-0.48&lt;/D&gt;&lt;D xsi:type="xsd:double"&gt;-0.585&lt;/D&gt;&lt;/FQL&gt;&lt;FQL&gt;&lt;Q&gt;COGT-US^FE_TIMESERIES</t>
        </r>
      </text>
    </comment>
    <comment ref="A3" authorId="0" shapeId="0" xr:uid="{1732BDED-54C8-4AD7-982D-24C650BA5BF6}">
      <text>
        <r>
          <rPr>
            <b/>
            <sz val="9"/>
            <color indexed="81"/>
            <rFont val="Tahoma"/>
            <charset val="1"/>
          </rPr>
          <t>(EAG,MEAN,2019,2020,FY,'BKRACTMED=1,WIN=0,UNITS=AUTO,DATE=NOW')&lt;/Q&gt;&lt;R&gt;2&lt;/R&gt;&lt;C&gt;1&lt;/C&gt;&lt;D xsi:type="xsd:double"&gt;-4.2&lt;/D&gt;&lt;D xsi:type="xsd:double"&gt;-16.17&lt;/D&gt;&lt;/FQL&gt;&lt;FQL&gt;&lt;Q&gt;COGT-US^FE_TIMESERIES(EPS,MEAN,2024,2025,FY,'BKRACTMED=1,WIN=0,UNITS=AUTO,DATE=NOW')&lt;/Q&gt;&lt;R&gt;2&lt;/R&gt;&lt;C&gt;1&lt;/C&gt;&lt;D xsi:type="xsd:double"&gt;-2.46&lt;/D&gt;&lt;D xsi:type="xsd:double"&gt;-2.1972&lt;/D&gt;&lt;/FQL&gt;&lt;FQL&gt;&lt;Q&gt;COGT-US^FE_TIMESERIES(EPS,MEAN,2024/1F,2024/4F,FQ,'BKRACTMED=1,WIN=0,UNITS=AUTO,DATE=NOW')&lt;/Q&gt;&lt;R&gt;4&lt;/R&gt;&lt;C&gt;1&lt;/C&gt;&lt;D xsi:type="xsd:double"&gt;-0.62&lt;/D&gt;&lt;D xsi:type="xsd:double"&gt;-0.59&lt;/D&gt;&lt;D xsi:type="xsd:double"&gt;-0.64&lt;/D&gt;&lt;D xsi:type="xsd:double"&gt;-0.61&lt;/D&gt;&lt;/FQL&gt;&lt;FQL&gt;&lt;Q&gt;COGT-US^FE_TIMESERIES(EPS,MEAN,2023,2023,FY,'BKRACTMED=1,WIN=0,UNITS=AUTO,DATE=NOW')&lt;/Q&gt;&lt;R&gt;1&lt;/R&gt;&lt;C&gt;1&lt;/C&gt;&lt;D xsi:type="xsd:double"&gt;-2.42&lt;/D&gt;&lt;/FQL&gt;&lt;FQL&gt;&lt;Q&gt;COGT-US^FE_TIMESERIES(EPS,MEAN,2023/1F,2023/4F,FQ,'BKRACTMED=1,WIN=0,UNITS=AUTO,DATE=NOW')&lt;/Q&gt;&lt;R&gt;4&lt;/R&gt;&lt;C&gt;1&lt;/C&gt;&lt;D xsi:type="xsd:double"&gt;-0.54&lt;/D&gt;&lt;D xsi:type="xsd:double"&gt;-0.59&lt;/D&gt;&lt;D xsi:type="xsd:double"&gt;-0.64&lt;/D&gt;&lt;D xsi:type="xsd:double"&gt;-0.63&lt;/D&gt;&lt;/FQL&gt;&lt;FQL&gt;&lt;Q&gt;COGT-US^FE_TIMESERIES(EPS,MEAN,2022,2022,FY,'BKRACTMED=1,WIN=0,UNITS=AUTO,DATE=NOW')&lt;/Q&gt;&lt;R&gt;1&lt;/R&gt;&lt;C&gt;1&lt;/C&gt;&lt;D xsi:type="xsd:double"&gt;-2.39&lt;/D&gt;&lt;/FQL&gt;&lt;FQL&gt;&lt;Q&gt;COGT-US^FE_TIMESERIES(EPS,MEAN,2022/1F,2022/4F,FQ,'BKRACTMED=1,WIN=0,UNITS=AUTO,DATE=NOW')&lt;/Q&gt;&lt;R&gt;4&lt;/R&gt;&lt;C&gt;1&lt;/C&gt;&lt;D xsi:type="xsd:double"&gt;-0.68&lt;/D&gt;&lt;D xsi:type="xsd:double"&gt;-0.71&lt;/D&gt;&lt;D xsi:type="xsd:double"&gt;-0.5&lt;/D&gt;&lt;D xsi:type="xsd:double"&gt;-0.56&lt;/D&gt;&lt;/FQL&gt;&lt;FQL&gt;&lt;Q&gt;COGT-US^FE_TIMESERIES(EPS,MEAN,2021,2021,FY,'BKRACTMED=1,WIN=0,UNITS=AUTO,DATE=NOW')&lt;/Q&gt;&lt;R&gt;1&lt;/R&gt;&lt;C&gt;1&lt;/C&gt;&lt;D xsi:type="xsd:double"&gt;-1.87&lt;/D&gt;&lt;/FQL&gt;&lt;FQL&gt;&lt;Q&gt;COGT-US^FE_TIMESERIES(EPS,MEAN,2021/1F,2021/4F,FQ,'BKRACTMED=1,WIN=0,UNITS=AUTO,DATE=NOW')&lt;/Q&gt;&lt;R&gt;4&lt;/R&gt;&lt;C&gt;1&lt;/C&gt;&lt;D xsi:type="xsd:double"&gt;-0.34&lt;/D&gt;&lt;D xsi:type="xsd:double"&gt;-0.43&lt;/D&gt;&lt;D xsi:type="xsd:double"&gt;-0.48&lt;/D&gt;&lt;D xsi:type="xsd:double"&gt;-0.6&lt;/D&gt;&lt;/FQL&gt;&lt;FQL&gt;&lt;Q&gt;COGT-US^FE_TIMESERIES(EPS,MEAN,2019,2020,FY,'BKRACTMED=1,WIN=0,UNITS=AUTO,DATE=NOW')&lt;/Q&gt;&lt;R&gt;2&lt;/R&gt;&lt;C&gt;1&lt;/C&gt;&lt;D xsi:type="xsd:double"&gt;-4.16&lt;/D&gt;&lt;D xsi:type="xsd:double"&gt;-16.17&lt;/D&gt;&lt;/FQL&gt;&lt;FQL&gt;&lt;Q&gt;COGT-US^FE_TIMESERIES(SALES,MEAN,2022,2022,FY,'BKRACTMED=1,WIN=0,UNITS=AUTO,DATE=NOW')&lt;/Q&gt;&lt;R&gt;1&lt;/R&gt;&lt;C&gt;1&lt;/C&gt;&lt;D xsi:type="xsd:double"&gt;0&lt;/D&gt;&lt;/FQL&gt;&lt;FQL&gt;&lt;Q&gt;COGT-US^FE_TIMESERIES(SALES,MEAN,2022/1F,2022/4F,FQ,'BKRACTMED=1,WIN=0,UNITS=AUTO,DATE=NOW')&lt;/Q&gt;&lt;R&gt;4&lt;/R&gt;&lt;C&gt;1&lt;/C&gt;&lt;D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xsi:type="xsd:double"&gt;0&lt;/D&gt;&lt;/FQL&gt;&lt;FQL&gt;&lt;Q&gt;COGT-US^FE_TIMESERIES(SALES,MEAN,2021,2021,FY,'BKRACTMED=1,WIN=0,UNITS=AUTO,DATE=NOW')&lt;/Q&gt;&lt;R&gt;1&lt;/R&gt;&lt;C&gt;1&lt;/C&gt;&lt;D xsi:type="xsd:double"&gt;0&lt;/D&gt;&lt;/FQL&gt;&lt;FQL&gt;&lt;Q&gt;COGT-US^FE_TIMESERIES(SALES,MEAN,2021/1F,2021/4F,FQ,'BKRACTMED=1,WIN=0,UNITS=AUTO,DATE=NOW')&lt;/Q&gt;&lt;R&gt;4&lt;/R&gt;&lt;C&gt;1&lt;/C&gt;&lt;D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xsi:type="xsd:double"&gt;0&lt;/D&gt;&lt;/FQL&gt;&lt;FQL&gt;&lt;Q&gt;COGT-US^FE_TIMESERIES_PERIOD(,2024,2025,FY,'')&lt;/Q&gt;&lt;R&gt;2&lt;/R&gt;&lt;C&gt;1&lt;/C&gt;&lt;D xsi:type="xsd:string"&gt;2024&lt;/D&gt;&lt;D xsi:type="xsd:string"&gt;2025&lt;/D&gt;&lt;/FQL&gt;&lt;FQL&gt;&lt;Q&gt;COGT-US^FE_TIMESERIES_PERIOD(,2024/1F,2024/4F,FQ,'')&lt;/Q&gt;&lt;R&gt;4&lt;/R&gt;&lt;C&gt;1&lt;/C&gt;&lt;D xsi:type="xsd:string"&gt;2024/1F&lt;/D&gt;&lt;D xsi:type="xsd:string"&gt;2024/2F&lt;/D&gt;&lt;D xsi:type="xsd:string"&gt;2024/3F&lt;/D&gt;&lt;D xsi:type="xsd:string"&gt;2024/4F&lt;/D&gt;&lt;/FQL&gt;&lt;FQL&gt;&lt;Q&gt;COGT-US^FE_TIMESERIES_PERIOD(,2023,2023,FY,'')&lt;/Q&gt;&lt;R&gt;1&lt;/R&gt;&lt;C&gt;1&lt;/C&gt;&lt;D xsi:type="xsd:string"&gt;2023&lt;/D&gt;&lt;/FQL&gt;&lt;FQL&gt;&lt;Q&gt;COGT-US^FE_TIMESERIES_PERIOD(,2023/1F,2023/4F,FQ,'')&lt;/Q&gt;&lt;R&gt;4&lt;/R&gt;&lt;C&gt;1&lt;/C&gt;&lt;D xsi:type="xsd:string"&gt;2023/1F&lt;/D&gt;&lt;D xsi:type="xsd:string"&gt;2023/2F&lt;/D&gt;&lt;D xsi:type="xsd:string"&gt;2023/3F&lt;/D&gt;&lt;D xsi:type="xsd:string"&gt;2023/4F&lt;/D&gt;&lt;/FQL&gt;&lt;FQL&gt;&lt;Q&gt;COGT-US^FE_TIMESERIES_PERIOD(,2022,2022,FY,'')&lt;/Q&gt;&lt;R&gt;1&lt;/R&gt;&lt;C&gt;1&lt;/C&gt;&lt;D xsi:type="xsd:string"&gt;2022&lt;/D&gt;&lt;/FQL&gt;&lt;FQL&gt;&lt;Q&gt;COGT-US^FE_TIMESERIES_PERIOD(,2022/1F,2022/4F,FQ,'')&lt;/Q&gt;&lt;R&gt;4&lt;/R&gt;&lt;C&gt;1&lt;/C&gt;&lt;D xsi:type="xsd:string"&gt;2022/1F&lt;/D&gt;&lt;D xsi:type="xsd:string"&gt;2022/2F&lt;/D&gt;&lt;D xsi:type="xsd:string"&gt;2022/3F&lt;/D&gt;&lt;D xsi:type="xsd:string"&gt;2022/4F&lt;/D&gt;&lt;/FQL&gt;&lt;FQL&gt;&lt;Q&gt;COGT-US^FE_TIMESERIES_PERIOD(,2021,2021,FY,'')&lt;/Q&gt;&lt;R&gt;1&lt;/R&gt;&lt;C&gt;1&lt;/C&gt;&lt;D xsi:type="xsd:string"&gt;2021&lt;/D&gt;&lt;/FQL&gt;&lt;FQL&gt;&lt;Q&gt;COGT-US^FE_TIMESERIES_PERIOD(,2021/1F,2021/4F,FQ,'')&lt;/Q&gt;&lt;R&gt;4&lt;/R&gt;&lt;C&gt;1&lt;/C&gt;&lt;D xsi:type="xsd:string"&gt;2021/1F&lt;/D&gt;&lt;D xsi:type="xsd:string"&gt;2021/2F&lt;/D&gt;&lt;D xsi:type="xsd:string"&gt;2021/3F&lt;/D&gt;&lt;D xsi:type="xsd:string"&gt;2021/4F&lt;/D&gt;&lt;/FQL&gt;&lt;FQL&gt;&lt;Q&gt;COGT-US^FE_TIMESERIES_PERIOD(,2019,2020,FY,'')&lt;/Q&gt;&lt;R&gt;2&lt;/R&gt;&lt;C&gt;1&lt;/C&gt;&lt;D xsi:type="xsd:string"&gt;2019&lt;/D&gt;&lt;D xsi:type="xsd:string"&gt;2020&lt;/D&gt;&lt;/FQL&gt;&lt;FQL&gt;&lt;Q&gt;COGT-US^PROPER(CONVERT_DATE(FE_TIMESERIES_PERIOD(,2024,2025,FY,'DISPLAY=YYYYMMDD'),"MMM 'YY"))&lt;/Q&gt;&lt;R&gt;2&lt;/R&gt;&lt;C&gt;1&lt;/C&gt;&lt;D xsi:type="xsd:string"&gt;Dec '24&lt;/D&gt;&lt;D xsi:type="xsd:string"&gt;Dec '25&lt;/D&gt;&lt;/FQL&gt;&lt;FQL&gt;&lt;Q&gt;COGT-US^PROPER(CONVERT_DATE(FE_TIMESERIES_PERIOD(,2024/1F,2024/4F,FQ,'DISPLAY=YYYYMMDD'),"MMM 'YY"))&lt;/Q&gt;&lt;R&gt;4&lt;/R&gt;&lt;C&gt;1&lt;/C&gt;&lt;D xsi:type="xsd:string"&gt;Mar '24&lt;/D&gt;&lt;D xsi:type="xsd:string"&gt;Jun '24&lt;/D&gt;&lt;D xsi:type="xsd:string"&gt;Sep '24&lt;/D&gt;&lt;D xsi:type="xsd:string"&gt;Dec '24&lt;/D&gt;&lt;/FQL&gt;&lt;FQL&gt;&lt;Q&gt;COGT-US^PROPER(CONVERT_DATE(FE_TIMESERIES_PERIOD(,2023,2023,FY,'DISPLAY=YYYYMMDD'),"MMM 'YY"))&lt;/Q&gt;&lt;R&gt;1&lt;/R&gt;&lt;C&gt;1&lt;/C&gt;&lt;D xsi:type="xsd:string"&gt;Dec '23&lt;/D&gt;&lt;/FQL&gt;&lt;FQL&gt;&lt;Q&gt;COGT-US^PROPER(CONVERT_DATE(FE_TIMESERIES_PERIOD(,2023/1F,2023/4F,FQ,'DISPLAY=YYYYMMDD'),"MMM 'YY"))&lt;/Q&gt;&lt;R&gt;4&lt;/R&gt;&lt;C&gt;1&lt;/C&gt;&lt;D xsi:type="xsd:string"&gt;Mar '23&lt;/D&gt;&lt;D xsi:type="xsd:string"&gt;Jun '23&lt;/D&gt;&lt;D xsi:type="xsd:string"&gt;Sep '23&lt;/D&gt;&lt;D xsi:type="xsd:string"&gt;Dec '23&lt;/D&gt;&lt;/FQL&gt;&lt;FQL&gt;&lt;Q&gt;COGT-US^PROPER(CONVERT_DATE(FE_TIMESERIES_PERIOD(,2022,2022,FY,'DISPLAY=YYYYMMDD'),"MMM 'YY"))&lt;/Q&gt;&lt;R&gt;1&lt;/R&gt;&lt;C&gt;1&lt;/C&gt;&lt;D xsi:type="xsd:string"&gt;Dec '22&lt;/D&gt;&lt;/FQL&gt;&lt;FQL&gt;&lt;Q&gt;COGT-US^PROPER(CONVERT_DATE(FE_TIMESERIES_PERIOD(,2022/1F,2022/4F,FQ,'DISPLAY=YYYYMMDD'),"MMM 'YY"))&lt;/Q&gt;&lt;R&gt;4&lt;/R&gt;&lt;C&gt;1&lt;/C&gt;&lt;D xsi:type="xsd:string"&gt;Mar '22&lt;/D&gt;&lt;D xsi:type="xsd:string"&gt;Jun '22&lt;/D&gt;&lt;D xsi:type="xsd:string"&gt;Sep '22&lt;/D&gt;&lt;D xsi:type="xsd:string"&gt;Dec '22&lt;/D&gt;&lt;/FQL&gt;&lt;FQL&gt;&lt;Q&gt;COGT-US^PROPER(CONVERT_DATE(FE_TIMESERIES_PERIOD(,2021,2021,FY,'DISPLAY=YYYYMMDD'),"MMM 'YY"))&lt;/Q&gt;&lt;R&gt;1&lt;/R&gt;&lt;C&gt;1&lt;/C&gt;&lt;D xsi:type="xsd:string"&gt;Dec '21&lt;/D&gt;&lt;/FQL&gt;&lt;FQL&gt;&lt;Q&gt;COGT-US^PROPER(CONVERT_DATE(FE_TIMESERIES_PERIOD(,2021/1F,2021/4F,FQ,'DISPLAY=YYYYMMDD'),"MMM 'YY"))&lt;/Q&gt;&lt;R&gt;4&lt;/R&gt;&lt;C&gt;1&lt;/C&gt;&lt;D xsi:type="xsd:string"&gt;Mar '21&lt;/D&gt;&lt;D xsi:type="xsd:string"&gt;Jun '21&lt;/D&gt;&lt;D xsi:type="xsd:string"&gt;Sep '21&lt;/D&gt;&lt;D xsi:type="xsd:string"&gt;Dec '21&lt;/D&gt;&lt;/FQL&gt;&lt;FQL&gt;&lt;Q&gt;COGT-US^PROPER(CONVERT_DATE(FE_TIMESERIES_PERIOD(,2019,2020,FY,'DISPLAY=YYYYMMDD'),"MMM 'YY"))&lt;/Q&gt;&lt;R&gt;2&lt;/R&gt;&lt;C&gt;1&lt;/C&gt;&lt;D xsi:type="xsd:string"&gt;Dec '19&lt;/D&gt;&lt;D xsi:type="xsd:string"&gt;Dec '20&lt;/D&gt;&lt;/FQL&gt;&lt;FQL&gt;&lt;Q&gt;COGT-US^FE_TIMESERIES(EBG,MEAN,2021,2026,FY,'BKRACTMED=1,WIN=0,UNITS=AUTO,DATE=NOW')&lt;/Q&gt;&lt;R&gt;6&lt;/R&gt;&lt;C&gt;1&lt;/C&gt;&lt;D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xsi:type="xsd:string"&gt;@NA&lt;/D&gt;&lt;/FQL&gt;&lt;FQL&gt;&lt;Q&gt;COGT-US^FE_TIMESERIES(CUSTOM_EPS,MEAN,2021,2026,FY,'BKRACTMED=1,WIN=0,UNITS=AUTO,DATE=NOW')&lt;/Q&gt;&lt;R&gt;6&lt;/R&gt;&lt;C&gt;1&lt;/C&gt;&lt;D xsi:type="xsd:double"&gt;-1.715&lt;/D&gt;&lt;D xsi:type="xsd:double"&gt;-2.06&lt;/D&gt;&lt;D xsi:type="xsd:double"&gt;-2.2086644&lt;/D&gt;&lt;D xsi:type="xsd:double"&gt;-2.06&lt;/D&gt;&lt;D xsi:type="xsd:double"&gt;-2.06&lt;/D&gt;&lt;D xsi:type="xsd:double"&gt;-1.678&lt;/D&gt;&lt;/FQL&gt;&lt;FQL&gt;&lt;Q&gt;COGT-US^FE_TIMESERIES(EAG,MEAN,2021,2026,FY,'BKRACTMED=1,WIN=0,UNITS=AUTO,DATE=NOW')&lt;/Q&gt;&lt;R&gt;6&lt;/R&gt;&lt;C&gt;1&lt;/C&gt;&lt;D xsi:type="xsd:double"&gt;-1.87&lt;/D&gt;&lt;D xsi:type="xsd:double"&gt;-2.39&lt;/D&gt;&lt;D xsi:type="xsd:double"&gt;-2.42&lt;/D&gt;&lt;D xsi:type="xsd:double"&gt;-2.46&lt;/D&gt;&lt;D xsi:type="xsd:double"&gt;-2.2642858&lt;/D&gt;&lt;D xsi:type="xsd:double"&gt;-1.8257142&lt;/D&gt;&lt;/FQL&gt;&lt;FQL&gt;&lt;Q&gt;COGT-US^FE_TIMESERIES(EPS,MEAN,2021,2026,FY,'BKRACTMED=1,WIN=0,UNITS=AUTO,DATE=NOW')&lt;/Q&gt;&lt;R&gt;6&lt;/R&gt;&lt;C&gt;1&lt;/C&gt;&lt;D xsi:type="xsd:double"&gt;-1.87&lt;/D&gt;&lt;D xsi:type="xsd:double"&gt;-2.39&lt;/D&gt;&lt;D xsi:type="xsd:double"&gt;-2.42&lt;/D&gt;&lt;D xsi:type="xsd:double"&gt;-2.46&lt;/D&gt;&lt;D xsi:type="xsd:double"&gt;-2.1972&lt;/D&gt;&lt;D xsi:type="xsd:double"&gt;-1.87345&lt;/D&gt;&lt;/FQL&gt;&lt;FQL&gt;&lt;Q&gt;COGT-US^FE_TIMESERIES(EBG,MEAN,2023,2023,FY,'BKRACTMED=1,WIN=0,UNITS=AUTO,DATE=NOW')&lt;/Q&gt;&lt;R&gt;0&lt;/R&gt;&lt;C&gt;0&lt;/C&gt;&lt;/FQL&gt;&lt;FQL&gt;&lt;Q&gt;COGT-US^FE_TIMESERIES(EBG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G,MEAN,2022,2022,FY,'BKRACTMED=1,WIN=0,UNITS=AUTO,DATE=NOW')&lt;/Q&gt;&lt;R&gt;0&lt;/R&gt;&lt;C&gt;0&lt;/C&gt;&lt;/FQL&gt;&lt;FQL&gt;&lt;Q&gt;COGT-US^FE_TIMESERIES(EB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G,MEAN,2021,2021,FY,'BKRACTMED=1,WIN=0,UNITS=AUTO,DATE=NOW')&lt;/Q&gt;&lt;R&gt;0&lt;/R&gt;&lt;C&gt;0&lt;/C&gt;&lt;/FQL&gt;&lt;FQL&gt;&lt;Q&gt;COGT-US^FE_TIMESERIES(EB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xsi:type="xsd:string"&gt;@NA&lt;/D&gt;&lt;/FQL&gt;&lt;FQL&gt;&lt;Q&gt;COGT-US^FE_TIMESERIES(EBG,MEAN,2019,2020,FY,'BKRACTMED=1,WIN=0,UNITS=AUTO,DATE=NOW')&lt;/Q&gt;&lt;R&gt;2&lt;/R&gt;&lt;C&gt;1&lt;/C&gt;&lt;D xsi:type="xsd:string"&gt;@NA&lt;/D&gt;&lt;D xsi:type="xsd:string"&gt;@NA&lt;/D&gt;&lt;/FQL&gt;&lt;FQL&gt;&lt;Q&gt;COGT-US^FE_TIMESERIES(CUSTOM_EPS,MEAN,2025,2025,FY,'BKRACTMED=1,WIN=0,UNITS=AUTO,DATE=NOW')&lt;/Q&gt;&lt;R&gt;1&lt;/R&gt;&lt;C&gt;1&lt;/C&gt;&lt;D xsi:type="xsd:double"&gt;-2.06&lt;/D&gt;&lt;/FQL&gt;&lt;FQL&gt;&lt;Q&gt;COGT-US^FE_TIMESERIES(CUSTOM_EPS,MEAN,2025/1F,2025/4F,FQ,'BKRACTMED=1,WIN=0,UNITS=AUTO,DATE=NOW')&lt;/Q&gt;&lt;R&gt;4&lt;/R&gt;&lt;C&gt;1&lt;/C&gt;&lt;D xsi:type="xsd:double"&gt;-0.52&lt;/D&gt;&lt;D xsi:type="xsd:double"&gt;-0.54&lt;/D&gt;&lt;D xsi:type="xsd:double"&gt;-0.494&lt;/D&gt;&lt;D xsi:type="xsd:double"&gt;-0.47&lt;/D&gt;&lt;/FQL&gt;&lt;FQL&gt;&lt;Q&gt;COGT-US^FE_TIMESERIES(CUSTOM_EPS,MEAN,2024,2025,FY,'BKRACTMED=1,WIN=0,UNITS=AUTO,DATE=NOW')&lt;/Q&gt;&lt;R&gt;2&lt;/R&gt;&lt;C&gt;1&lt;/C&gt;&lt;D xsi:type="xsd:double"&gt;-2.06&lt;/D&gt;&lt;D xsi:type="xsd:double"&gt;-2.06&lt;/D&gt;&lt;/FQL&gt;&lt;FQL&gt;&lt;Q&gt;COGT-US^FE_TIMESERIES(CUSTOM_EPS,MEAN,2024/1F,2024/4F,FQ,'BKRACTMED=1,WIN=0,UNITS=AUTO,DATE=NOW')&lt;/Q&gt;&lt;R&gt;4&lt;/R&gt;&lt;C&gt;1&lt;/C&gt;&lt;D xsi:type="xsd:double"&gt;-0.5627275&lt;/D&gt;&lt;D xsi:type="xsd:double"&gt;-0.54200715&lt;/D&gt;&lt;D xsi:type="xsd:double"&gt;-0.59&lt;/D&gt;&lt;D xsi:type="xsd:double"&gt;-0.5&lt;/D&gt;&lt;/FQL&gt;&lt;FQL&gt;&lt;Q&gt;COGT-US^FE_TIMESERIES(CUSTOM_EPS,MEAN,2023,2023,FY,'BKRACTMED=1,WIN=0,UNITS=AUTO,DATE=NOW')&lt;/Q&gt;&lt;R&gt;1&lt;/R&gt;&lt;C&gt;1&lt;/C&gt;&lt;D xsi:type="xsd:double"&gt;-2.2086644&lt;/D&gt;&lt;/FQL&gt;&lt;FQL&gt;&lt;Q&gt;COGT-US^FE_TIMESERIES(CUSTOM_EPS,MEAN,2023/1F,2023/4F,FQ,'BKRACTMED=1,WIN=0,UNITS=AUTO,DATE=NOW')&lt;/Q&gt;&lt;R&gt;4&lt;/R&gt;&lt;C&gt;1&lt;/C&gt;&lt;D xsi:type="xsd:double"&gt;-0.46&lt;/D&gt;&lt;D xsi:type="xsd:double"&gt;-0.49&lt;/D&gt;&lt;D xsi:type="xsd:double"&gt;-0.585&lt;/D&gt;&lt;D xsi:type="xsd:double"&gt;-0.52&lt;/D&gt;&lt;/FQL&gt;&lt;FQL&gt;&lt;Q&gt;COGT-US^FE_TIMESERIES(CUSTOM_EPS,MEAN,2022,2022,FY,'BKRACTMED=1,WIN=0,UNITS=AUTO,DATE=NOW')&lt;/Q&gt;&lt;R&gt;1&lt;/R&gt;&lt;C&gt;1&lt;/C&gt;&lt;D xsi:type="xsd:double"&gt;-2.06&lt;/D&gt;&lt;/FQL&gt;&lt;FQL&gt;&lt;Q&gt;COGT-US^FE_TIMESERIES(CUSTOM_EPS,MEAN,2022/1F,2022/4F,FQ,'BKRACTMED=1,WIN=0,UNITS=AUTO,DATE=NOW')&lt;/Q&gt;&lt;R&gt;4&lt;/R&gt;&lt;C&gt;1&lt;/C&gt;&lt;D xsi:type="xsd:double"&gt;-0.59&lt;/D&gt;&lt;D xsi:type="xsd:double"&gt;-0.61&lt;/D&gt;&lt;D xsi:type="xsd:double"&gt;-0.43&lt;/D&gt;&lt;D xsi:type="xsd:double"&gt;-0.48&lt;/D&gt;&lt;/FQL&gt;&lt;FQL&gt;&lt;Q&gt;COGT-US^FE_TIMESERIES(CUSTOM_EPS,MEAN,2021,2021,FY,'BKRACTMED=1,WIN=0,UNITS=AUTO,DATE=NOW')&lt;/Q&gt;&lt;R&gt;1&lt;/R&gt;&lt;C&gt;1&lt;/C&gt;&lt;D xsi:type="xsd:double"&gt;-1.715&lt;/D&gt;&lt;/FQL&gt;&lt;FQL&gt;&lt;Q&gt;COGT-US^FE_TIMESERIES(CUSTOM_EPS,MEAN,2021/1F,2021/4F,FQ,'BKRACTMED=1,WIN=0,UNITS=AUTO,DATE=NOW')&lt;/Q&gt;&lt;R&gt;4&lt;/R&gt;&lt;C&gt;1&lt;/C&gt;&lt;D xsi:type="xsd:double"&gt;-0.28&lt;/D&gt;&lt;D xsi:type="xsd:double"&gt;-0.36&lt;/D&gt;&lt;D xsi:type="xsd:string"&gt;@NA&lt;/D&gt;&lt;D xsi:type="xsd:double"&gt;-0.55&lt;/D&gt;&lt;/FQL&gt;&lt;FQL&gt;&lt;Q&gt;COGT-US^FE_TIMESERIES(CUSTOM_EPS,MEAN,2019,2020,FY,'BKRACTMED=1,WIN=0,UNITS=AUTO,DATE=NOW')&lt;/Q&gt;&lt;R&gt;2&lt;/R&gt;&lt;C&gt;1&lt;/C&gt;&lt;D xsi:type="xsd:double"&gt;-3.76&lt;/D&gt;&lt;D xsi:type="xsd:double"&gt;-15.56&lt;/D&gt;&lt;/FQL&gt;&lt;FQL&gt;&lt;Q&gt;COGT-US^FREF_MARKET_VALUE_COMPANY(0,,,,,0)&lt;/Q&gt;&lt;R&gt;1&lt;/R&gt;&lt;C&gt;1&lt;/C&gt;&lt;D xsi:type="xsd:double"&gt;513.492628827618&lt;/D&gt;&lt;/FQL&gt;&lt;FQL&gt;&lt;Q&gt;^P_DATE(0)&lt;/Q&gt;&lt;R&gt;1&lt;/R&gt;&lt;C&gt;1&lt;/C&gt;&lt;D xsi:type="xsd:string"&gt;04/02/2026&lt;/D&gt;&lt;/FQL&gt;&lt;FQL&gt;&lt;Q&gt;COGT^P_PRICE(45772)&lt;/Q&gt;&lt;R&gt;1&lt;/R&gt;&lt;C&gt;1&lt;/C&gt;&lt;D xsi:type="xsd:double"&gt;4.64&lt;/D&gt;&lt;/FQL&gt;&lt;FQL&gt;&lt;Q&gt;COGT-US^FF_CASH_ST(LTMSG,04/24/2025,,,,LOCAL)&lt;/Q&gt;&lt;R&gt;1&lt;/R&gt;&lt;C&gt;1&lt;/C&gt;&lt;D xsi:type="xsd:double"&gt;287.077&lt;/D&gt;&lt;/FQL&gt;&lt;FQL&gt;&lt;Q&gt;COGT^P_PRICE(45874)&lt;/Q&gt;&lt;R&gt;1&lt;/R&gt;&lt;C&gt;1&lt;/C&gt;&lt;D xsi:type="xsd:double"&gt;11.53&lt;/D&gt;&lt;/FQL&gt;&lt;FQL&gt;&lt;Q&gt;COGT^P_PRICE(45951)&lt;/Q&gt;&lt;R&gt;1&lt;/R&gt;&lt;C&gt;1&lt;/C&gt;&lt;D xsi:type="xsd:double"&gt;16.235&lt;/D&gt;&lt;/FQL&gt;&lt;FQL&gt;&lt;Q&gt;COGT-US^FE_TIMESERIES(EAG,MEAN,2026/1F,2026/4F,FQ,'BKRACTMED=1,WIN=0,UNITS=AUTO,DATE=NOW')&lt;/Q&gt;&lt;R&gt;4&lt;/R&gt;&lt;C&gt;1&lt;/C&gt;&lt;D xsi:type="xsd:double"&gt;-0.511008&lt;/D&gt;&lt;D xsi:type="xsd:double"&gt;-0.52599233&lt;/D&gt;&lt;D xsi:type="xsd:double"&gt;-0.47454366&lt;/D&gt;&lt;D xsi:type="xsd:double"&gt;-0.40253331999999997&lt;/D&gt;&lt;/FQL&gt;&lt;FQL&gt;&lt;Q&gt;COGT-US^FE_TIMESERIES(EAG,MEAN,2026,2026,FY,'BKRACTMED=1,WIN=0,UNITS=AUTO,DATE=NOW')&lt;/Q&gt;&lt;R&gt;1&lt;/R&gt;&lt;C&gt;1&lt;/C&gt;&lt;D xsi:type="xsd:double"&gt;-1.8299536&lt;/D&gt;&lt;/FQL&gt;&lt;FQL&gt;&lt;Q&gt;COGT-US^FE_TIMESERIES(EPS,MEAN,2026/1F,2026/4F,FQ,'BKRACTMED=1,WIN=0,UNITS=AUTO,DATE=NOW')&lt;/Q&gt;&lt;R&gt;4&lt;/R&gt;&lt;C&gt;1&lt;/C&gt;&lt;D xsi:type="xsd:double"&gt;-0.501628&lt;/D&gt;&lt;D xsi:type="xsd:double"&gt;-0.51974714&lt;/D&gt;&lt;D xsi:type="xsd:double"&gt;-0.5104539&lt;/D&gt;&lt;D xsi:type="xsd:double"&gt;-0.44345&lt;/D&gt;&lt;/FQL&gt;&lt;FQL&gt;&lt;Q&gt;COGT-US^FE_TIMESERIES(EPS,MEAN,2026,2026,FY,'BKRACTMED=1,WIN=0,UNITS=AUTO,DATE=NOW')&lt;/Q&gt;&lt;R&gt;1&lt;/R&gt;&lt;C&gt;1&lt;/C&gt;&lt;D xsi:type="xsd:double"&gt;-1.8022268&lt;/D&gt;&lt;/FQL&gt;&lt;FQL&gt;&lt;Q&gt;COGT-US^FE_TIMESERIES_PERIOD(,2026/1F,2026/4F,FQ,'')&lt;/Q&gt;&lt;R&gt;4&lt;/R&gt;&lt;C&gt;1&lt;/C&gt;&lt;D xsi:type="xsd:string"&gt;2026/1F&lt;/D&gt;&lt;D xsi:type="xsd:string"&gt;2026/2F&lt;/D&gt;&lt;D xsi:type="xsd:string"&gt;2026/3F&lt;/D&gt;&lt;D xsi:type="xsd:string"&gt;2026/4F&lt;/D&gt;&lt;/FQL&gt;&lt;FQL&gt;&lt;Q&gt;COGT-US^FE_TIMESERIES_PERIOD(,2026,2026,FY,'')&lt;/Q&gt;&lt;R&gt;1&lt;/R&gt;&lt;C&gt;1&lt;/C&gt;&lt;D xsi:type="xsd:string"&gt;2026&lt;/D&gt;&lt;/FQL&gt;&lt;FQL&gt;&lt;Q&gt;COGT-US^PROPER(CONVERT_DATE(FE_TIMESERIES_PERIOD(,2026/1F,2026/4F,FQ,'DISPLAY=YYYYMMDD'),"MMM 'YY"))&lt;/Q&gt;&lt;R&gt;4&lt;/R&gt;&lt;C&gt;1&lt;/C&gt;&lt;D xsi:type="xsd:string"&gt;Mar '26&lt;/D&gt;&lt;D xsi:type="xsd:string"&gt;Jun '26&lt;/D&gt;&lt;D xsi:type="xsd:string"&gt;Sep '26&lt;/D&gt;&lt;D xsi:type="xsd:string"&gt;Dec '26&lt;/D&gt;&lt;/FQL&gt;&lt;FQL&gt;&lt;Q&gt;COGT-US^PROPER(CONVERT_DATE(FE_TIMESERIES_PERIOD(,2026,2026,FY,'DISPLAY=YYYYMMDD'),"MMM 'YY"))&lt;/Q&gt;&lt;R&gt;1&lt;/R&gt;&lt;C&gt;1&lt;/C&gt;&lt;D xsi:type="xsd:string"&gt;Dec '26&lt;/D&gt;&lt;/FQL&gt;&lt;FQL&gt;&lt;Q&gt;COGT^P_PRICE(46045)&lt;/Q&gt;&lt;R&gt;1&lt;/R&gt;&lt;C&gt;1&lt;/C&gt;&lt;D xsi:type="xsd:double"&gt;36.97&lt;/D&gt;&lt;/FQL&gt;&lt;FQL&gt;&lt;Q&gt;MPLT^FE_TIMESERIES(NETBG,MEAN,2025,2025,FY,'BKRACTMED=1,WIN=0,UNITS=AUTO,DATE=NOW')&lt;/Q&gt;&lt;R&gt;0&lt;/R&gt;&lt;C&gt;0&lt;/C&gt;&lt;/FQL&gt;&lt;FQL&gt;&lt;Q&gt;MPLT^FE_TIMESERIES(NETBG,MEAN,2023,2024,FY,'BKRACTMED=1,WIN=0,UNITS=AUTO,DATE=NOW')&lt;/Q&gt;&lt;R&gt;2&lt;/R&gt;&lt;C&gt;1&lt;/C&gt;&lt;D xsi:type="xsd:string"&gt;@NA&lt;/D&gt;&lt;D xsi:type="xsd:string"&gt;@NA&lt;/D&gt;&lt;/FQL&gt;&lt;FQL&gt;&lt;Q&gt;MPLT^FE_TIMESERIES(NETPROFIT,MEAN,2026/1F,2026/4F,FQ,'BKRACTMED=1,WIN=0,UNITS=AUTO,DATE=NOW')&lt;/Q&gt;&lt;R&gt;4&lt;/R&gt;&lt;C&gt;1&lt;/C&gt;&lt;D xsi:type="xsd:double"&gt;-39.1&lt;/D&gt;&lt;D xsi:type="xsd:double"&gt;-42.3&lt;/D&gt;&lt;D xsi:type="xsd:double"&gt;-48.4&lt;/D&gt;&lt;D xsi:type="xsd:double"&gt;-54.3&lt;/D&gt;&lt;/FQL&gt;&lt;FQL&gt;&lt;Q&gt;MPLT^FE_TIMESERIES(PTPBG,MEAN,2025/1F,2025/4F,FQ,'BKRACTMED=1,WIN=0,UNITS=AUTO,DATE=NOW')&lt;/Q&gt;&lt;R&gt;4&lt;/R&gt;&lt;C&gt;1&lt;/C&gt;&lt;D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xsi:type="xsd:string"&gt;@NA&lt;/D&gt;&lt;/FQL&gt;&lt;FQL&gt;&lt;Q&gt;MPLT^FE_TIMESERIES(INTEXP,MEAN,2026,2027,FY,'BKRACTMED=1,WIN=0,UNITS=AUTO,DATE=NOW')&lt;/Q&gt;&lt;R&gt;2&lt;/R&gt;&lt;C&gt;1&lt;/C&gt;&lt;D xsi:type="xsd:string"&gt;@NA&lt;/D&gt;&lt;D xsi:type="xsd:string"&gt;@NA&lt;/D&gt;&lt;/FQL&gt;&lt;FQL&gt;&lt;Q&gt;MPLT^FE_TIMESERIES(EBIT,MEAN,2025,2025,FY,'BKRACTMED=1,WIN=0,UNITS=AUTO,DATE=NOW')&lt;/Q&gt;&lt;R&gt;1&lt;/R&gt;&lt;C&gt;1&lt;/C&gt;&lt;D xsi:type="xsd:double"&gt;-135.0082&lt;/D&gt;&lt;/FQL&gt;&lt;FQL&gt;&lt;Q&gt;MPLT^FE_TIMESERIES(EBIT,MEAN,2023,2024,FY,'BKRACTMED=1,WIN=0,UNITS=AUTO,DATE=NOW')&lt;/Q&gt;&lt;R&gt;2&lt;/R&gt;&lt;C&gt;1&lt;/C&gt;&lt;D xsi:type="xsd:string"&gt;@NA&lt;/D&gt;&lt;D xsi:type="xsd:string"&gt;@NA&lt;/D&gt;&lt;/FQL&gt;&lt;FQL&gt;&lt;Q&gt;MPLT^FE_TIMESERIES(DEPR_AMORT,MEAN,2026/1F,2026/4F,FQ,'BKRACTMED=1,WIN=0,UNITS=AUTO,DATE=NOW')&lt;/Q&gt;&lt;R&gt;4&lt;/R&gt;&lt;C&gt;1&lt;/C&gt;&lt;D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xsi:type="xsd:string"&gt;@NA&lt;/D&gt;&lt;/FQL&gt;&lt;FQL&gt;&lt;Q&gt;MPLT^FE_TIMESERIES(SGA,MEAN,2026,2027,FY,'BKRACTMED=1,WIN=0,UNITS=AUTO,DATE=NOW')&lt;/Q&gt;&lt;R&gt;2&lt;/R&gt;&lt;C&gt;1&lt;/C&gt;&lt;D xsi:type="xsd:double"&gt;22&lt;/D&gt;&lt;D xsi:type="xsd:double"&gt;27.5&lt;/D&gt;&lt;/FQL&gt;&lt;FQL&gt;&lt;Q&gt;MPLT^FE_TIMESERIES(COS,MEAN,2025,2025,FY,'BKRACTMED=1,WIN=0,UNITS=AUTO,DATE=NOW')&lt;/Q&gt;&lt;R&gt;1&lt;/R&gt;&lt;C&gt;1&lt;/C&gt;&lt;D xsi:type="xsd:double"&gt;0&lt;/D&gt;&lt;/FQL&gt;&lt;FQL&gt;&lt;Q&gt;MPLT^FE_TIMESERIES(COS,MEAN,2023,2024,FY,'BKRACTMED=1,WIN=0,UNITS=AUTO,DATE=NOW')&lt;/Q&gt;&lt;R&gt;2&lt;/R&gt;&lt;C&gt;1&lt;/C&gt;&lt;D xsi:type="xsd:string"&gt;@NA&lt;/D&gt;&lt;D xsi:type="xsd:string"&gt;@NA&lt;/D&gt;&lt;/FQL&gt;&lt;FQL&gt;&lt;Q&gt;MPLT^FE_TIMESERIES(SALES,MEAN,2026/1F,2026/4F,FQ,'BKRACTMED=1,WIN=0,UNITS=AUTO,DATE=NOW')&lt;/Q&gt;&lt;R&gt;4&lt;/R&gt;&lt;C&gt;1&lt;/C&gt;&lt;D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xsi:type="xsd:string"&gt;@NA&lt;/D&gt;&lt;/FQL&gt;&lt;FQL&gt;&lt;Q&gt;MPLT^PROPER(CONVERT_DATE(FE_TIMESERIES_PERIOD(,2026/1F,2026/4F,FQ,'DISPLAY=YYYYMMDD'),"MMM 'YY"))&lt;/Q&gt;&lt;R&gt;4&lt;/R&gt;&lt;C&gt;1&lt;/C&gt;&lt;D xsi:type="xsd:string"&gt;Mar '26&lt;/D&gt;&lt;D xsi:type="xsd:string"&gt;Jun '26&lt;/D&gt;&lt;D xsi:type="xsd:string"&gt;Sep '26&lt;/D&gt;&lt;D xsi:type="xsd:string"&gt;Dec '26&lt;/D&gt;&lt;/FQL&gt;&lt;FQL&gt;&lt;Q&gt;MPLT^FE_TIMESERIES(NETPROFIT,MEAN,2021,2026,FY,'BKRACTMED=1,WIN=0,UNITS=AUTO,DATE=NOW')&lt;/Q&gt;&lt;R&gt;6&lt;/R&gt;&lt;C&gt;1&lt;/C&gt;&lt;D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xsi:type="xsd:double"&gt;-128.3364&lt;/D&gt;&lt;D xsi:type="xsd:double"&gt;-183.52563&lt;/D&gt;&lt;/FQL&gt;&lt;FQL&gt;&lt;Q&gt;MPLT^FE_TIMESERIES(EBITDA_REP,MEAN,2021,2026,FY,'BKRACTMED=1,WIN=0,UNITS=AUTO,DATE=NOW')&lt;/Q&gt;&lt;R&gt;6&lt;/R&gt;&lt;C&gt;1&lt;/C&gt;&lt;D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xsi:type="xsd:string"&gt;@NA&lt;/D&gt;&lt;/FQL&gt;&lt;FQL&gt;&lt;Q&gt;MPLT^FE_TIMESERIES(SALES,MEAN,2021,2026,FY,'BKRACTMED=1,WIN=0,UNITS=AUTO,DATE=NOW')&lt;/Q&gt;&lt;R&gt;6&lt;/R&gt;&lt;C&gt;1&lt;/C&gt;&lt;D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xsi:type="xsd:double"&gt;0&lt;/D&gt;&lt;D xsi:type="xsd:double"&gt;0&lt;/D&gt;&lt;/FQL&gt;&lt;FQL&gt;&lt;Q&gt;MPLT^FE_TIMESERIES(BFNG,MEAN,2024,2024,FY,'BKRACTMED=1,WIN=0,UNITS=AUTO,DATE=NOW')&lt;/Q&gt;&lt;R&gt;0&lt;/R&gt;&lt;C&gt;0&lt;/C&gt;&lt;/FQL&gt;&lt;FQL&gt;&lt;Q&gt;MPLT^FE_TIMESERIES(NETBG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PROFIT,MEAN,2021,2021,FY,'BKRACTMED=1,WIN=0,UNITS=AUTO,DATE=NOW')&lt;/Q&gt;&lt;R&gt;0&lt;/R&gt;&lt;C&gt;0&lt;/C&gt;&lt;/FQL&gt;&lt;FQL&gt;&lt;Q&gt;MPLT^FE_TIMESERIES(NETPROFIT,MEAN,2019,2020,FY,'BKRACTMED=1,WIN=0,UNITS=AUTO,DATE=NOW')&lt;/Q&gt;&lt;R&gt;2&lt;/R&gt;&lt;C&gt;1&lt;/C&gt;&lt;D xsi:type="xsd:string"&gt;@NA&lt;/D&gt;&lt;D xsi:type="xsd:string"&gt;@NA&lt;/D&gt;&lt;/FQL&gt;&lt;FQL&gt;&lt;Q&gt;MPLT^FE_TIMESERIES(TAX_EXPENSE,MEAN,2021/1F,2021/4F,FQ,'BKRACTMED=1,WIN=0,UNITS=AUTO,DATE=NOW')&lt;/Q&gt;&lt;R&gt;4&lt;/R&gt;&lt;C&gt;1&lt;/C&gt;&lt;D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A,MEAN,2022,2022,FY,'BKRACTMED=1,WIN=0,UNITS=AUTO,DATE=NOW')&lt;/Q&gt;&lt;R&gt;0&lt;/R&gt;&lt;C&gt;0&lt;/C&gt;&lt;/FQL&gt;&lt;FQL&gt;&lt;Q&gt;MPLT^FE_TIMESERIES(PT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2023,2023,FY,'BKRACTMED=1,WIN=0,UNITS=AUTO,DATE=NOW')&lt;/Q&gt;&lt;R&gt;0&lt;/R&gt;&lt;C&gt;0&lt;/C&gt;&lt;/FQL&gt;&lt;FQL&gt;&lt;Q&gt;MPLT^FE_TIMESERIES(EBIT_ADJ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,MEAN,2024,2024,FY,'BKRACTMED=1,WIN=0,UNITS=AUTO,DATE=NOW')&lt;/Q&gt;&lt;R&gt;0&lt;/R&gt;&lt;C&gt;0&lt;/C&gt;&lt;/FQL&gt;&lt;FQL&gt;&lt;Q&gt;MPLT^FE_TIMESERIES(DEPR_AMORT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xsi:type="xsd:string"&gt;@NA&lt;/D&gt;&lt;/FQL&gt;&lt;FQL&gt;&lt;Q&gt;MPLT^FE_TIMESERIES(NETBG,MEAN,2026,2027,FY,'BKRACTMED=1,WIN=0,UNITS=AUTO,DATE=NOW')&lt;/Q&gt;&lt;R&gt;2&lt;/R&gt;&lt;C&gt;1&lt;/C&gt;&lt;D xsi:type="xsd:string"&gt;@NA&lt;/D&gt;&lt;D xsi:type="xsd:string"&gt;@NA&lt;/D&gt;&lt;/FQL&gt;&lt;FQL&gt;&lt;Q&gt;MPLT^FE_TIMESERIES(TAX_EXPENSE,MEAN,2025,2025,FY,'BKRACTMED=1,WIN=0,UNITS=AUTO,DATE=NOW')&lt;/Q&gt;&lt;R&gt;1&lt;/R&gt;&lt;C&gt;1&lt;/C&gt;&lt;D xsi:type="xsd:double"&gt;0&lt;/D&gt;&lt;/FQL&gt;&lt;FQL&gt;&lt;Q&gt;MPLT^FE_TIMESERIES(TAX_EXPENSE,MEAN,2023,2024,FY,'BKRACTMED=1,WIN=0,UNITS=AUTO,DATE=NOW')&lt;/Q&gt;&lt;R&gt;2&lt;/R&gt;&lt;C&gt;1&lt;/C&gt;&lt;D xsi:type="xsd:string"&gt;@NA&lt;/D&gt;&lt;D xsi:type="xsd:string"&gt;@NA&lt;/D&gt;&lt;/FQL&gt;&lt;FQL&gt;&lt;Q&gt;MPLT^FE_TIMESERIES(PTPBG,MEAN,2026/1F,2026/4F,FQ,'BKRACTMED=1,WIN=0,UNITS=AUTO,DATE=NOW')&lt;/Q&gt;&lt;R&gt;4&lt;/R&gt;&lt;C&gt;1&lt;/C&gt;&lt;D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xsi:type="xsd:string"&gt;@NA&lt;/D&gt;&lt;/FQL&gt;&lt;FQL&gt;&lt;Q&gt;MPLT^FE_TIMESERIES(PTP,MEAN,2025/1F,2025/4F,FQ,'BKRACTMED=1,WIN=0,UNITS=AUTO,DATE=NOW')&lt;/Q&gt;&lt;R&gt;4&lt;/R&gt;&lt;C&gt;1&lt;/C&gt;&lt;D xsi:type="xsd:string"&gt;@NA&lt;/D&gt;&lt;D xsi:type="xsd:double"&gt;-28.6&lt;/D&gt;&lt;D xsi:type="xsd:double"&gt;-29.4&lt;/D&gt;&lt;D xsi:type="xsd:double"&gt;-36.8&lt;/D&gt;&lt;/FQL&gt;&lt;FQL&gt;&lt;Q&gt;MPLT^FE_TIMESERIES(EBIT,MEAN,2026,2027,FY,'BKRACTMED=1,WIN=0,UNITS=AUTO,DATE=NOW')&lt;/Q&gt;&lt;R&gt;2&lt;/R&gt;&lt;C&gt;1&lt;/C&gt;&lt;D xsi:type="xsd:double"&gt;-193.48814&lt;/D&gt;&lt;D xsi:type="xsd:double"&gt;-225.59659&lt;/D&gt;&lt;/FQL&gt;&lt;FQL&gt;&lt;Q&gt;MPLT^FE_TIMESERIES(EBITDA_ADJ,MEAN,2025,2025,FY,'BKRACTMED=1,WIN=0,UNITS=AUTO,DATE=NOW')&lt;/Q&gt;&lt;R&gt;0&lt;/R&gt;&lt;C&gt;0&lt;/C&gt;&lt;/FQL&gt;&lt;FQL&gt;&lt;Q&gt;MPLT^FE_TIMESERIES(EBITDA_ADJ,MEAN,2023,2024,FY,'BKRACTMED=1,WIN=0,UNITS=AUTO,DATE=NOW')&lt;/Q&gt;&lt;R&gt;2&lt;/R&gt;&lt;C&gt;1&lt;/C&gt;&lt;D xsi:type="xsd:string"&gt;@NA&lt;/D&gt;&lt;D xsi:type="xsd:string"&gt;@NA&lt;/D&gt;&lt;/FQL&gt;&lt;FQL&gt;&lt;Q&gt;MPLT^FE_TIMESERIES(EBITDA,MEAN,2026/1F,2026/4F,FQ,'BKRACTMED=1,WIN=0,UNITS=AUTO,DATE=NOW')&lt;/Q&gt;&lt;R&gt;4&lt;/R&gt;&lt;C&gt;1&lt;/C&gt;&lt;D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xsi:type="xsd:string"&gt;@NA&lt;/D&gt;&lt;/FQL&gt;&lt;FQL&gt;&lt;Q&gt;MPLT^FE_TIMESERIES(G_A_EXP,MEAN,2025/1F,2025/4F,FQ,'BKRACTMED=1,WIN=0,UNITS=AUTO,DATE=NOW')&lt;/Q&gt;&lt;R&gt;4&lt;/R&gt;&lt;C&gt;1&lt;/C&gt;&lt;D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xsi:type="xsd:string"&gt;@NA&lt;/D&gt;&lt;/FQL&gt;&lt;FQL&gt;&lt;Q&gt;MPLT^FE_TIMESERIES(COS,MEAN,2026,2027,FY,'BKRACTMED=1,WIN=0,UNITS=AUTO,DATE=NOW')&lt;/Q&gt;&lt;R&gt;2&lt;/R&gt;&lt;C&gt;1&lt;/C&gt;&lt;D xsi:type="xsd:double"&gt;0&lt;/D&gt;&lt;D xsi:type="xsd:double"&gt;0&lt;/D&gt;&lt;/FQL&gt;&lt;FQL&gt;&lt;Q&gt;MPLT^FE_TIMESERIES_PERIOD(,2026/1F,2026/4F,FQ,'')&lt;/Q&gt;&lt;R&gt;4&lt;/R&gt;&lt;C&gt;1&lt;/C&gt;&lt;D xsi:type="xsd:string"&gt;2026/1F&lt;/D&gt;&lt;D xsi:type="xsd:string"&gt;2026/2F&lt;/D&gt;&lt;D xsi:type="xsd:string"&gt;2026/3F&lt;/D&gt;&lt;D xsi:type="xsd:string"&gt;2026/4F&lt;/D&gt;&lt;/FQL&gt;&lt;FQL&gt;&lt;Q&gt;MPLT^FE_TIMESERIES_PERIOD(,2025/1F,2025/4F,FQ,'')&lt;/Q&gt;&lt;R&gt;4&lt;/R&gt;&lt;C&gt;1&lt;/C&gt;&lt;D xsi:type="xsd:string"&gt;2025/1F&lt;/D&gt;&lt;D xsi:type="xsd:string"&gt;2025/2F&lt;/D&gt;&lt;D xsi:type="xsd:string"&gt;2025/3F&lt;/D&gt;&lt;D xsi:type="xsd:string"&gt;2025/4F&lt;/D&gt;&lt;/FQL&gt;&lt;FQL&gt;&lt;Q&gt;MPLT^FE_TIMESERIES_PERIOD(,2023,2024,FY,'')&lt;/Q&gt;&lt;R&gt;2&lt;/R&gt;&lt;C&gt;1&lt;/C&gt;&lt;D xsi:type="xsd:string"&gt;2023&lt;/D&gt;&lt;D xsi:type="xsd:string"&gt;2024&lt;/D&gt;&lt;/FQL&gt;&lt;FQL&gt;&lt;Q&gt;MPLT^FE_TIMESERIES(BFNG,MEAN,2021,2026,FY,'BKRACTMED=1,WIN=0,UNITS=AUTO,DATE=NOW')&lt;/Q&gt;&lt;R&gt;6&lt;/R&gt;&lt;C&gt;1&lt;/C&gt;&lt;D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xsi:type="xsd:double"&gt;-118.7&lt;/D&gt;&lt;D xsi:type="xsd:double"&gt;-184&lt;/D&gt;&lt;/FQL&gt;&lt;FQL&gt;&lt;Q&gt;MPLT^FE_TIMESERIES(EBIT,MEAN,2021,2026,FY,'BKRACTMED=1,WIN=0,UNITS=AUTO,DATE=NOW')&lt;/Q&gt;&lt;R&gt;6&lt;/R&gt;&lt;C&gt;1&lt;/C&gt;&lt;D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xsi:type="xsd:double"&gt;-135.0082&lt;/D&gt;&lt;D xsi:type="xsd:double"&gt;-193.48814&lt;/D&gt;&lt;/FQL&gt;&lt;FQL&gt;&lt;Q&gt;MPLT^FE_TIMESERIES(GROSSINCOME,MEAN,2021,2026,FY,'BKRACTMED=1,WIN=0,UNITS=AUTO,DATE=NOW')&lt;/Q&gt;&lt;R&gt;6&lt;/R&gt;&lt;C&gt;1&lt;/C&gt;&lt;D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xsi:type="xsd:double"&gt;0&lt;/D&gt;&lt;D xsi:type="xsd:double"&gt;0&lt;/D&gt;&lt;/FQL&gt;&lt;FQL&gt;&lt;Q&gt;MPLT^FE_TIMESERIES(BFNG,MEAN,2021,2021,FY,'BKRACTMED=1,WIN=0,UNITS=AUTO,DATE=NOW')&lt;/Q&gt;&lt;R&gt;0&lt;/R&gt;&lt;C&gt;0&lt;/C&gt;&lt;/FQL&gt;&lt;FQL&gt;&lt;Q&gt;MPLT^FE_TIMESERIES(BFNG,MEAN,2019,2020,FY,'BKRACTMED=1,WIN=0,UNITS=AUTO,DATE=NOW')&lt;/Q&gt;&lt;R&gt;2&lt;/R&gt;&lt;C&gt;1&lt;/C&gt;&lt;D xsi:type="xsd:string"&gt;@NA&lt;/D&gt;&lt;D xsi:type="xsd:string"&gt;@NA&lt;/D&gt;&lt;/FQL&gt;&lt;FQL&gt;&lt;Q&gt;MPLT^FE_TIMESERIES(NETBG,MEAN,2021/1F,2021/4F,FQ,'BKRACTMED=1,WIN=0,UNITS=AUTO,DATE=NOW')&lt;/Q&gt;&lt;R&gt;4&lt;/R&gt;&lt;C&gt;1&lt;/C&gt;&lt;D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PROFIT,MEAN,2022,2022,FY,'BKRACTMED=1,WIN=0,UNITS=AUTO,DATE=NOW')&lt;/Q&gt;&lt;R&gt;0&lt;/R&gt;&lt;C&gt;0&lt;/C&gt;&lt;/FQL&gt;&lt;FQL&gt;&lt;Q&gt;MPLT^FE_TIMESERIES(TAX_EXPENSE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A,MEAN,2023,2023,FY,'BKRACTMED=1,WIN=0,UNITS=AUTO,DATE=NOW')&lt;/Q&gt;&lt;R&gt;0&lt;/R&gt;&lt;C&gt;0&lt;/C&gt;&lt;/FQL&gt;&lt;FQL&gt;&lt;Q&gt;MPLT^FE_TIMESERIES(PT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2024,2024,FY,'BKRACTMED=1,WIN=0,UNITS=AUTO,DATE=NOW')&lt;/Q&gt;&lt;R&gt;0&lt;/R&gt;&lt;C&gt;0&lt;/C&gt;&lt;/FQL&gt;&lt;FQL&gt;&lt;Q&gt;MPLT^FE_TIMESERIES(EBIT_ADJ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,MEAN,2021,2021,FY,'BKRACTMED=1,WIN=0,UNITS=AUTO,DATE=NOW')&lt;/Q&gt;&lt;R&gt;0&lt;/R&gt;&lt;C&gt;0&lt;/C&gt;&lt;/FQL&gt;&lt;FQL&gt;&lt;Q&gt;MPLT^FE_TIMESERIES(EBIT,MEAN,2019,2020,FY,'BKRACTMED=1,WIN=0,UNITS=AUTO,DATE=NOW')&lt;/Q&gt;&lt;R&gt;2&lt;/R&gt;&lt;C&gt;1&lt;/C&gt;&lt;D xsi:type="xsd:string"&gt;@NA&lt;/D&gt;&lt;D xsi:type="xsd:string"&gt;@NA&lt;/D&gt;&lt;/FQL&gt;&lt;FQL&gt;&lt;Q&gt;MPLT^FE_TIMESERIES(NETPROFIT,MEAN,2026,2027,FY,'BKRACTMED=1,WIN=0,UNITS=AUTO,DATE=NOW')&lt;/Q&gt;&lt;R&gt;2&lt;/R&gt;&lt;C&gt;1&lt;/C&gt;&lt;D xsi:type="xsd:double"&gt;-183.52563&lt;/D&gt;&lt;D xsi:type="xsd:double"&gt;-214.76784&lt;/D&gt;&lt;/FQL&gt;&lt;FQL&gt;&lt;Q&gt;MPLT^FE_TIMESERIES(BFNG,MEAN,2025/1F,2025/4F,FQ,'BKRACTMED=1,WIN=0,UNITS=AUTO,DATE=NOW')&lt;/Q&gt;&lt;R&gt;4&lt;/R&gt;&lt;C&gt;1&lt;/C&gt;&lt;D xsi:type="xsd:string"&gt;@NA&lt;/D&gt;&lt;D xsi:type="xsd:string"&gt;@NA&lt;/D&gt;&lt;D xsi:type="xsd:double"&gt;-29.4&lt;/D&gt;&lt;D xsi:type="xsd:double"&gt;-37.1&lt;/D&gt;&lt;/FQL&gt;&lt;FQL&gt;&lt;Q&gt;MPLT^FE_TIMESERIES(TAX_EXPENSE,MEAN,2026,2027,FY,'BKRACTMED=1,WIN=0,UNITS=AUTO,DATE=NOW')&lt;/Q&gt;&lt;R&gt;2&lt;/R&gt;&lt;C&gt;1&lt;/C&gt;&lt;D xsi:type="xsd:double"&gt;0&lt;/D&gt;&lt;D xsi:type="xsd:double"&gt;0&lt;/D&gt;&lt;/FQL&gt;&lt;FQL&gt;&lt;Q&gt;MPLT^FE_TIMESERIES(PTPA,MEAN,2025,2025,FY,'BKRACTMED=1,WIN=0,UNITS=AUTO,DATE=NOW')&lt;/Q&gt;&lt;R&gt;1&lt;/R&gt;&lt;C&gt;1&lt;/C&gt;&lt;D xsi:type="xsd:double"&gt;-118.7&lt;/D&gt;&lt;/FQL&gt;&lt;FQL&gt;&lt;Q&gt;MPLT^FE_TIMESERIES(PTPA,MEAN,2023,2024,FY,'BKRACTMED=1,WIN=0,UNITS=AUTO,DATE=NOW')&lt;/Q&gt;&lt;R&gt;2&lt;/R&gt;&lt;C&gt;1&lt;/C&gt;&lt;D xsi:type="xsd:string"&gt;@NA&lt;/D&gt;&lt;D xsi:type="xsd:string"&gt;@NA&lt;/D&gt;&lt;/FQL&gt;&lt;FQL&gt;&lt;Q&gt;MPLT^FE_TIMESERIES(PTP,MEAN,2026/1F,2026/4F,FQ,'BKRACTMED=1,WIN=0,UNITS=AUTO,DATE=NOW')&lt;/Q&gt;&lt;R&gt;4&lt;/R&gt;&lt;C&gt;1&lt;/C&gt;&lt;D xsi:type="xsd:double"&gt;-39.1&lt;/D&gt;&lt;D xsi:type="xsd:double"&gt;-42.3&lt;/D&gt;&lt;D xsi:type="xsd:double"&gt;-48.4&lt;/D&gt;&lt;D xsi:type="xsd:double"&gt;-54.3&lt;/D&gt;&lt;/FQL&gt;&lt;FQL&gt;&lt;Q&gt;MPLT^FE_TIMESERIES(EBIT_ADJ,MEAN,2025/1F,2025/4F,FQ,'BKRACTMED=1,WIN=0,UNITS=AUTO,DATE=NOW')&lt;/Q&gt;&lt;R&gt;4&lt;/R&gt;&lt;C&gt;1&lt;/C&gt;&lt;D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xsi:type="xsd:string"&gt;@NA&lt;/D&gt;&lt;/FQL&gt;&lt;FQL&gt;&lt;Q&gt;MPLT^FE_TIMESERIES(EBITDA_ADJ,MEAN,2026,2027,FY,'BKRACTMED=1,WIN=0,UNITS=AUTO,DATE=NOW')&lt;/Q&gt;&lt;R&gt;2&lt;/R&gt;&lt;C&gt;1&lt;/C&gt;&lt;D xsi:type="xsd:string"&gt;@NA&lt;/D&gt;&lt;D xsi:type="xsd:string"&gt;@NA&lt;/D&gt;&lt;/FQL&gt;&lt;FQL&gt;&lt;Q&gt;MPLT^FE_TIMESERIES(RD_EXP,MEAN,2025,2025,FY,'BKRACTMED=1,WIN=0,UNITS=AUTO,DATE=NOW')&lt;/Q&gt;&lt;R&gt;1&lt;/R&gt;&lt;C&gt;1&lt;/C&gt;&lt;D xsi:type="xsd:double"&gt;107.85&lt;/D&gt;&lt;/FQL&gt;&lt;FQL&gt;&lt;Q&gt;MPLT^FE_TIMESERIES(RD_EXP,MEAN,2023,2024,FY,'BKRACTMED=1,WIN=0,UNITS=AUTO,DATE=NOW')&lt;/Q&gt;&lt;R&gt;2&lt;/R&gt;&lt;C&gt;1&lt;/C&gt;&lt;D xsi:type="xsd:string"&gt;@NA&lt;/D&gt;&lt;D xsi:type="xsd:string"&gt;@NA&lt;/D&gt;&lt;/FQL&gt;&lt;FQL&gt;&lt;Q&gt;MPLT^FE_TIMESERIES(G_A_EXP,MEAN,2026/1F,2026/4F,FQ,'BKRACTMED=1,WIN=0,UNITS=AUTO,DATE=NOW')&lt;/Q&gt;&lt;R&gt;4&lt;/R&gt;&lt;C&gt;1&lt;/C&gt;&lt;D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xsi:type="xsd:string"&gt;@NA&lt;/D&gt;&lt;/FQL&gt;&lt;FQL&gt;&lt;Q&gt;MPLT^FE_TIMESERIES(GROSSINCOME,MEAN,2025/1F,2025/4F,FQ,'BKRACTMED=1,WIN=0,UNITS=AUTO,DATE=NOW')&lt;/Q&gt;&lt;R&gt;4&lt;/R&gt;&lt;C&gt;1&lt;/C&gt;&lt;D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xsi:type="xsd:double"&gt;0&lt;/D&gt;&lt;/FQL&gt;&lt;FQL&gt;&lt;Q&gt;MPLT^FE_TIMESERIES_PERIOD(,2026,2027,FY,'')&lt;/Q&gt;&lt;R&gt;2&lt;/R&gt;&lt;C&gt;1&lt;/C&gt;&lt;D xsi:type="xsd:string"&gt;2026&lt;/D&gt;&lt;D xsi:type="xsd:string"&gt;2027&lt;/D&gt;&lt;/FQL&gt;&lt;FQL&gt;&lt;Q&gt;MPLT^FE_TIMESERIES(INTEXP,MEAN,2021,2026,FY,'BKRACTMED=1,WIN=0,UNITS=AUTO,DATE=NOW')&lt;/Q&gt;&lt;R&gt;6&lt;/R&gt;&lt;C&gt;1&lt;/C&gt;&lt;D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xsi:type="xsd:string"&gt;@NA&lt;/D&gt;&lt;/FQL&gt;&lt;FQL&gt;&lt;Q&gt;MPLT^FE_TIMESERIES(S_M_EXP,MEAN,2021,2026,FY,'BKRACTMED=1,WIN=0,UNITS=AUTO,DATE=NOW')&lt;/Q&gt;&lt;R&gt;6&lt;/R&gt;&lt;C&gt;1&lt;/C&gt;&lt;D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BFNG,MEAN,2022,2022,FY,'BKRACTMED=1,WIN=0,UNITS=AUTO,DATE=NOW')&lt;/Q&gt;&lt;R&gt;0&lt;/R&gt;&lt;C&gt;0&lt;/C&gt;&lt;/FQL&gt;&lt;FQL&gt;&lt;Q&gt;MPLT^FE_TIMESERIES(NETB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PROFIT,MEAN,2023,2023,FY,'BKRACTMED=1,WIN=0,UNITS=AUTO,DATE=NOW')&lt;/Q&gt;&lt;R&gt;0&lt;/R&gt;&lt;C&gt;0&lt;/C&gt;&lt;/FQL&gt;&lt;FQL&gt;&lt;Q&gt;MPLT^FE_TIMESERIES(TAX_EXPENSE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A,MEAN,2024,2024,FY,'BKRACTMED=1,WIN=0,UNITS=AUTO,DATE=NOW')&lt;/Q&gt;&lt;R&gt;0&lt;/R&gt;&lt;C&gt;0&lt;/C&gt;&lt;/FQL&gt;&lt;FQL&gt;&lt;Q&gt;MPLT^FE_TIMESERIES(PT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2021,2021,FY,'BKRACTMED=1,WIN=0,UNITS=AUTO,DATE=NOW')&lt;/Q&gt;&lt;R&gt;0&lt;/R&gt;&lt;C&gt;0&lt;/C&gt;&lt;/FQL&gt;&lt;FQL&gt;&lt;Q&gt;MPLT^FE_TIMESERIES(INTEXP,MEAN,2019,2020,FY,'BKRACTMED=1,WIN=0,UNITS=AUTO,DATE=NOW')&lt;/Q&gt;&lt;R&gt;2&lt;/R&gt;&lt;C&gt;1&lt;/C&gt;&lt;D xsi:type="xsd:string"&gt;@NA&lt;/D&gt;&lt;D xsi:type="xsd:string"&gt;@NA&lt;/D&gt;&lt;/FQL&gt;&lt;FQL&gt;&lt;Q&gt;MPLT^FE_TIMESERIES(EBIT_ADJ,MEAN,2021/1F,2021/4F,FQ,'BKRACTMED=1,WIN=0,UNITS=AUTO,DATE=NOW')&lt;/Q&gt;&lt;R&gt;4&lt;/R&gt;&lt;C&gt;1&lt;/C&gt;&lt;D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,MEAN,2022,2022,FY,'BKRACTMED=1,WIN=0,UNITS=AUTO,DATE=NOW')&lt;/Q&gt;&lt;R&gt;0&lt;/R&gt;&lt;C&gt;0&lt;/C&gt;&lt;/FQL&gt;&lt;FQL&gt;&lt;Q&gt;MPLT^FE_TIMESERIES(BFNG,MEAN,2026,2027,FY,'BKRACTMED=1,WIN=0,UNITS=AUTO,DATE=NOW')&lt;/Q&gt;&lt;R&gt;2&lt;/R&gt;&lt;C&gt;1&lt;/C&gt;&lt;D xsi:type="xsd:double"&gt;-184&lt;/D&gt;&lt;D xsi:type="xsd:double"&gt;-277.8&lt;/D&gt;&lt;/FQL&gt;&lt;FQL&gt;&lt;Q&gt;MPLT^FE_TIMESERIES(PTPA,MEAN,2026,2027,FY,'BKRACTMED=1,WIN=0,UNITS=AUTO,DATE=NOW')&lt;/Q&gt;&lt;R&gt;2&lt;/R&gt;&lt;C&gt;1&lt;/C&gt;&lt;D xsi:type="xsd:double"&gt;-184&lt;/D&gt;&lt;D xsi:type="xsd:double"&gt;-277.8&lt;/D&gt;&lt;/FQL&gt;&lt;FQL&gt;&lt;Q&gt;MPLT^FE_TIMESERIES(INTEXP,MEAN,2026/1F,2026/4F,FQ,'BKRACTMED=1,WIN=0,UNITS=AUTO,DATE=NOW')&lt;/Q&gt;&lt;R&gt;4&lt;/R&gt;&lt;C&gt;1&lt;/C&gt;&lt;D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xsi:type="xsd:string"&gt;@NA&lt;/D&gt;&lt;/FQL&gt;&lt;FQL&gt;&lt;Q&gt;MPLT^FE_TIMESERIES(EBIT_ADJ,MEAN,2026,2027,FY,'BKRACTMED=1,WIN=0,UNITS=AUTO,DATE=NOW')&lt;/Q&gt;&lt;R&gt;2&lt;/R&gt;&lt;C&gt;1&lt;/C&gt;&lt;D xsi:type="xsd:string"&gt;@NA&lt;/D&gt;&lt;D xsi:type="xsd:string"&gt;@NA&lt;/D&gt;&lt;/FQL&gt;&lt;FQL&gt;&lt;Q&gt;MPLT^FE_TIMESERIES(RD_EXP,MEAN,2026/1F,2026/4F,FQ,'BKRACTMED=1,WIN=0,UNITS=AUTO,DATE=NOW')&lt;/Q&gt;&lt;R&gt;4&lt;/R&gt;&lt;C&gt;1&lt;/C&gt;&lt;D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xsi:type="xsd:string"&gt;@NA&lt;/D&gt;&lt;/FQL&gt;&lt;FQL&gt;&lt;Q&gt;MPLT^FE_TIMESERIES(G_A_EXP,MEAN,2026,2027,FY,'BKRACTMED=1,WIN=0,UNITS=AUTO,DATE=NOW')&lt;/Q&gt;&lt;R&gt;2&lt;/R&gt;&lt;C&gt;1&lt;/C&gt;&lt;D xsi:type="xsd:string"&gt;@NA&lt;/D&gt;&lt;D xsi:type="xsd:string"&gt;@NA&lt;/D&gt;&lt;/FQL&gt;&lt;FQL&gt;&lt;Q&gt;MPLT^FE_TIMESERIES(G_A_EXP,MEAN,2023,2024,FY,'BKRACTMED=1,WIN=0,UNITS=AUTO,DATE=NOW')&lt;/Q&gt;&lt;R&gt;2&lt;/R&gt;&lt;C&gt;1&lt;/C&gt;&lt;D xsi:type="xsd:string"&gt;@NA&lt;/D&gt;&lt;D xsi:type="xsd:string"&gt;@NA&lt;/D&gt;&lt;/FQL&gt;&lt;FQL&gt;&lt;Q&gt;MPLT^FE_TIMESERIES(GROSSINCOME,MEAN,2026/1F,2026/4F,FQ,'BKRACTMED=1,WIN=0,UNITS=AUTO,DATE=NOW')&lt;/Q&gt;&lt;R&gt;4&lt;/R&gt;&lt;C&gt;1&lt;/C&gt;&lt;D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xsi:type="xsd:string"&gt;@NA&lt;/D&gt;&lt;/FQL&gt;&lt;FQL&gt;&lt;Q&gt;MPLT^FE_TIMESERIES_PERIOD(,2026,2030,FY,'')&lt;/Q&gt;&lt;R&gt;5&lt;/R&gt;&lt;C&gt;1&lt;/C&gt;&lt;D xsi:type="xsd:string"&gt;2026&lt;/D&gt;&lt;D xsi:type="xsd:string"&gt;2027&lt;/D&gt;&lt;D xsi:type="xsd:string"&gt;2028&lt;/D&gt;&lt;D xsi:type="xsd:string"&gt;2029&lt;/D&gt;&lt;D xsi:type="xsd:string"&gt;2030&lt;/D&gt;&lt;/FQL&gt;&lt;FQL&gt;&lt;Q&gt;MPLT^PROPER(CONVERT_DATE(FE_TIMESERIES_PERIOD(,2025,2025,FY,'DISPLAY=YYYYMMDD'),"MMM 'YY"))&lt;/Q&gt;&lt;R&gt;1&lt;/R&gt;&lt;C&gt;1&lt;/C&gt;&lt;D xsi:type="xsd:string"&gt;Dec '25&lt;/D&gt;&lt;/FQL&gt;&lt;FQL&gt;&lt;Q&gt;MPLT^PROPER(CONVERT_DATE(FE_TIMESERIES_PERIOD(,2021,2026,FY,'DISPLAY=YYYYMMDD'),"MMM 'YY"))&lt;/Q&gt;&lt;R&gt;6&lt;/R&gt;&lt;C&gt;1&lt;/C&gt;&lt;D xsi:type="xsd:string"&gt;Dec '21&lt;/D&gt;&lt;D xsi:type="xsd:string"&gt;Dec '22&lt;/D&gt;&lt;D xsi:type="xsd:string"&gt;Dec '23&lt;/D&gt;&lt;D xsi:type="xsd:string"&gt;Dec '24&lt;/D&gt;&lt;D xsi:type="xsd:string"&gt;Dec '25&lt;/D&gt;&lt;D xsi:type="xsd:string"&gt;Dec '26&lt;/D&gt;&lt;/FQL&gt;&lt;FQL&gt;&lt;Q&gt;MPLT^FE_TIMESERIES(NETBG,MEAN,2023/1F,2023/4F,FQ,'BK</t>
        </r>
      </text>
    </comment>
    <comment ref="A4" authorId="0" shapeId="0" xr:uid="{C8D02559-B6AF-4DA5-81B7-49FFAE5BFE32}">
      <text>
        <r>
          <rPr>
            <b/>
            <sz val="9"/>
            <color indexed="81"/>
            <rFont val="Tahoma"/>
            <charset val="1"/>
          </rPr>
          <t>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xsi:type="xsd:string"&gt;@NA&lt;/D&gt;&lt;/FQL&gt;&lt;FQL&gt;&lt;Q&gt;MPLT^FE_TIMESERIES(NETPROFIT,MEAN,2021/1F,2021/4F,FQ,'BKRACTMED=1,WIN=0,UNITS=AUTO,DATE=NOW')&lt;/Q&gt;&lt;R&gt;4&lt;/R&gt;&lt;C&gt;1&lt;/C&gt;&lt;D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,MEAN,2023,2023,FY,'BKRACTMED=1,WIN=0,UNITS=AUTO,DATE=NOW')&lt;/Q&gt;&lt;R&gt;0&lt;/R&gt;&lt;C&gt;0&lt;/C&gt;&lt;/FQL&gt;&lt;FQL&gt;&lt;Q&gt;MPLT^FE_TIMESERIES(PTP,MEAN,2021,2021,FY,'BKRACTMED=1,WIN=0,UNITS=AUTO,DATE=NOW')&lt;/Q&gt;&lt;R&gt;0&lt;/R&gt;&lt;C&gt;0&lt;/C&gt;&lt;/FQL&gt;&lt;FQL&gt;&lt;Q&gt;MPLT^FE_TIMESERIES(BFNG,MEAN,2026/1F,2026/4F,FQ,'BKRACTMED=1,WIN=0,UNITS=AUTO,DATE=NOW')&lt;/Q&gt;&lt;R&gt;4&lt;/R&gt;&lt;C&gt;1&lt;/C&gt;&lt;D xsi:type="xsd:double"&gt;-39.1&lt;/D&gt;&lt;D xsi:type="xsd:double"&gt;-42.3&lt;/D&gt;&lt;D xsi:type="xsd:double"&gt;-48.4&lt;/D&gt;&lt;D xsi:type="xsd:double"&gt;-54.3&lt;/D&gt;&lt;/FQL&gt;&lt;FQL&gt;&lt;Q&gt;MPLT^FE_TIMESERIES(TAX_EXPENSE,MEAN,2025/1F,2025/4F,FQ,'BKRACTMED=1,WIN=0,UNITS=AUTO,DATE=NOW')&lt;/Q&gt;&lt;R&gt;4&lt;/R&gt;&lt;C&gt;1&lt;/C&gt;&lt;D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xsi:type="xsd:double"&gt;0&lt;/D&gt;&lt;/FQL&gt;&lt;FQL&gt;&lt;Q&gt;MPLT^FE_TIMESERIES(EBITDA,MEAN,2026,2027,FY,'BKRACTMED=1,WIN=0,UNITS=AUTO,DATE=NOW')&lt;/Q&gt;&lt;R&gt;2&lt;/R&gt;&lt;C&gt;1&lt;/C&gt;&lt;D xsi:type="xsd:double"&gt;-203.94557&lt;/D&gt;&lt;D xsi:type="xsd:double"&gt;-219.41995&lt;/D&gt;&lt;/FQL&gt;&lt;FQL&gt;&lt;Q&gt;MPLT^FE_TIMESERIES(SALES,MEAN,2026,2027,FY,'BKRACTMED=1,WIN=0,UNITS=AUTO,DATE=NOW')&lt;/Q&gt;&lt;R&gt;2&lt;/R&gt;&lt;C&gt;1&lt;/C&gt;&lt;D xsi:type="xsd:double"&gt;0&lt;/D&gt;&lt;D xsi:type="xsd:double"&gt;0&lt;/D&gt;&lt;/FQL&gt;&lt;FQL&gt;&lt;Q&gt;MPLT^FE_TIMESERIES(TAX_EXPENSE,MEAN,2021,2026,FY,'BKRACTMED=1,WIN=0,UNITS=AUTO,DATE=NOW')&lt;/Q&gt;&lt;R&gt;6&lt;/R&gt;&lt;C&gt;1&lt;/C&gt;&lt;D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xsi:type="xsd:double"&gt;0&lt;/D&gt;&lt;D xsi:type="xsd:double"&gt;0&lt;/D&gt;&lt;/FQL&gt;&lt;FQL&gt;&lt;Q&gt;MPLT^FE_TIMESERIES(PTP,MEAN,2021,2026,FY,'BKRACTMED=1,WIN=0,UNITS=AUTO,DATE=NOW')&lt;/Q&gt;&lt;R&gt;6&lt;/R&gt;&lt;C&gt;1&lt;/C&gt;&lt;D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xsi:type="xsd:double"&gt;-128.3364&lt;/D&gt;&lt;D xsi:type="xsd:double"&gt;-183.52563&lt;/D&gt;&lt;/FQL&gt;&lt;FQL&gt;&lt;Q&gt;MPLT^FE_TIMESERIES(NETPROFIT,MEAN,2024,2024,FY,'BKRACTMED=1,WIN=0,UNITS=AUTO,DATE=NOW')&lt;/Q&gt;&lt;R&gt;0&lt;/R&gt;&lt;C&gt;0&lt;/C&gt;&lt;/FQL&gt;&lt;FQL&gt;&lt;Q&gt;MPLT^FE_TIMESERIES(TAX_EXPENSE,MEAN,2022,2022,FY,'BKRACTMED=1,WIN=0,UNITS=AUTO,DATE=NOW')&lt;/Q&gt;&lt;R&gt;0&lt;/R&gt;&lt;C&gt;0&lt;/C&gt;&lt;/FQL&gt;&lt;FQL&gt;&lt;Q&gt;MPLT^FE_TIMESERIES(PTPA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_ADJ,MEAN,2023,2023,FY,'BKRACTMED=1,WIN=0,UNITS=AUTO,DATE=NOW')&lt;/Q&gt;&lt;R&gt;0&lt;/R&gt;&lt;C&gt;0&lt;/C&gt;&lt;/FQL&gt;&lt;FQL&gt;&lt;Q&gt;MPLT^FE_TIMESERIES(EBIT_ADJ,MEAN,2021,2021,FY,'BKRACTMED=1,WIN=0,UNITS=AUTO,DATE=NOW')&lt;/Q&gt;&lt;R&gt;0&lt;/R&gt;&lt;C&gt;0&lt;/C&gt;&lt;/FQL&gt;&lt;FQL&gt;&lt;Q&gt;MPLT^FE_TIMESERIES(EBIT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2022,2022,FY,'BKRACTMED=1,WIN=0,UNITS=AUTO,DATE=NOW')&lt;/Q&gt;&lt;R&gt;0&lt;/R&gt;&lt;C&gt;0&lt;/C&gt;&lt;/FQL&gt;&lt;FQL&gt;&lt;Q&gt;MPLT^FE_TIMESERIES(EBITDA_RE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2023,2023,FY,'BKRACTMED=1,WIN=0,UNITS=AUTO,DATE=NOW')&lt;/Q&gt;&lt;R&gt;0&lt;/R&gt;&lt;C&gt;0&lt;/C&gt;&lt;/FQL&gt;&lt;FQL&gt;&lt;Q&gt;MPLT^FE_TIMESERIES(RD_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_A_EXP,MEAN,2024,2024,FY,'BKRACTMED=1,WIN=0,UNITS=AUTO,DATE=NOW')&lt;/Q&gt;&lt;R&gt;0&lt;/R&gt;&lt;C&gt;0&lt;/C&gt;&lt;/FQL&gt;&lt;FQL&gt;&lt;Q&gt;MPLT^FE_TIMESERIES(S_M_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2021,2021,FY,'BKRACTMED=1,WIN=0,UNITS=AUTO,DATE=NOW')&lt;/Q&gt;&lt;R&gt;0&lt;/R&gt;&lt;C&gt;0&lt;/C&gt;&lt;/FQL&gt;&lt;FQL&gt;&lt;Q&gt;MPLT^FE_TIMESERIES(SGA,MEAN,2019,2020,FY,'BKRACTMED=1,WIN=0,UNITS=AUTO,DATE=NOW')&lt;/Q&gt;&lt;R&gt;2&lt;/R&gt;&lt;C&gt;1&lt;/C&gt;&lt;D xsi:type="xsd:string"&gt;@NA&lt;/D&gt;&lt;D xsi:type="xsd:string"&gt;@NA&lt;/D&gt;&lt;/FQL&gt;&lt;FQL&gt;&lt;Q&gt;MPLT^FE_TIMESERIES(GROSSINCOME,MEAN,2021/1F,2021/4F,FQ,'BKRACTMED=1,WIN=0,UNITS=AUTO,DATE=NOW')&lt;/Q&gt;&lt;R&gt;4&lt;/R&gt;&lt;C&gt;1&lt;/C&gt;&lt;D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2022,2022,FY,'BKRACTMED=1,WIN=0,UNITS=AUTO,DATE=NOW')&lt;/Q&gt;&lt;R&gt;0&lt;/R&gt;&lt;C&gt;0&lt;/C&gt;&lt;/FQL&gt;&lt;FQL&gt;&lt;Q&gt;MPLT^FE_TIMESERIES(SALES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xsi:type="xsd:string"&gt;@NA&lt;/D&gt;&lt;/FQL&gt;&lt;FQL&gt;&lt;Q&gt;MPLT^FE_TIMESERIES_PERIOD(,2022,2022,FY,'')&lt;/Q&gt;&lt;R&gt;1&lt;/R&gt;&lt;C&gt;1&lt;/C&gt;&lt;D xsi:type="xsd:string"&gt;2022&lt;/D&gt;&lt;/FQL&gt;&lt;FQL&gt;&lt;Q&gt;MPLT^FE_TIMESERIES(BFNG,MEAN,2025,2025,FY,'BKRACTMED=1,WIN=0,UNITS=AUTO,DATE=NOW')&lt;/Q&gt;&lt;R&gt;1&lt;/R&gt;&lt;C&gt;1&lt;/C&gt;&lt;D xsi:type="xsd:double"&gt;-118.7&lt;/D&gt;&lt;/FQL&gt;&lt;FQL&gt;&lt;Q&gt;MPLT^FE_TIMESERIES(NETBG,MEAN,2026/1F,2026/4F,FQ,'BKRACTMED=1,WIN=0,UNITS=AUTO,DATE=NOW')&lt;/Q&gt;&lt;R&gt;4&lt;/R&gt;&lt;C&gt;1&lt;/C&gt;&lt;D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xsi:type="xsd:string"&gt;@NA&lt;/D&gt;&lt;/FQL&gt;&lt;FQL&gt;&lt;Q&gt;MPLT^FE_TIMESERIES(PTPA,MEAN,2026/1F,2026/4F,FQ,'BKRACTMED=1,WIN=0,UNITS=AUTO,DATE=NOW')&lt;/Q&gt;&lt;R&gt;4&lt;/R&gt;&lt;C&gt;1&lt;/C&gt;&lt;D xsi:type="xsd:double"&gt;-39.1&lt;/D&gt;&lt;D xsi:type="xsd:double"&gt;-42.3&lt;/D&gt;&lt;D xsi:type="xsd:double"&gt;-48.4&lt;/D&gt;&lt;D xsi:type="xsd:double"&gt;-54.3&lt;/D&gt;&lt;/FQL&gt;&lt;FQL&gt;&lt;Q&gt;MPLT^FE_TIMESERIES(PTP,MEAN,2026,2027,FY,'BKRACTMED=1,WIN=0,UNITS=AUTO,DATE=NOW')&lt;/Q&gt;&lt;R&gt;2&lt;/R&gt;&lt;C&gt;1&lt;/C&gt;&lt;D xsi:type="xsd:double"&gt;-183.52563&lt;/D&gt;&lt;D xsi:type="xsd:double"&gt;-214.76784&lt;/D&gt;&lt;/FQL&gt;&lt;FQL&gt;&lt;Q&gt;MPLT^FE_TIMESERIES(PTP,MEAN,2023,2024,FY,'BKRACTMED=1,WIN=0,UNITS=AUTO,DATE=NOW')&lt;/Q&gt;&lt;R&gt;2&lt;/R&gt;&lt;C&gt;1&lt;/C&gt;&lt;D xsi:type="xsd:string"&gt;@NA&lt;/D&gt;&lt;D xsi:type="xsd:string"&gt;@NA&lt;/D&gt;&lt;/FQL&gt;&lt;FQL&gt;&lt;Q&gt;MPLT^FE_TIMESERIES(EBIT_ADJ,MEAN,2026/1F,2026/4F,FQ,'BKRACTMED=1,WIN=0,UNITS=AUTO,DATE=NOW')&lt;/Q&gt;&lt;R&gt;4&lt;/R&gt;&lt;C&gt;1&lt;/C&gt;&lt;D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xsi:type="xsd:string"&gt;@NA&lt;/D&gt;&lt;/FQL&gt;&lt;FQL&gt;&lt;Q&gt;MPLT^FE_TIMESERIES(EBITDA_ADJ,MEAN,2026/1F,2026/4F,FQ,'BKRACTMED=1,WIN=0,UNITS=AUTO,DATE=NOW')&lt;/Q&gt;&lt;R&gt;4&lt;/R&gt;&lt;C&gt;1&lt;/C&gt;&lt;D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xsi:type="xsd:string"&gt;@NA&lt;/D&gt;&lt;/FQL&gt;&lt;FQL&gt;&lt;Q&gt;MPLT^FE_TIMESERIES(EBITDA,MEAN,2023,2024,FY,'BKRACTMED=1,WIN=0,UNITS=AUTO,DATE=NOW')&lt;/Q&gt;&lt;R&gt;2&lt;/R&gt;&lt;C&gt;1&lt;/C&gt;&lt;D xsi:type="xsd:string"&gt;@NA&lt;/D&gt;&lt;D xsi:type="xsd:string"&gt;@NA&lt;/D&gt;&lt;/FQL&gt;&lt;FQL&gt;&lt;Q&gt;MPLT^FE_TIMESERIES(G_A_EXP,MEAN,2025,2025,FY,'BKRACTMED=1,WIN=0,UNITS=AUTO,DATE=NOW')&lt;/Q&gt;&lt;R&gt;0&lt;/R&gt;&lt;C&gt;0&lt;/C&gt;&lt;/FQL&gt;&lt;FQL&gt;&lt;Q&gt;MPLT^FE_TIMESERIES(SGA,MEAN,2023,2024,FY,'BKRACTMED=1,WIN=0,UNITS=AUTO,DATE=NOW')&lt;/Q&gt;&lt;R&gt;2&lt;/R&gt;&lt;C&gt;1&lt;/C&gt;&lt;D xsi:type="xsd:string"&gt;@NA&lt;/D&gt;&lt;D xsi:type="xsd:string"&gt;@NA&lt;/D&gt;&lt;/FQL&gt;&lt;FQL&gt;&lt;Q&gt;MPLT^FE_TIMESERIES(COS,MEAN,2026/1F,2026/4F,FQ,'BKRACTMED=1,WIN=0,UNITS=AUTO,DATE=NOW')&lt;/Q&gt;&lt;R&gt;4&lt;/R&gt;&lt;C&gt;1&lt;/C&gt;&lt;D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xsi:type="xsd:string"&gt;@NA&lt;/D&gt;&lt;/FQL&gt;&lt;FQL&gt;&lt;Q&gt;MPLT^FE_TIMESERIES(SALES,MEAN,2023,2024,FY,'BKRACTMED=1,WIN=0,UNITS=AUTO,DATE=NOW')&lt;/Q&gt;&lt;R&gt;2&lt;/R&gt;&lt;C&gt;1&lt;/C&gt;&lt;D xsi:type="xsd:string"&gt;@NA&lt;/D&gt;&lt;D xsi:type="xsd:string"&gt;@NA&lt;/D&gt;&lt;/FQL&gt;&lt;FQL&gt;&lt;Q&gt;MPLT^PROPER(CONVERT_DATE(FE_TIMESERIES_PERIOD(,2026,2030,FY,'DISPLAY=YYYYMMDD'),"MMM 'YY"))&lt;/Q&gt;&lt;R&gt;5&lt;/R&gt;&lt;C&gt;1&lt;/C&gt;&lt;D xsi:type="xsd:string"&gt;Dec '26&lt;/D&gt;&lt;D xsi:type="xsd:string"&gt;Dec '27&lt;/D&gt;&lt;D xsi:type="xsd:string"&gt;Dec '28&lt;/D&gt;&lt;D xsi:type="xsd:string"&gt;Dec '29&lt;/D&gt;&lt;D xsi:type="xsd:string"&gt;Dec '30&lt;/D&gt;&lt;/FQL&gt;&lt;FQL&gt;&lt;Q&gt;MPLT^FE_TIMESERIES(EBIT_ADJ,MEAN,2021,2026,FY,'BKRACTMED=1,WIN=0,UNITS=AUTO,DATE=NOW')&lt;/Q&gt;&lt;R&gt;6&lt;/R&gt;&lt;C&gt;1&lt;/C&gt;&lt;D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xsi:type="xsd:string"&gt;@NA&lt;/D&gt;&lt;/FQL&gt;&lt;FQL&gt;&lt;Q&gt;MPLT^FE_TIMESERIES(BFNG,MEAN,2024/1F,2024/4F,FQ,'BKRACTMED=1,WIN=0,UNITS=AUTO,DATE=NOW')&lt;/Q&gt;&lt;R&gt;4&lt;/R&gt;&lt;C&gt;1&lt;/C&gt;&lt;D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xsi:type="xsd:string"&gt;@NA&lt;/D&gt;&lt;/FQL&gt;&lt;FQL&gt;&lt;Q&gt;MPLT^FE_TIMESERIES(BFNG,MEAN,2022/1F,2022/4F,FQ,'BKRACTMED=1,WIN=0,UNITS=AUTO,DATE=NOW')&lt;/Q&gt;&lt;R&gt;4&lt;/R&gt;&lt;C&gt;1&lt;/C&gt;&lt;D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TAX_EXPENSE,MEAN,2024,2024,FY,'BKRACTMED=1,WIN=0,UNITS=AUTO,DATE=NOW')&lt;/Q&gt;&lt;R&gt;0&lt;/R&gt;&lt;C&gt;0&lt;/C&gt;&lt;/FQL&gt;&lt;FQL&gt;&lt;Q&gt;MPLT^FE_TIMESERIES(TAX_EXPENSE,MEAN,2019,2020,FY,'BKRACTMED=1,WIN=0,UNITS=AUTO,DATE=NOW')&lt;/Q&gt;&lt;R&gt;2&lt;/R&gt;&lt;C&gt;1&lt;/C&gt;&lt;D xsi:type="xsd:string"&gt;@NA&lt;/D&gt;&lt;D xsi:type="xsd:string"&gt;@NA&lt;/D&gt;&lt;/FQL&gt;&lt;FQL&gt;&lt;Q&gt;MPLT^FE_TIMESERIES(PTPA,MEAN,2023/1F,2023/4F,FQ,'BKRACTMED=1,WIN=0,UNITS=AUTO,DATE=NOW')&lt;/Q&gt;&lt;R&gt;4&lt;/R&gt;&lt;C&gt;1&lt;/C&gt;&lt;D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,MEAN,2023,2023,FY,'BKRACTMED=1,WIN=0,UNITS=AUTO,DATE=NOW')&lt;/Q&gt;&lt;R&gt;0&lt;/R&gt;&lt;C&gt;0&lt;/C&gt;&lt;/FQL&gt;&lt;FQL&gt;&lt;Q&gt;MPLT^FE_TIMESERIES(EBITDA_REP,MEAN,2021,2021,FY,'BKRACTMED=1,WIN=0,UNITS=AUTO,DATE=NOW')&lt;/Q&gt;&lt;R&gt;0&lt;/R&gt;&lt;C&gt;0&lt;/C&gt;&lt;/FQL&gt;&lt;FQL&gt;&lt;Q&gt;MPLT^FE_TIMESERIES(EBITDA_REP,MEAN,2019,2020,FY,'BKRACTMED=1,WIN=0,UNITS=AUTO,DATE=NOW')&lt;/Q&gt;&lt;R&gt;2&lt;/R&gt;&lt;C&gt;1&lt;/C&gt;&lt;D xsi:type="xsd:string"&gt;@NA&lt;/D&gt;&lt;D xsi:type="xsd:string"&gt;@NA&lt;/D&gt;&lt;/FQL&gt;&lt;FQL&gt;&lt;Q&gt;MPLT^FE_TIMESERIES(EBITDA,MEAN,2021/1F,2021/4F,FQ,'BKRACTMED=1,WIN=0,UNITS=AUTO,DATE=NOW')&lt;/Q&gt;&lt;R&gt;4&lt;/R&gt;&lt;C&gt;1&lt;/C&gt;&lt;D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RD_EXP,MEAN,2022,2022,FY,'BKRACTMED=1,WIN=0,UNITS=AUTO,DATE=NOW')&lt;/Q&gt;&lt;R&gt;0&lt;/R&gt;&lt;C&gt;0&lt;/C&gt;&lt;/FQL&gt;&lt;FQL&gt;&lt;Q&gt;MPLT^FE_TIMESERIES(G_A_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_M_EXP,MEAN,2023,2023,FY,'BKRACTMED=1,WIN=0,UNITS=AUTO,DATE=NOW')&lt;/Q&gt;&lt;R&gt;0&lt;/R&gt;&lt;C&gt;0&lt;/C&gt;&lt;/FQL&gt;&lt;FQL&gt;&lt;Q&gt;MPLT^FE_TIMESERIES(SGA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ROSSINCOME,MEAN,2024,2024,FY,'BKRACTMED=1,WIN=0,UNITS=AUTO,DATE=NOW')&lt;/Q&gt;&lt;R&gt;0&lt;/R&gt;&lt;C&gt;0&lt;/C&gt;&lt;/FQL&gt;&lt;FQL&gt;&lt;Q&gt;MPLT^FE_TIMESERIES(COS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ALES,MEAN,2021,2021,FY,'BKRACTMED=1,WIN=0,UNITS=AUTO,DATE=NOW')&lt;/Q&gt;&lt;R&gt;0&lt;/R&gt;&lt;C&gt;0&lt;/C&gt;&lt;/FQL&gt;&lt;FQL&gt;&lt;Q&gt;MPLT^FE_TIMESERIES(SALES,MEAN,2019,2020,FY,'BKRACTMED=1,WIN=0,UNITS=AUTO,DATE=NOW')&lt;/Q&gt;&lt;R&gt;2&lt;/R&gt;&lt;C&gt;1&lt;/C&gt;&lt;D xsi:type="xsd:string"&gt;@NA&lt;/D&gt;&lt;D xsi:type="xsd:string"&gt;@NA&lt;/D&gt;&lt;/FQL&gt;&lt;FQL&gt;&lt;Q&gt;MPLT^FE_TIMESERIES_PERIOD(,2024/1F,2024/4F,FQ,'')&lt;/Q&gt;&lt;R&gt;4&lt;/R&gt;&lt;C&gt;1&lt;/C&gt;&lt;D xsi:type="xsd:string"&gt;2024/1F&lt;/D&gt;&lt;D xsi:type="xsd:string"&gt;2024/2F&lt;/D&gt;&lt;D xsi:type="xsd:string"&gt;2024/3F&lt;/D&gt;&lt;D xsi:type="xsd:string"&gt;2024/4F&lt;/D&gt;&lt;/FQL&gt;&lt;FQL&gt;&lt;Q&gt;MPLT^FE_TIMESERIES(NETPROFIT,MEAN,2025,2025,FY,'BKRACTMED=1,WIN=0,UNITS=AUTO,DATE=NOW')&lt;/Q&gt;&lt;R&gt;1&lt;/R&gt;&lt;C&gt;1&lt;/C&gt;&lt;D xsi:type="xsd:double"&gt;-128.3364&lt;/D&gt;&lt;/FQL&gt;&lt;FQL&gt;&lt;Q&gt;MPLT^FE_TIMESERIES(INTEXP,MEAN,2025/1F,2025/4F,FQ,'BKRACTMED=1,WIN=0,UNITS=AUTO,DATE=NOW')&lt;/Q&gt;&lt;R&gt;4&lt;/R&gt;&lt;C&gt;1&lt;/C&gt;&lt;D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_ADJ,MEAN,2025,2025,FY,'BKRACTMED=1,WIN=0,UNITS=AUTO,DATE=NOW')&lt;/Q&gt;&lt;R&gt;0&lt;/R&gt;&lt;C&gt;0&lt;/C&gt;&lt;/FQL&gt;&lt;FQL&gt;&lt;Q&gt;MPLT^FE_TIMESERIES(DEPR_AMORT,MEAN,2025/1F,2025/4F,FQ,'BKRACTMED=1,WIN=0,UNITS=AUTO,DATE=NOW')&lt;/Q&gt;&lt;R&gt;4&lt;/R&gt;&lt;C&gt;1&lt;/C&gt;&lt;D xsi:type="xsd:string"&gt;@NA&lt;/D&gt;&lt;D xsi:type="xsd:string"&gt;@NA&lt;/D&gt;&lt;D xsi:type="xsd:double"&gt;0.1&lt;/D&gt;&lt;D xsi:type="xsd:double"&gt;0.2&lt;/D&gt;&lt;/FQL&gt;&lt;FQL&gt;&lt;Q&gt;MPLT^FE_TIMESERIES(RD_EXP,MEAN,2025/1F,2025/4F,FQ,'BKRACTMED=1,WIN=0,UNITS=AUTO,DATE=NOW')&lt;/Q&gt;&lt;R&gt;4&lt;/R&gt;&lt;C&gt;1&lt;/C&gt;&lt;D xsi:type="xsd:string"&gt;@NA&lt;/D&gt;&lt;D xsi:type="xsd:double"&gt;24.6&lt;/D&gt;&lt;D xsi:type="xsd:double"&gt;27.1&lt;/D&gt;&lt;D xsi:type="xsd:double"&gt;34.15&lt;/D&gt;&lt;/FQL&gt;&lt;FQL&gt;&lt;Q&gt;MPLT^FE_TIMESERIES_PERIOD(,2025,2025,FY,'')&lt;/Q&gt;&lt;R&gt;1&lt;/R&gt;&lt;C&gt;1&lt;/C&gt;&lt;D xsi:type="xsd:string"&gt;2025&lt;/D&gt;&lt;/FQL&gt;&lt;FQL&gt;&lt;Q&gt;MPLT^FE_TIMESERIES(DEPR_AMORT,MEAN,2021,2026,FY,'BKRACTMED=1,WIN=0,UNITS=AUTO,DATE=NOW')&lt;/Q&gt;&lt;R&gt;6&lt;/R&gt;&lt;C&gt;1&lt;/C&gt;&lt;D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xsi:type="xsd:double"&gt;0.65&lt;/D&gt;&lt;D xsi:type="xsd:double"&gt;1.8&lt;/D&gt;&lt;/FQL&gt;&lt;FQL&gt;&lt;Q&gt;MPLT^FE_TIMESERIES(BFNG,MEAN,2023,2023,FY,'BKRACTMED=1,WIN=0,UNITS=AUTO,DATE=NOW')&lt;/Q&gt;&lt;R&gt;0&lt;/R&gt;&lt;C&gt;0&lt;/C&gt;&lt;/FQL&gt;&lt;FQL&gt;&lt;Q&gt;MPLT^FE_TIMESERIES(NETBG,MEAN,2021,2021,FY,'BKRACTMED=1,WIN=0,UNITS=AUTO,DATE=NOW')&lt;/Q&gt;&lt;R&gt;0&lt;/R&gt;&lt;C&gt;0&lt;/C&gt;&lt;/FQL&gt;&lt;FQL&gt;&lt;Q&gt;MPLT^FE_TIMESERIES(PTPA,MEAN,2019,2020,FY,'BKRACTMED=1,WIN=0,UNITS=AUTO,DATE=NOW')&lt;/Q&gt;&lt;R&gt;2&lt;/R&gt;&lt;C&gt;1&lt;/C&gt;&lt;D xsi:type="xsd:string"&gt;@NA&lt;/D&gt;&lt;D xsi:type="xsd:string"&gt;@NA&lt;/D&gt;&lt;/FQL&gt;&lt;FQL&gt;&lt;Q&gt;MPLT^FE_TIMESERIES(PTP,MEAN,2022,2022,FY,'BKRACTMED=1,WIN=0,UNITS=AUTO,DATE=NOW')&lt;/Q&gt;&lt;R&gt;0&lt;/R&gt;&lt;C&gt;0&lt;/C&gt;&lt;/FQL&gt;&lt;FQL&gt;&lt;Q&gt;MPLT^FE_TIMESERIES(INT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2023,2023,FY,'BKRACTMED=1,WIN=0,UNITS=AUTO,DATE=NOW')&lt;/Q&gt;&lt;R&gt;0&lt;/R&gt;&lt;C&gt;0&lt;/C&gt;&lt;/FQL&gt;&lt;FQL&gt;&lt;Q&gt;MPLT^FE_TIMESERIES(EBITDA_RE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2024,2024,FY,'BKRACTMED=1,WIN=0,UNITS=AUTO,DATE=NOW')&lt;/Q&gt;&lt;R&gt;0&lt;/R&gt;&lt;C&gt;0&lt;/C&gt;&lt;/FQL&gt;&lt;FQL&gt;&lt;Q&gt;MPLT^FE_TIMESERIES(RD_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_A_EXP,MEAN,2021,2021,FY,'BKRACTMED=1,WIN=0,UNITS=AUTO,DATE=NOW')&lt;/Q&gt;&lt;R&gt;0&lt;/R&gt;&lt;C&gt;0&lt;/C&gt;&lt;/FQL&gt;&lt;FQL&gt;&lt;Q&gt;MPLT^FE_TIMESERIES(G_A_EXP,MEAN,2019,2020,FY,'BKRACTMED=1,WIN=0,UNITS=AUTO,DATE=NOW')&lt;/Q&gt;&lt;R&gt;2&lt;/R&gt;&lt;C&gt;1&lt;/C&gt;&lt;D xsi:type="xsd:string"&gt;@NA&lt;/D&gt;&lt;D xsi:type="xsd:string"&gt;@NA&lt;/D&gt;&lt;/FQL&gt;&lt;FQL&gt;&lt;Q&gt;MPLT^FE_TIMESERIES(S_M_EXP,MEAN,2021/1F,2021/4F,FQ,'BKRACTMED=1,WIN=0,UNITS=AUTO,DATE=NOW')&lt;/Q&gt;&lt;R&gt;4&lt;/R&gt;&lt;C&gt;1&lt;/C&gt;&lt;D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2022,2022,FY,'BKRACTMED=1,WIN=0,UNITS=AUTO,DATE=NOW')&lt;/Q&gt;&lt;R&gt;0&lt;/R&gt;&lt;C&gt;0&lt;/C&gt;&lt;/FQL&gt;&lt;FQL&gt;&lt;Q&gt;MPLT^FE_TIMESERIES(GROSSINCOME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2023,2023,FY,'BKRACTMED=1,WIN=0,UNITS=AUTO,DATE=NOW')&lt;/Q&gt;&lt;R&gt;0&lt;/R&gt;&lt;C&gt;0&lt;/C&gt;&lt;/FQL&gt;&lt;FQL&gt;&lt;Q&gt;MPLT^FE_TIMESERIES(SALES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xsi:type="xsd:string"&gt;@NA&lt;/D&gt;&lt;/FQL&gt;&lt;FQL&gt;&lt;Q&gt;MPLT^FE_TIMESERIES_PERIOD(,2023,2023,FY,'')&lt;/Q&gt;&lt;R&gt;1&lt;/R&gt;&lt;C&gt;1&lt;/C&gt;&lt;D xsi:type="xsd:string"&gt;2023&lt;/D&gt;&lt;/FQL&gt;&lt;FQL&gt;&lt;Q&gt;MPLT^FE_TIMESERIES(NETPROFIT,MEAN,2023,2024,FY,'BKRACTMED=1,WIN=0,UNITS=AUTO,DATE=NOW')&lt;/Q&gt;&lt;R&gt;2&lt;/R&gt;&lt;C&gt;1&lt;/C&gt;&lt;D xsi:type="xsd:string"&gt;@NA&lt;/D&gt;&lt;D xsi:type="xsd:string"&gt;@NA&lt;/D&gt;&lt;/FQL&gt;&lt;FQL&gt;&lt;Q&gt;MPLT^FE_TIMESERIES(PTPBG,MEAN,2025,2025,FY,'BKRACTMED=1,WIN=0,UNITS=AUTO,DATE=NOW')&lt;/Q&gt;&lt;R&gt;0&lt;/R&gt;&lt;C&gt;0&lt;/C&gt;&lt;/FQL&gt;&lt;FQL&gt;&lt;Q&gt;MPLT^FE_TIMESERIES(INTEXP,MEAN,2025,2025,FY,'BKRACTMED=1,WIN=0,UNITS=AUTO,DATE=NOW')&lt;/Q&gt;&lt;R&gt;0&lt;/R&gt;&lt;C&gt;0&lt;/C&gt;&lt;/FQL&gt;&lt;FQL&gt;&lt;Q&gt;MPLT^FE_TIMESERIES(EBIT_ADJ,MEAN,2023,2024,FY,'BKRACTMED=1,WIN=0,UNITS=AUTO,DATE=NOW')&lt;/Q&gt;&lt;R&gt;2&lt;/R&gt;&lt;C&gt;1&lt;/C&gt;&lt;D xsi:type="xsd:string"&gt;@NA&lt;/D&gt;&lt;D xsi:type="xsd:string"&gt;@NA&lt;/D&gt;&lt;/FQL&gt;&lt;FQL&gt;&lt;Q&gt;MPLT^FE_TIMESERIES(DEPR_AMORT,MEAN,2025,2025,FY,'BKRACTMED=1,WIN=0,UNITS=AUTO,DATE=NOW')&lt;/Q&gt;&lt;R&gt;1&lt;/R&gt;&lt;C&gt;1&lt;/C&gt;&lt;D xsi:type="xsd:double"&gt;0.65&lt;/D&gt;&lt;/FQL&gt;&lt;FQL&gt;&lt;Q&gt;MPLT^FE_TIMESERIES(GROSSINCOME,MEAN,2025,2025,FY,'BKRACTMED=1,WIN=0,UNITS=AUTO,DATE=NOW')&lt;/Q&gt;&lt;R&gt;1&lt;/R&gt;&lt;C&gt;1&lt;/C&gt;&lt;D xsi:type="xsd:double"&gt;0&lt;/D&gt;&lt;/FQL&gt;&lt;FQL&gt;&lt;Q&gt;MPLT^FE_TIMESERIES(NETBG,MEAN,2022,2022,FY,'BKRACTMED=1,WIN=0,UNITS=AUTO,DATE=NOW')&lt;/Q&gt;&lt;R&gt;0&lt;/R&gt;&lt;C&gt;0&lt;/C&gt;&lt;/FQL&gt;&lt;FQL&gt;&lt;Q&gt;MPLT^FE_TIMESERIES(NETPROFIT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_ADJ,MEAN,2024,2024,FY,'BKRACTMED=1,WIN=0,UNITS=AUTO,DATE=NOW')&lt;/Q&gt;&lt;R&gt;0&lt;/R&gt;&lt;C&gt;0&lt;/C&gt;&lt;/FQL&gt;&lt;FQL&gt;&lt;Q&gt;MPLT^FE_TIMESERIES(EBIT_ADJ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2021,2021,FY,'BKRACTMED=1,WIN=0,UNITS=AUTO,DATE=NOW')&lt;/Q&gt;&lt;R&gt;0&lt;/R&gt;&lt;C&gt;0&lt;/C&gt;&lt;/FQL&gt;&lt;FQL&gt;&lt;Q&gt;MPLT^FE_TIMESERIES(EBITDA_RE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xsi:type="xsd:string"&gt;@NA&lt;/D&gt;&lt;/FQL&gt;&lt;FQL&gt;&lt;Q&gt;MPLT^FE_TIMESERIES(RD_EXP,MEAN,2019,2020,FY,'BKRACTMED=1,WIN=0,UNITS=AUTO,DATE=NOW')&lt;/Q&gt;&lt;R&gt;2&lt;/R&gt;&lt;C&gt;1&lt;/C&gt;&lt;D xsi:type="xsd:string"&gt;@NA&lt;/D&gt;&lt;D xsi:type="xsd:string"&gt;@NA&lt;/D&gt;&lt;/FQL&gt;&lt;FQL&gt;&lt;Q&gt;MPLT^FE_TIMESERIES(S_M_EXP,MEAN,2024,2024,FY,'BKRACTMED=1,WIN=0,UNITS=AUTO,DATE=NOW')&lt;/Q&gt;&lt;R&gt;0&lt;/R&gt;&lt;C&gt;0&lt;/C&gt;&lt;/FQL&gt;&lt;FQL&gt;&lt;Q&gt;MPLT^FE_TIMESERIES(S_M_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ALES,MEAN,2023,2023,FY,'BKRACTMED=1,WIN=0,UNITS=AUTO,DATE=NOW')&lt;/Q&gt;&lt;R&gt;0&lt;/R&gt;&lt;C&gt;0&lt;/C&gt;&lt;/FQL&gt;&lt;FQL&gt;&lt;Q&gt;MPLT^PROPER(CONVERT_DATE(FE_TIMESERIES_PERIOD(,2022/1F,2022/4F,FQ,'DISPLAY=YYYYMMDD'),"MMM 'YY"))&lt;/Q&gt;&lt;R&gt;4&lt;/R&gt;&lt;C&gt;1&lt;/C&gt;&lt;D xsi:type="xsd:string"&gt;Mar '22&lt;/D&gt;&lt;D xsi:type="xsd:string"&gt;Jun '22&lt;/D&gt;&lt;D xsi:type="xsd:string"&gt;Sep '22&lt;/D&gt;&lt;D xsi:type="xsd:string"&gt;Dec '22&lt;/D&gt;&lt;/FQL&gt;&lt;FQL&gt;&lt;Q&gt;MPLT^FE_TIMESERIES(EBG,MEAN,2021,2026,FY,'BKRACTMED=1,WIN=0,UNITS=AUTO,DATE=NOW')&lt;/Q&gt;&lt;R&gt;6&lt;/R&gt;&lt;C&gt;1&lt;/C&gt;&lt;D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xsi:type="xsd:string"&gt;@NA&lt;/D&gt;&lt;/FQL&gt;&lt;FQL&gt;&lt;Q&gt;MPLT^FE_TIMESERIES(EBG,MEAN,2022/1F,2022/4F,FQ,'BKRACTMED=1,WIN=0,UNITS=AUTO,DATE=NOW')&lt;/Q&gt;&lt;R&gt;4&lt;/R&gt;&lt;C&gt;1&lt;/C&gt;&lt;D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2026,2026,FY,'BKRACTMED=1,WIN=0,UNITS=AUTO,DATE=NOW')&lt;/Q&gt;&lt;R&gt;0&lt;/R&gt;&lt;C&gt;0&lt;/C&gt;&lt;/FQL&gt;&lt;FQL&gt;&lt;Q&gt;MPLT^FE_TIMESERIES(CUSTOM_EPS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xsi:type="xsd:string"&gt;@NA&lt;/D&gt;&lt;/FQL&gt;&lt;FQL&gt;&lt;Q&gt;MPLT^FE_TIMESERIES(EAG,MEAN,2026/1F,2026/4F,FQ,'BKRACTMED=1,WIN=0,UNITS=AUTO,DATE=NOW')&lt;/Q&gt;&lt;R&gt;4&lt;/R&gt;&lt;C&gt;1&lt;/C&gt;&lt;D xsi:type="xsd:double"&gt;-0.86&lt;/D&gt;&lt;D xsi:type="xsd:double"&gt;-0.93&lt;/D&gt;&lt;D xsi:type="xsd:double"&gt;-0.96&lt;/D&gt;&lt;D xsi:type="xsd:double"&gt;-1.07&lt;/D&gt;&lt;/FQL&gt;&lt;FQL&gt;&lt;Q&gt;MPLT^FE_TIMESERIES(EAG,MEAN,2025/1F,2025/4F,FQ,'BKRACTMED=1,WIN=0,UNITS=AUTO,DATE=NOW')&lt;/Q&gt;&lt;R&gt;4&lt;/R&gt;&lt;C&gt;1&lt;/C&gt;&lt;D xsi:type="xsd:string"&gt;@NA&lt;/D&gt;&lt;D xsi:type="xsd:string"&gt;@NA&lt;/D&gt;&lt;D xsi:type="xsd:double"&gt;-37.18&lt;/D&gt;&lt;D xsi:type="xsd:double"&gt;-0.78&lt;/D&gt;&lt;/FQL&gt;&lt;FQL&gt;&lt;Q&gt;MPLT^FE_TIMESERIES(EAG,MEAN,2024/1F,2024/4F,FQ,'BKRACTMED=1,WIN=0,UNITS=AUTO,DATE=NOW')&lt;/Q&gt;&lt;R&gt;4&lt;/R&gt;&lt;C&gt;1&lt;/C&gt;&lt;D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xsi:type="xsd:string"&gt;@NA&lt;/D&gt;&lt;/FQL&gt;&lt;FQL&gt;&lt;Q&gt;MPLT^FE_TIMESERIES(EPS,MEAN,2023/1F,2023/4F,FQ,'BKRACTMED=1,WIN=0,UNITS=AUTO,DATE=NOW')&lt;/Q&gt;&lt;R&gt;4&lt;/R&gt;&lt;C&gt;1&lt;/C&gt;&lt;D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xsi:type="xsd:string"&gt;@NA&lt;/D&gt;&lt;/FQL&gt;&lt;FQL&gt;&lt;Q&gt;MPLT^FE_TIMESERIES_PERIOD(,2022/1F,2022/4F,FQ,'')&lt;/Q&gt;&lt;R&gt;4&lt;/R&gt;&lt;C&gt;1&lt;/C&gt;&lt;D xsi:type="xsd:string"&gt;2022/1F&lt;/D&gt;&lt;D xsi:type="xsd:string"&gt;2022/2F&lt;/D&gt;&lt;D xsi:type="xsd:string"&gt;2022/3F&lt;/D&gt;&lt;D xsi:type="xsd:string"&gt;2022/4F&lt;/D&gt;&lt;/FQL&gt;&lt;FQL&gt;&lt;Q&gt;MPLT^PROPER(CONVERT_DATE(FE_TIMESERIES_PERIOD(,2026,2026,FY,'DISPLAY=YYYYMMDD'),"MMM 'YY"))&lt;/Q&gt;&lt;R&gt;1&lt;/R&gt;&lt;C&gt;1&lt;/C&gt;&lt;D xsi:type="xsd:string"&gt;Dec '26&lt;/D&gt;&lt;/FQL&gt;&lt;FQL&gt;&lt;Q&gt;MPLT^PROPER(CONVERT_DATE(FE_TIMESERIES_PERIOD(,2021/1F,2021/4F,FQ,'DISPLAY=YYYYMMDD'),"MMM 'YY"))&lt;/Q&gt;&lt;R&gt;4&lt;/R&gt;&lt;C&gt;1&lt;/C&gt;&lt;D xsi:type="xsd:string"&gt;Mar '21&lt;/D&gt;&lt;D xsi:type="xsd:string"&gt;Jun '21&lt;/D&gt;&lt;D xsi:type="xsd:string"&gt;Sep '21&lt;/D&gt;&lt;D xsi:type="xsd:string"&gt;Dec '21&lt;/D&gt;&lt;/FQL&gt;&lt;FQL&gt;&lt;Q&gt;MPLT^FE_TIMESERIES(TAX_EXPENSE,MEAN,2026/1F,2026/4F,FQ,'BKRACTMED=1,WIN=0,UNITS=AUTO,DATE=NOW')&lt;/Q&gt;&lt;R&gt;4&lt;/R&gt;&lt;C&gt;1&lt;/C&gt;&lt;D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xsi:type="xsd:string"&gt;@NA&lt;/D&gt;&lt;/FQL&gt;&lt;FQL&gt;&lt;Q&gt;MPLT^FE_TIMESERIES(PTPBG,MEAN,2023,2024,FY,'BKRACTMED=1,WIN=0,UNITS=AUTO,DATE=NOW')&lt;/Q&gt;&lt;R&gt;2&lt;/R&gt;&lt;C&gt;1&lt;/C&gt;&lt;D xsi:type="xsd:string"&gt;@NA&lt;/D&gt;&lt;D xsi:type="xsd:string"&gt;@NA&lt;/D&gt;&lt;/FQL&gt;&lt;FQL&gt;&lt;Q&gt;MPLT^FE_TIMESERIES(PTP,MEAN,2025,2025,FY,'BKRACTMED=1,WIN=0,UNITS=AUTO,DATE=NOW')&lt;/Q&gt;&lt;R&gt;1&lt;/R&gt;&lt;C&gt;1&lt;/C&gt;&lt;D xsi:type="xsd:double"&gt;-128.3364&lt;/D&gt;&lt;/FQL&gt;&lt;FQL&gt;&lt;Q&gt;MPLT^FE_TIMESERIES(INTEXP,MEAN,2023,2024,FY,'BKRACTMED=1,WIN=0,UNITS=AUTO,DATE=NOW')&lt;/Q&gt;&lt;R&gt;2&lt;/R&gt;&lt;C&gt;1&lt;/C&gt;&lt;D xsi:type="xsd:string"&gt;@NA&lt;/D&gt;&lt;D xsi:type="xsd:string"&gt;@NA&lt;/D&gt;&lt;/FQL&gt;&lt;FQL&gt;&lt;Q&gt;MPLT^FE_TIMESERIES(EBIT,MEAN,2026/1F,2026/4F,FQ,'BKRACTMED=1,WIN=0,UNITS=AUTO,DATE=NOW')&lt;/Q&gt;&lt;R&gt;4&lt;/R&gt;&lt;C&gt;1&lt;/C&gt;&lt;D xsi:type="xsd:double"&gt;-43.4&lt;/D&gt;&lt;D xsi:type="xsd:double"&gt;-48&lt;/D&gt;&lt;D xsi:type="xsd:double"&gt;-53.6&lt;/D&gt;&lt;D xsi:type="xsd:double"&gt;-60.2&lt;/D&gt;&lt;/FQL&gt;&lt;FQL&gt;&lt;Q&gt;MPLT^FE_TIMESERIES(DEPR_AMORT,MEAN,2023,2024,FY,'BKRACTMED=1,WIN=0,UNITS=AUTO,DATE=NOW')&lt;/Q&gt;&lt;R&gt;2&lt;/R&gt;&lt;C&gt;1&lt;/C&gt;&lt;D xsi:type="xsd:string"&gt;@NA&lt;/D&gt;&lt;D xsi:type="xsd:string"&gt;@NA&lt;/D&gt;&lt;/FQL&gt;&lt;FQL&gt;&lt;Q&gt;MPLT^FE_TIMESERIES(EBITDA,MEAN,2025,2025,FY,'BKRACTMED=1,WIN=0,UNITS=AUTO,DATE=NOW')&lt;/Q&gt;&lt;R&gt;1&lt;/R&gt;&lt;C&gt;1&lt;/C&gt;&lt;D xsi:type="xsd:double"&gt;-164.86467&lt;/D&gt;&lt;/FQL&gt;&lt;FQL&gt;&lt;Q&gt;MPLT^FE_TIMESERIES(SGA,MEAN,2025,2025,FY,'BKRACTMED=1,WIN=0,UNITS=AUTO,DATE=NOW')&lt;/Q&gt;&lt;R&gt;1&lt;/R&gt;&lt;C&gt;1&lt;/C&gt;&lt;D xsi:type="xsd:double"&gt;17.15&lt;/D&gt;&lt;/FQL&gt;&lt;FQL&gt;&lt;Q&gt;MPLT^FE_TIMESERIES(GROSSINCOME,MEAN,2023,2024,FY,'BKRACTMED=1,WIN=0,UNITS=AUTO,DATE=NOW')&lt;/Q&gt;&lt;R&gt;2&lt;/R&gt;&lt;C&gt;1&lt;/C&gt;&lt;D xsi:type="xsd:string"&gt;@NA&lt;/D&gt;&lt;D xsi:type="xsd:string"&gt;@NA&lt;/D&gt;&lt;/FQL&gt;&lt;FQL&gt;&lt;Q&gt;MPLT^FE_TIMESERIES(SALES,MEAN,2025,2025,FY,'BKRACTMED=1,WIN=0,UNITS=AUTO,DATE=NOW')&lt;/Q&gt;&lt;R&gt;1&lt;/R&gt;&lt;C&gt;1&lt;/C&gt;&lt;D xsi:type="xsd:double"&gt;0&lt;/D&gt;&lt;/FQL&gt;&lt;FQL&gt;&lt;Q&gt;MPLT^FE_TIMESERIES(PTPA,MEAN,2021,2026,FY,'BKRACTMED=1,WIN=0,UNITS=AUTO,DATE=NOW')&lt;/Q&gt;&lt;R&gt;6&lt;/R&gt;&lt;C&gt;1&lt;/C&gt;&lt;D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xsi:type="xsd:double"&gt;-118.7&lt;/D&gt;&lt;D xsi:type="xsd:double"&gt;-184&lt;/D&gt;&lt;/FQL&gt;&lt;FQL&gt;&lt;Q&gt;MPLT^FE_TIMESERIES(SGA,MEAN,2021,2026,FY,'BKRACTMED=1,WIN=0,UNITS=AUTO,DATE=NOW')&lt;/Q&gt;&lt;R&gt;6&lt;/R&gt;&lt;C&gt;1&lt;/C&gt;&lt;D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xsi:type="xsd:double"&gt;17.15&lt;/D&gt;&lt;D xsi:type="xsd:double"&gt;22&lt;/D&gt;&lt;/FQL&gt;&lt;FQL&gt;&lt;Q&gt;MPLT^FE_TIMESERIES(TAX_EXPENSE,MEAN,2021,2021,FY,'BKRACTMED=1,WIN=0,UNITS=AUTO,DATE=NOW')&lt;/Q&gt;&lt;R&gt;0&lt;/R&gt;&lt;C&gt;0&lt;/C&gt;&lt;/FQL&gt;&lt;FQL&gt;&lt;Q&gt;MPLT^FE_TIMESERIES(PTPA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2022,2022,FY,'BKRACTMED=1,WIN=0,UNITS=AUTO,DATE=NOW')&lt;/Q&gt;&lt;R&gt;0&lt;/R&gt;&lt;C&gt;0&lt;/C&gt;&lt;/FQL&gt;&lt;FQL&gt;&lt;Q&gt;MPLT^FE_TIMESERIES(DEPR_AMORT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RD_EXP,MEAN,2023,2023,FY,'BKRACTMED=1,WIN=0,UNITS=AUTO,DATE=NOW')&lt;/Q&gt;&lt;R&gt;0&lt;/R&gt;&lt;C&gt;0&lt;/C&gt;&lt;/FQL&gt;&lt;FQL&gt;&lt;Q&gt;MPLT^FE_TIMESERIES(RD_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2024,2024,FY,'BKRACTMED=1,WIN=0,UNITS=AUTO,DATE=NOW')&lt;/Q&gt;&lt;R&gt;0&lt;/R&gt;&lt;C&gt;0&lt;/C&gt;&lt;/FQL&gt;&lt;FQL&gt;&lt;Q&gt;MPLT^FE_TIMESERIES(GROSSINCOME,MEAN,2022,2022,FY,'BKRACTMED=1,WIN=0,UNITS=AUTO,DATE=NOW')&lt;/Q&gt;&lt;R&gt;0&lt;/R&gt;&lt;C&gt;0&lt;/C&gt;&lt;/FQL&gt;&lt;FQL&gt;&lt;Q&gt;MPLT^FE_TIMESERIES(GROSSINCOME,MEAN,2019,2020,FY,'BKRACTMED=1,WIN=0,UNITS=AUTO,DATE=NOW')&lt;/Q&gt;&lt;R&gt;2&lt;/R&gt;&lt;C&gt;1&lt;/C&gt;&lt;D xsi:type="xsd:string"&gt;@NA&lt;/D&gt;&lt;D xsi:type="xsd:string"&gt;@NA&lt;/D&gt;&lt;/FQL&gt;&lt;FQL&gt;&lt;Q&gt;MPLT^PROPER(CONVERT_DATE(FE_TIMESERIES_PERIOD(,2023/1F,2023/4F,FQ,'DISPLAY=YYYYMMDD'),"MMM 'YY"))&lt;/Q&gt;&lt;R&gt;4&lt;/R&gt;&lt;C&gt;1&lt;/C&gt;&lt;D xsi:type="xsd:string"&gt;Mar '23&lt;/D&gt;&lt;D xsi:type="xsd:string"&gt;Jun '23&lt;/D&gt;&lt;D xsi:type="xsd:string"&gt;Sep '23&lt;/D&gt;&lt;D xsi:type="xsd:string"&gt;Dec '23&lt;/D&gt;&lt;/FQL&gt;&lt;FQL&gt;&lt;Q&gt;MPLT^FE_TIMESERIES(EBG,MEAN,2023/1F,2023/4F,FQ,'BKRACTMED=1,WIN=0,UNITS=AUTO,DATE=NOW')&lt;/Q&gt;&lt;R&gt;4&lt;/R&gt;&lt;C&gt;1&lt;/C&gt;&lt;D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xsi:type="xsd:string"&gt;@NA&lt;/D&gt;&lt;/FQL&gt;&lt;FQL&gt;&lt;Q&gt;MPLT^FE_TIMESERIES(EAG,MEAN,2026,2026,FY,'BKRACTMED=1,WIN=0,UNITS=AUTO,DATE=NOW')&lt;/Q&gt;&lt;R&gt;1&lt;/R&gt;&lt;C&gt;1&lt;/C&gt;&lt;D xsi:type="xsd:double"&gt;-3.31&lt;/D&gt;&lt;/FQL&gt;&lt;FQL&gt;&lt;Q&gt;MPLT^FE_TIMESERIES(EAG,MEAN,2021/1F,2021/4F,FQ,'BKRACTMED=1,WIN=0,UNITS=AUTO,DATE=NOW')&lt;/Q&gt;&lt;R&gt;4&lt;/R&gt;&lt;C&gt;1&lt;/C&gt;&lt;D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xsi:type="xsd:string"&gt;@NA&lt;/D&gt;&lt;/FQL&gt;&lt;FQL&gt;&lt;Q&gt;MPLT^FE_TIMESERIES(EPS,MEAN,2026/1F,2026/4F,FQ,'BKRACTMED=1,WIN=0,UNITS=AUTO,DATE=NOW')&lt;/Q&gt;&lt;R&gt;4&lt;/R&gt;&lt;C&gt;1&lt;/C&gt;&lt;D xsi:type="xsd:double"&gt;-0.76&lt;/D&gt;&lt;D xsi:type="xsd:double"&gt;-0.905&lt;/D&gt;&lt;D xsi:type="xsd:double"&gt;-1.025&lt;/D&gt;&lt;D xsi:type="xsd:double"&gt;-1.17&lt;/D&gt;&lt;/FQL&gt;&lt;FQL&gt;&lt;Q&gt;MPLT^FE_TIMESERIES(EPS,MEAN,2025/1F,2025/4F,FQ,'BKRACTMED=1,WIN=0,UNITS=AUTO,DATE=NOW')&lt;/Q&gt;&lt;R&gt;4&lt;/R&gt;&lt;C&gt;1&lt;/C&gt;&lt;D xsi:type="xsd:string"&gt;@NA&lt;/D&gt;&lt;D xsi:type="xsd:double"&gt;-1.14&lt;/D&gt;&lt;D xsi:type="xsd:double"&gt;-37.18&lt;/D&gt;&lt;D xsi:type="xsd:double"&gt;-0.995&lt;/D&gt;&lt;/FQL&gt;&lt;FQL&gt;&lt;Q&gt;MPLT^FE_TIMESERIES(EPS,MEAN,2024/1F,2024/4F,FQ,'BKRACTMED=1,WIN=0,UNITS=AUTO,DATE=NOW')&lt;/Q&gt;&lt;R&gt;4&lt;/R&gt;&lt;C&gt;1&lt;/C&gt;&lt;D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xsi:type="xsd:string"&gt;@NA&lt;/D&gt;&lt;/FQL&gt;&lt;FQL&gt;&lt;Q&gt;MPLT^FE_TIMESERIES_PERIOD(,2023/1F,2023/4F,FQ,'')&lt;/Q&gt;&lt;R&gt;4&lt;/R&gt;&lt;C&gt;1&lt;/C&gt;&lt;D xsi:type="xsd:string"&gt;2023/1F&lt;/D&gt;&lt;D xsi:type="xsd:string"&gt;2023/2F&lt;/D&gt;&lt;D xsi:type="xsd:string"&gt;2023/3F&lt;/D&gt;&lt;D xsi:type="xsd:string"&gt;2023/4F&lt;/D&gt;&lt;/FQL&gt;&lt;FQL&gt;&lt;Q&gt;MPLT^PROPER(CONVERT_DATE(FE_TIMESERIES_PERIOD(,2026,2027,FY,'DISPLAY=YYYYMMDD'),"MMM 'YY"))&lt;/Q&gt;&lt;R&gt;2&lt;/R&gt;&lt;C&gt;1&lt;/C&gt;&lt;D xsi:type="xsd:string"&gt;Dec '26&lt;/D&gt;&lt;D xsi:type="xsd:string"&gt;Dec '27&lt;/D&gt;&lt;/FQL&gt;&lt;FQL&gt;&lt;Q&gt;MPLT^FE_TIMESERIES(BFNG,MEAN,2021/1F,2021/4F,FQ,'BKRACTMED=1,WIN=0,UNITS=AUTO,DATE=NOW')&lt;/Q&gt;&lt;R&gt;4&lt;/R&gt;&lt;C&gt;1&lt;/C&gt;&lt;D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A,MEAN,2021,2021,FY,'BKRACTMED=1,WIN=0,UNITS=AUTO,DATE=NOW')&lt;/Q&gt;&lt;R&gt;0&lt;/R&gt;&lt;C&gt;0&lt;/C&gt;&lt;/FQL&gt;&lt;FQL&gt;&lt;Q&gt;MPLT^FE_TIMESERIES(EBIT_ADJ,MEAN,2019,2020,FY,'BKRACTMED=1,WIN=0,UNITS=AUTO,DATE=NOW')&lt;/Q&gt;&lt;R&gt;2&lt;/R&gt;&lt;C&gt;1&lt;/C&gt;&lt;D xsi:type="xsd:string"&gt;@NA&lt;/D&gt;&lt;D xsi:type="xsd:string"&gt;@NA&lt;/D&gt;&lt;/FQL&gt;&lt;FQL&gt;&lt;Q&gt;MPLT^FE_TIMESERIES(RD_EXP,MEAN,2021,2021,FY,'BKRACTMED=1,WIN=0,UNITS=AUTO,DATE=NOW')&lt;/Q&gt;&lt;R&gt;0&lt;/R&gt;&lt;C&gt;0&lt;/C&gt;&lt;/FQL&gt;&lt;FQL&gt;&lt;Q&gt;MPLT^FE_TIMESERIES(G_A_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xsi:type="xsd:string"&gt;@NA&lt;/D&gt;&lt;/FQL&gt;&lt;FQL&gt;&lt;Q&gt;MPLT^FE_TIMESERIES(S_M_EXP,MEAN,2022/1F,2022/4F,FQ,'BKRACTMED=1,WIN=0,UNITS=AUTO,DATE=NOW')&lt;/Q&gt;&lt;R&gt;4&lt;/R&gt;&lt;C&gt;1&lt;/C&gt;&lt;D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2024,2024,FY,'BKRACTMED=1,WIN=0,UNITS=AUTO,DATE=NOW')&lt;/Q&gt;&lt;R&gt;0&lt;/R&gt;&lt;C&gt;0&lt;/C&gt;&lt;/FQL&gt;&lt;FQL&gt;&lt;Q&gt;MPLT^FE_TIMESERIES(COS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ALES,MEAN,2022,2022,FY,'BKRACTMED=1,WIN=0,UNITS=AUTO,DATE=NOW')&lt;/Q&gt;&lt;R&gt;0&lt;/R&gt;&lt;C&gt;0&lt;/C&gt;&lt;/FQL&gt;&lt;FQL&gt;&lt;Q&gt;MPLT^FE_TIMESERIES(SALES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xsi:type="xsd:string"&gt;@NA&lt;/D&gt;&lt;/FQL&gt;&lt;FQL&gt;&lt;Q&gt;MPLT^PROPER(CONVERT_DATE(FE_TIMESERIES_PERIOD(,2022,2022,FY,'DISPLAY=YYYYMMDD'),"MMM 'YY"))&lt;/Q&gt;&lt;R&gt;1&lt;/R&gt;&lt;C&gt;1&lt;/C&gt;&lt;D xsi:type="xsd:string"&gt;Dec '22&lt;/D&gt;&lt;/FQL&gt;&lt;FQL&gt;&lt;Q&gt;MPLT^FE_TIMESERIES(EBG,MEAN,2022,2022,FY,'BKRACTMED=1,WIN=0,UNITS=AUTO,DATE=NOW')&lt;/Q&gt;&lt;R&gt;0&lt;/R&gt;&lt;C&gt;0&lt;/C&gt;&lt;/FQL&gt;&lt;FQL&gt;&lt;Q&gt;MPLT^FE_TIMESERIES(CUSTOM_EPS,MEAN,2021,2021,FY,'BKRACTMED=1,WIN=0,UNITS=AUTO,DATE=NOW')&lt;/Q&gt;&lt;R&gt;0&lt;/R&gt;&lt;C&gt;0&lt;/C&gt;&lt;/FQL&gt;&lt;FQL&gt;&lt;Q&gt;MPLT^FE_TIMESERIES(CUSTOM_EPS,MEAN,2019,2020,FY,'BKRACTMED=1,WIN=0,UNITS=AUTO,DATE=NOW')&lt;/Q&gt;&lt;R&gt;2&lt;/R&gt;&lt;C&gt;1&lt;/C&gt;&lt;D xsi:type="xsd:string"&gt;@NA&lt;/D&gt;&lt;D xsi:type="xsd:string"&gt;@NA&lt;/D&gt;&lt;/FQL&gt;&lt;FQL&gt;&lt;Q&gt;MPLT^FE_TIMESERIES(EAG,MEAN,2025,2025,FY,'BKRACTMED=1,WIN=0,UNITS=AUTO,DATE=NOW')&lt;/Q&gt;&lt;R&gt;1&lt;/R&gt;&lt;C&gt;1&lt;/C&gt;&lt;D xsi:type="xsd:double"&gt;-8.21&lt;/D&gt;&lt;/FQL&gt;&lt;FQL&gt;&lt;Q&gt;MPLT^FE_TIMESERIES(EAG,MEAN,2024,2025,FY,'BKRACTMED=1,WIN=0,UNITS=AUTO,DATE=NOW')&lt;/Q&gt;&lt;R&gt;2&lt;/R&gt;&lt;C&gt;1&lt;/C&gt;&lt;D xsi:type="xsd:string"&gt;@NA&lt;/D&gt;&lt;D xsi:type="xsd:double"&gt;-8.21&lt;/D&gt;&lt;/FQL&gt;&lt;FQL&gt;&lt;Q&gt;MPLT^FE_TIMESERIES(EPS,MEAN,2023,2023,FY,'BKRACTMED=1,WIN=0,UNITS=AUTO,DATE=NOW')&lt;/Q&gt;&lt;R&gt;0&lt;/R&gt;&lt;C&gt;0&lt;/C&gt;&lt;/FQL&gt;&lt;FQL&gt;&lt;Q&gt;MPLT^PROPER(CONVERT_DATE(FE_TIMESERIES_PERIOD(,2021,2021,FY,'DISPLAY=YYYYMMDD'),"MMM 'YY"))&lt;/Q&gt;&lt;R&gt;1&lt;/R&gt;&lt;C&gt;1&lt;/C&gt;&lt;D xsi:type="xsd:string"&gt;Dec '21&lt;/D&gt;&lt;/FQL&gt;&lt;FQL&gt;&lt;Q&gt;MPLT^PROPER(CONVERT_DATE(F</t>
        </r>
      </text>
    </comment>
    <comment ref="A5" authorId="0" shapeId="0" xr:uid="{ED9CDBAD-221B-48A8-9568-31C5EEA01D68}">
      <text>
        <r>
          <rPr>
            <b/>
            <sz val="9"/>
            <color indexed="81"/>
            <rFont val="Tahoma"/>
            <charset val="1"/>
          </rPr>
          <t>E_TIMESERIES_PERIOD(,2019,2020,FY,'DISPLAY=YYYYMMDD'),"MMM 'YY"))&lt;/Q&gt;&lt;R&gt;2&lt;/R&gt;&lt;C&gt;1&lt;/C&gt;&lt;D xsi:type="xsd:string"&gt;Dec '19&lt;/D&gt;&lt;D xsi:type="xsd:string"&gt;Dec '20&lt;/D&gt;&lt;/FQL&gt;&lt;FQL&gt;&lt;Q&gt;MPLT^FE_TIMESERIES(NETBG,MEAN,2025/1F,2025/4F,FQ,'BKRACTMED=1,WIN=0,UNITS=AUTO,DATE=NOW')&lt;/Q&gt;&lt;R&gt;4&lt;/R&gt;&lt;C&gt;1&lt;/C&gt;&lt;D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xsi:type="xsd:string"&gt;@NA&lt;/D&gt;&lt;/FQL&gt;&lt;FQL&gt;&lt;Q&gt;MPLT^FE_TIMESERIES(SALES,MEAN,2025/1F,2025/4F,FQ,'BKRACTMED=1,WIN=0,UNITS=AUTO,DATE=NOW')&lt;/Q&gt;&lt;R&gt;4&lt;/R&gt;&lt;C&gt;1&lt;/C&gt;&lt;D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xsi:type="xsd:double"&gt;0&lt;/D&gt;&lt;/FQL&gt;&lt;FQL&gt;&lt;Q&gt;MPLT^FE_TIMESERIES(EBITDA,MEAN,2021,2026,FY,'BKRACTMED=1,WIN=0,UNITS=AUTO,DATE=NOW')&lt;/Q&gt;&lt;R&gt;6&lt;/R&gt;&lt;C&gt;1&lt;/C&gt;&lt;D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xsi:type="xsd:double"&gt;-164.86467&lt;/D&gt;&lt;D xsi:type="xsd:double"&gt;-203.94557&lt;/D&gt;&lt;/FQL&gt;&lt;FQL&gt;&lt;Q&gt;MPLT^FE_TIMESERIES(NETBG,MEAN,2024,2024,FY,'BKRACTMED=1,WIN=0,UNITS=AUTO,DATE=NOW')&lt;/Q&gt;&lt;R&gt;0&lt;/R&gt;&lt;C&gt;0&lt;/C&gt;&lt;/FQL&gt;&lt;FQL&gt;&lt;Q&gt;MPLT^FE_TIMESERIES(DEPR_AMORT,MEAN,2019,2020,FY,'BKRACTMED=1,WIN=0,UNITS=AUTO,DATE=NOW')&lt;/Q&gt;&lt;R&gt;2&lt;/R&gt;&lt;C&gt;1&lt;/C&gt;&lt;D xsi:type="xsd:string"&gt;@NA&lt;/D&gt;&lt;D xsi:type="xsd:string"&gt;@NA&lt;/D&gt;&lt;/FQL&gt;&lt;FQL&gt;&lt;Q&gt;MPLT^FE_TIMESERIES(EBITDA,MEAN,2022,2022,FY,'BKRACTMED=1,WIN=0,UNITS=AUTO,DATE=NOW')&lt;/Q&gt;&lt;R&gt;0&lt;/R&gt;&lt;C&gt;0&lt;/C&gt;&lt;/FQL&gt;&lt;FQL&gt;&lt;Q&gt;MPLT^FE_TIMESERIES(S_M_EXP,MEAN,2022,2022,FY,'BKRACTMED=1,WIN=0,UNITS=AUTO,DATE=NOW')&lt;/Q&gt;&lt;R&gt;0&lt;/R&gt;&lt;C&gt;0&lt;/C&gt;&lt;/FQL&gt;&lt;FQL&gt;&lt;Q&gt;MPLT^FE_TIMESERIES_PERIOD(,2024,2025,FY,'')&lt;/Q&gt;&lt;R&gt;2&lt;/R&gt;&lt;C&gt;1&lt;/C&gt;&lt;D xsi:type="xsd:string"&gt;2024&lt;/D&gt;&lt;D xsi:type="xsd:string"&gt;2025&lt;/D&gt;&lt;/FQL&gt;&lt;FQL&gt;&lt;Q&gt;MPLT^FE_TIMESERIES_PERIOD(,2021,2021,FY,'')&lt;/Q&gt;&lt;R&gt;1&lt;/R&gt;&lt;C&gt;1&lt;/C&gt;&lt;D xsi:type="xsd:string"&gt;2021&lt;/D&gt;&lt;/FQL&gt;&lt;FQL&gt;&lt;Q&gt;MPLT^PROPER(CONVERT_DATE(FE_TIMESERIES_PERIOD(,2024,2025,FY,'DISPLAY=YYYYMMDD'),"MMM 'YY"))&lt;/Q&gt;&lt;R&gt;2&lt;/R&gt;&lt;C&gt;1&lt;/C&gt;&lt;D xsi:type="xsd:string"&gt;Dec '24&lt;/D&gt;&lt;D xsi:type="xsd:string"&gt;Dec '25&lt;/D&gt;&lt;/FQL&gt;&lt;FQL&gt;&lt;Q&gt;MPLT^FE_TIMESERIES(CUSTOM_EPS,MEAN,2025,2025,FY,'BKRACTMED=1,WIN=0,UNITS=AUTO,DATE=NOW')&lt;/Q&gt;&lt;R&gt;0&lt;/R&gt;&lt;C&gt;0&lt;/C&gt;&lt;/FQL&gt;&lt;FQL&gt;&lt;Q&gt;MPLT^FE_TIMESERIES(CUSTOM_EPS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xsi:type="xsd:string"&gt;@NA&lt;/D&gt;&lt;/FQL&gt;&lt;FQL&gt;&lt;Q&gt;MPLT^FE_TIMESERIES(PTP,MEAN,2019,2020,FY,'BKRACTMED=1,WIN=0,UNITS=AUTO,DATE=NOW')&lt;/Q&gt;&lt;R&gt;2&lt;/R&gt;&lt;C&gt;1&lt;/C&gt;&lt;D xsi:type="xsd:string"&gt;@NA&lt;/D&gt;&lt;D xsi:type="xsd:string"&gt;@NA&lt;/D&gt;&lt;/FQL&gt;&lt;FQL&gt;&lt;Q&gt;MPLT^FE_TIMESERIES(EBITDA,MEAN,2021,2021,FY,'BKRACTMED=1,WIN=0,UNITS=AUTO,DATE=NOW')&lt;/Q&gt;&lt;R&gt;0&lt;/R&gt;&lt;C&gt;0&lt;/C&gt;&lt;/FQL&gt;&lt;FQL&gt;&lt;Q&gt;MPLT^FE_TIMESERIES(GROSSINCOME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2021,2021,FY,'BKRACTMED=1,WIN=0,UNITS=AUTO,DATE=NOW')&lt;/Q&gt;&lt;R&gt;0&lt;/R&gt;&lt;C&gt;0&lt;/C&gt;&lt;/FQL&gt;&lt;FQL&gt;&lt;Q&gt;MPLT^PROPER(CONVERT_DATE(FE_TIMESERIES_PERIOD(,2023,2023,FY,'DISPLAY=YYYYMMDD'),"MMM 'YY"))&lt;/Q&gt;&lt;R&gt;1&lt;/R&gt;&lt;C&gt;1&lt;/C&gt;&lt;D xsi:type="xsd:string"&gt;Dec '23&lt;/D&gt;&lt;/FQL&gt;&lt;FQL&gt;&lt;Q&gt;MPLT^FE_TIMESERIES(RD_EXP,MEAN,2026,2027,FY,'BKRACTMED=1,WIN=0,UNITS=AUTO,DATE=NOW')&lt;/Q&gt;&lt;R&gt;2&lt;/R&gt;&lt;C&gt;1&lt;/C&gt;&lt;D xsi:type="xsd:double"&gt;160&lt;/D&gt;&lt;D xsi:type="xsd:double"&gt;162.5&lt;/D&gt;&lt;/FQL&gt;&lt;FQL&gt;&lt;Q&gt;MPLT^FE_TIMESERIES(RD_EXP,MEAN,2021,2026,FY,'BKRACTMED=1,WIN=0,UNITS=AUTO,DATE=NOW')&lt;/Q&gt;&lt;R&gt;6&lt;/R&gt;&lt;C&gt;1&lt;/C&gt;&lt;D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xsi:type="xsd:double"&gt;107.85&lt;/D&gt;&lt;D xsi:type="xsd:double"&gt;160&lt;/D&gt;&lt;/FQL&gt;&lt;FQL&gt;&lt;Q&gt;MPLT^FE_TIMESERIES(COS,MEAN,2021,2026,FY,'BKRACTMED=1,WIN=0,UNITS=AUTO,DATE=NOW')&lt;/Q&gt;&lt;R&gt;6&lt;/R&gt;&lt;C&gt;1&lt;/C&gt;&lt;D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xsi:type="xsd:double"&gt;0&lt;/D&gt;&lt;D xsi:type="xsd:double"&gt;0&lt;/D&gt;&lt;/FQL&gt;&lt;FQL&gt;&lt;Q&gt;MPLT^FE_TIMESERIES(NETBG,MEAN,2023,2023,FY,'BKRACTMED=1,WIN=0,UNITS=AUTO,DATE=NOW')&lt;/Q&gt;&lt;R&gt;0&lt;/R&gt;&lt;C&gt;0&lt;/C&gt;&lt;/FQL&gt;&lt;FQL&gt;&lt;Q&gt;MPLT^FE_TIMESERIES(NETPROFIT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_REP,MEAN,2024,2024,FY,'BKRACTMED=1,WIN=0,UNITS=AUTO,DATE=NOW')&lt;/Q&gt;&lt;R&gt;0&lt;/R&gt;&lt;C&gt;0&lt;/C&gt;&lt;/FQL&gt;&lt;FQL&gt;&lt;Q&gt;MPLT^FE_TIMESERIES(EBITDA_RE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_M_EXP,MEAN,2021,2021,FY,'BKRACTMED=1,WIN=0,UNITS=AUTO,DATE=NOW')&lt;/Q&gt;&lt;R&gt;0&lt;/R&gt;&lt;C&gt;0&lt;/C&gt;&lt;/FQL&gt;&lt;FQL&gt;&lt;Q&gt;MPLT^FE_TIMESERIES(COS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xsi:type="xsd:string"&gt;@NA&lt;/D&gt;&lt;/FQL&gt;&lt;FQL&gt;&lt;Q&gt;MPLT^FE_TIMESERIES(EPS,MEAN,2021,2026,FY,'BKRACTMED=1,WIN=0,UNITS=AUTO,DATE=NOW')&lt;/Q&gt;&lt;R&gt;6&lt;/R&gt;&lt;C&gt;1&lt;/C&gt;&lt;D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xsi:type="xsd:double"&gt;-6.3525&lt;/D&gt;&lt;D xsi:type="xsd:double"&gt;-3.6925&lt;/D&gt;&lt;/FQL&gt;&lt;FQL&gt;&lt;Q&gt;MPLT^FE_TIMESERIES(EBG,MEAN,2021/1F,2021/4F,FQ,'BKRACTMED=1,WIN=0,UNITS=AUTO,DATE=NOW')&lt;/Q&gt;&lt;R&gt;4&lt;/R&gt;&lt;C&gt;1&lt;/C&gt;&lt;D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2023,2023,FY,'BKRACTMED=1,WIN=0,UNITS=AUTO,DATE=NOW')&lt;/Q&gt;&lt;R&gt;0&lt;/R&gt;&lt;C&gt;0&lt;/C&gt;&lt;/FQL&gt;&lt;FQL&gt;&lt;Q&gt;MPLT^FE_TIMESERIES(EAG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xsi:type="xsd:string"&gt;@NA&lt;/D&gt;&lt;/FQL&gt;&lt;FQL&gt;&lt;Q&gt;MPLT^FE_TIMESERIES(EPS,MEAN,2024,2025,FY,'BKRACTMED=1,WIN=0,UNITS=AUTO,DATE=NOW')&lt;/Q&gt;&lt;R&gt;2&lt;/R&gt;&lt;C&gt;1&lt;/C&gt;&lt;D xsi:type="xsd:string"&gt;@NA&lt;/D&gt;&lt;D xsi:type="xsd:double"&gt;-6.3525&lt;/D&gt;&lt;/FQL&gt;&lt;FQL&gt;&lt;Q&gt;MPLT^FE_TIMESERIES(EPS,MEAN,2022,2022,FY,'BKRACTMED=1,WIN=0,UNITS=AUTO,DATE=NOW')&lt;/Q&gt;&lt;R&gt;0&lt;/R&gt;&lt;C&gt;0&lt;/C&gt;&lt;/FQL&gt;&lt;FQL&gt;&lt;Q&gt;MPLT^PROPER(CONVERT_DATE(FE_TIMESERIES_PERIOD(,2024/1F,2024/4F,FQ,'DISPLAY=YYYYMMDD'),"MMM 'YY"))&lt;/Q&gt;&lt;R&gt;4&lt;/R&gt;&lt;C&gt;1&lt;/C&gt;&lt;D xsi:type="xsd:string"&gt;Mar '24&lt;/D&gt;&lt;D xsi:type="xsd:string"&gt;Jun '24&lt;/D&gt;&lt;D xsi:type="xsd:string"&gt;Sep '24&lt;/D&gt;&lt;D xsi:type="xsd:string"&gt;Dec '24&lt;/D&gt;&lt;/FQL&gt;&lt;FQL&gt;&lt;Q&gt;MPLT^FE_TIMESERIES(EBIT,MEAN,2025/1F,2025/4F,FQ,'BKRACTMED=1,WIN=0,UNITS=AUTO,DATE=NOW')&lt;/Q&gt;&lt;R&gt;4&lt;/R&gt;&lt;C&gt;1&lt;/C&gt;&lt;D xsi:type="xsd:string"&gt;@NA&lt;/D&gt;&lt;D xsi:type="xsd:double"&gt;-29.7&lt;/D&gt;&lt;D xsi:type="xsd:double"&gt;-31.5&lt;/D&gt;&lt;D xsi:type="xsd:double"&gt;-39.133335&lt;/D&gt;&lt;/FQL&gt;&lt;FQL&gt;&lt;Q&gt;MPLT^FE_TIMESERIES(EBITDA_ADJ,MEAN,2025/1F,2025/4F,FQ,'BKRACTMED=1,WIN=0,UNITS=AUTO,DATE=NOW')&lt;/Q&gt;&lt;R&gt;4&lt;/R&gt;&lt;C&gt;1&lt;/C&gt;&lt;D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xsi:type="xsd:string"&gt;@NA&lt;/D&gt;&lt;/FQL&gt;&lt;FQL&gt;&lt;Q&gt;MPLT^FE_TIMESERIES(NETBG,MEAN,2021,2026,FY,'BKRACTMED=1,WIN=0,UNITS=AUTO,DATE=NOW')&lt;/Q&gt;&lt;R&gt;6&lt;/R&gt;&lt;C&gt;1&lt;/C&gt;&lt;D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xsi:type="xsd:string"&gt;@NA&lt;/D&gt;&lt;/FQL&gt;&lt;FQL&gt;&lt;Q&gt;MPLT^FE_TIMESERIES(G_A_EXP,MEAN,2021,2026,FY,'BKRACTMED=1,WIN=0,UNITS=AUTO,DATE=NOW')&lt;/Q&gt;&lt;R&gt;6&lt;/R&gt;&lt;C&gt;1&lt;/C&gt;&lt;D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xsi:type="xsd:string"&gt;@NA&lt;/D&gt;&lt;/FQL&gt;&lt;FQL&gt;&lt;Q&gt;MPLT^FE_TIMESERIES(PTPA,MEAN,2024/1F,2024/4F,FQ,'BKRACTMED=1,WIN=0,UNITS=AUTO,DATE=NOW')&lt;/Q&gt;&lt;R&gt;4&lt;/R&gt;&lt;C&gt;1&lt;/C&gt;&lt;D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_A_EXP,MEAN,2023,2023,FY,'BKRACTMED=1,WIN=0,UNITS=AUTO,DATE=NOW')&lt;/Q&gt;&lt;R&gt;0&lt;/R&gt;&lt;C&gt;0&lt;/C&gt;&lt;/FQL&gt;&lt;FQL&gt;&lt;Q&gt;MPLT^FE_TIMESERIES(G_A_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2021,2021,FY,'BKRACTMED=1,WIN=0,UNITS=AUTO,DATE=NOW')&lt;/Q&gt;&lt;R&gt;0&lt;/R&gt;&lt;C&gt;0&lt;/C&gt;&lt;/FQL&gt;&lt;FQL&gt;&lt;Q&gt;MPLT^FE_TIMESERIES(EPS,MEAN,2019,2020,FY,'BKRACTMED=1,WIN=0,UNITS=AUTO,DATE=NOW')&lt;/Q&gt;&lt;R&gt;2&lt;/R&gt;&lt;C&gt;1&lt;/C&gt;&lt;D xsi:type="xsd:string"&gt;@NA&lt;/D&gt;&lt;D xsi:type="xsd:string"&gt;@NA&lt;/D&gt;&lt;/FQL&gt;&lt;FQL&gt;&lt;Q&gt;MPLT^FE_TIMESERIES_PERIOD(,2021/1F,2021/4F,FQ,'')&lt;/Q&gt;&lt;R&gt;4&lt;/R&gt;&lt;C&gt;1&lt;/C&gt;&lt;D xsi:type="xsd:string"&gt;2021/1F&lt;/D&gt;&lt;D xsi:type="xsd:string"&gt;2021/2F&lt;/D&gt;&lt;D xsi:type="xsd:string"&gt;2021/3F&lt;/D&gt;&lt;D xsi:type="xsd:string"&gt;2021/4F&lt;/D&gt;&lt;/FQL&gt;&lt;FQL&gt;&lt;Q&gt;MPLT^FE_TIMESERIES(SGA,MEAN,2026/1F,2026/4F,FQ,'BKRACTMED=1,WIN=0,UNITS=AUTO,DATE=NOW')&lt;/Q&gt;&lt;R&gt;4&lt;/R&gt;&lt;C&gt;1&lt;/C&gt;&lt;D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xsi:type="xsd:string"&gt;@NA&lt;/D&gt;&lt;/FQL&gt;&lt;FQL&gt;&lt;Q&gt;MPLT^FE_TIMESERIES(DEPR_AMORT,MEAN,2026,2027,FY,'BKRACTMED=1,WIN=0,UNITS=AUTO,DATE=NOW')&lt;/Q&gt;&lt;R&gt;2&lt;/R&gt;&lt;C&gt;1&lt;/C&gt;&lt;D xsi:type="xsd:double"&gt;1.8&lt;/D&gt;&lt;D xsi:type="xsd:double"&gt;0.7&lt;/D&gt;&lt;/FQL&gt;&lt;FQL&gt;&lt;Q&gt;MPLT^FE_TIMESERIES(EBIT,MEAN,2023/1F,2023/4F,FQ,'BKRACTMED=1,WIN=0,UNITS=AUTO,DATE=NOW')&lt;/Q&gt;&lt;R&gt;4&lt;/R&gt;&lt;C&gt;1&lt;/C&gt;&lt;D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_REP,MEAN,2023,2023,FY,'BKRACTMED=1,WIN=0,UNITS=AUTO,DATE=NOW')&lt;/Q&gt;&lt;R&gt;0&lt;/R&gt;&lt;C&gt;0&lt;/C&gt;&lt;/FQL&gt;&lt;FQL&gt;&lt;Q&gt;MPLT^FE_TIMESERIES(GROSSINCOME,MEAN,2023,2023,FY,'BKRACTMED=1,WIN=0,UNITS=AUTO,DATE=NOW')&lt;/Q&gt;&lt;R&gt;0&lt;/R&gt;&lt;C&gt;0&lt;/C&gt;&lt;/FQL&gt;&lt;FQL&gt;&lt;Q&gt;MPLT^FE_TIMESERIES(COS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xsi:type="xsd:string"&gt;@NA&lt;/D&gt;&lt;/FQL&gt;&lt;FQL&gt;&lt;Q&gt;MPLT^FE_TIMESERIES(EBG,MEAN,2019,2020,FY,'BKRACTMED=1,WIN=0,UNITS=AUTO,DATE=NOW')&lt;/Q&gt;&lt;R&gt;2&lt;/R&gt;&lt;C&gt;1&lt;/C&gt;&lt;D xsi:type="xsd:string"&gt;@NA&lt;/D&gt;&lt;D xsi:type="xsd:string"&gt;@NA&lt;/D&gt;&lt;/FQL&gt;&lt;FQL&gt;&lt;Q&gt;MPLT^FE_TIMESERIES(CUSTOM_EPS,MEAN,2025/1F,2025/4F,FQ,'BKRACTMED=1,WIN=0,UNITS=AUTO,DATE=NOW')&lt;/Q&gt;&lt;R&gt;4&lt;/R&gt;&lt;C&gt;1&lt;/C&gt;&lt;D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2023,2023,FY,'BKRACTMED=1,WIN=0,UNITS=AUTO,DATE=NOW')&lt;/Q&gt;&lt;R&gt;0&lt;/R&gt;&lt;C&gt;0&lt;/C&gt;&lt;/FQL&gt;&lt;FQL&gt;&lt;Q&gt;MPLT^FE_TIMESERIES(EPS,MEAN,2026,2026,FY,'BKRACTMED=1,WIN=0,UNITS=AUTO,DATE=NOW')&lt;/Q&gt;&lt;R&gt;1&lt;/R&gt;&lt;C&gt;1&lt;/C&gt;&lt;D xsi:type="xsd:double"&gt;-3.6925&lt;/D&gt;&lt;/FQL&gt;&lt;FQL&gt;&lt;Q&gt;MPLT^FE_TIMESERIES(NETPROFIT,MEAN,2025/1F,2025/4F,FQ,'BKRACTMED=1,WIN=0,UNITS=AUTO,DATE=NOW')&lt;/Q&gt;&lt;R&gt;4&lt;/R&gt;&lt;C&gt;1&lt;/C&gt;&lt;D xsi:type="xsd:string"&gt;@NA&lt;/D&gt;&lt;D xsi:type="xsd:double"&gt;-27.4&lt;/D&gt;&lt;D xsi:type="xsd:double"&gt;-29.418&lt;/D&gt;&lt;D xsi:type="xsd:double"&gt;-36.8&lt;/D&gt;&lt;/FQL&gt;&lt;FQL&gt;&lt;Q&gt;MPLT^FE_TIMESERIES(TAX_EXPENSE,MEAN,2024/1F,2024/4F,FQ,'BKRACTMED=1,WIN=0,UNITS=AUTO,DATE=NOW')&lt;/Q&gt;&lt;R&gt;4&lt;/R&gt;&lt;C&gt;1&lt;/C&gt;&lt;D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_ADJ,MEAN,2022,2022,FY,'BKRACTMED=1,WIN=0,UNITS=AUTO,DATE=NOW')&lt;/Q&gt;&lt;R&gt;0&lt;/R&gt;&lt;C&gt;0&lt;/C&gt;&lt;/FQL&gt;&lt;FQL&gt;&lt;Q&gt;MPLT^FE_TIMESERIES(EBITDA_REP,MEAN,2022,2022,FY,'BKRACTMED=1,WIN=0,UNITS=AUTO,DATE=NOW')&lt;/Q&gt;&lt;R&gt;0&lt;/R&gt;&lt;C&gt;0&lt;/C&gt;&lt;/FQL&gt;&lt;FQL&gt;&lt;Q&gt;MPLT^FE_TIMESERIES(G_A_EXP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xsi:type="xsd:string"&gt;@NA&lt;/D&gt;&lt;/FQL&gt;&lt;FQL&gt;&lt;Q&gt;MPLT^FE_TIMESERIES(SGA,MEAN,2022/1F,2022/4F,FQ,'BKRACTMED=1,WIN=0,UNITS=AUTO,DATE=NOW')&lt;/Q&gt;&lt;R&gt;4&lt;/R&gt;&lt;C&gt;1&lt;/C&gt;&lt;D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xsi:type="xsd:string"&gt;@NA&lt;/D&gt;&lt;/FQL&gt;&lt;FQL&gt;&lt;Q&gt;MPLT^FE_TIMESERIES(GROSSINCOME,MEAN,2023/1F,2023/4F,FQ,'BKRACTMED=1,WIN=0,UNITS=AUTO,DATE=NOW')&lt;/Q&gt;&lt;R&gt;4&lt;/R&gt;&lt;C&gt;1&lt;/C&gt;&lt;D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xsi:type="xsd:string"&gt;@NA&lt;/D&gt;&lt;/FQL&gt;&lt;FQL&gt;&lt;Q&gt;MPLT^FE_TIMESERIES(COS,MEAN,2019,2020,FY,'BKRACTMED=1,WIN=0,UNITS=AUTO,DATE=NOW')&lt;/Q&gt;&lt;R&gt;2&lt;/R&gt;&lt;C&gt;1&lt;/C&gt;&lt;D xsi:type="xsd:string"&gt;@NA&lt;/D&gt;&lt;D xsi:type="xsd:string"&gt;@NA&lt;/D&gt;&lt;/FQL&gt;&lt;FQL&gt;&lt;Q&gt;MPLT^FE_TIMESERIES(CUSTOM_EPS,MEAN,2022,2022,FY,'BKRACTMED=1,WIN=0,UNITS=AUTO,DATE=NOW')&lt;/Q&gt;&lt;R&gt;0&lt;/R&gt;&lt;C&gt;0&lt;/C&gt;&lt;/FQL&gt;&lt;FQL&gt;&lt;Q&gt;MPLT^FE_TIMESERIES(EPS,MEAN,2025,2025,FY,'BKRACTMED=1,WIN=0,UNITS=AUTO,DATE=NOW')&lt;/Q&gt;&lt;R&gt;1&lt;/R&gt;&lt;C&gt;1&lt;/C&gt;&lt;D xsi:type="xsd:double"&gt;-6.3525&lt;/D&gt;&lt;/FQL&gt;&lt;FQL&gt;&lt;Q&gt;MPLT^FE_TIMESERIES(EPS,MEAN,2022/1F,2022/4F,FQ,'BKRACTMED=1,WIN=0,UNITS=AUTO,DATE=NOW')&lt;/Q&gt;&lt;R&gt;4&lt;/R&gt;&lt;C&gt;1&lt;/C&gt;&lt;D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xsi:type="xsd:string"&gt;@NA&lt;/D&gt;&lt;/FQL&gt;&lt;FQL&gt;&lt;Q&gt;MPLT^FE_TIMESERIES_PERIOD(,2019,2020,FY,'')&lt;/Q&gt;&lt;R&gt;2&lt;/R&gt;&lt;C&gt;1&lt;/C&gt;&lt;D xsi:type="xsd:string"&gt;2019&lt;/D&gt;&lt;D xsi:type="xsd:string"&gt;2020&lt;/D&gt;&lt;/FQL&gt;&lt;FQL&gt;&lt;Q&gt;MPLT^FE_TIMESERIES(COS,MEAN,2025/1F,2025/4F,FQ,'BKRACTMED=1,WIN=0,UNITS=AUTO,DATE=NOW')&lt;/Q&gt;&lt;R&gt;4&lt;/R&gt;&lt;C&gt;1&lt;/C&gt;&lt;D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xsi:type="xsd:double"&gt;0&lt;/D&gt;&lt;/FQL&gt;&lt;FQL&gt;&lt;Q&gt;MPLT^FE_TIMESERIES(PTPBG,MEAN,2026,2027,FY,'BKRACTMED=1,WIN=0,UNITS=AUTO,DATE=NOW')&lt;/Q&gt;&lt;R&gt;2&lt;/R&gt;&lt;C&gt;1&lt;/C&gt;&lt;D xsi:type="xsd:string"&gt;@NA&lt;/D&gt;&lt;D xsi:type="xsd:string"&gt;@NA&lt;/D&gt;&lt;/FQL&gt;&lt;FQL&gt;&lt;Q&gt;MPLT^FE_TIMESERIES(RD_EXP,MEAN,2024,2024,FY,'BKRACTMED=1,WIN=0,UNITS=AUTO,DATE=NOW')&lt;/Q&gt;&lt;R&gt;0&lt;/R&gt;&lt;C&gt;0&lt;/C&gt;&lt;/FQL&gt;&lt;FQL&gt;&lt;Q&gt;MPLT^FE_TIMESERIES(EBG,MEAN,2023,2023,FY,'BKRACTMED=1,WIN=0,UNITS=AUTO,DATE=NOW')&lt;/Q&gt;&lt;R&gt;0&lt;/R&gt;&lt;C&gt;0&lt;/C&gt;&lt;/FQL&gt;&lt;FQL&gt;&lt;Q&gt;MPLT^FE_TIMESERIES(CUSTOM_EPS,MEAN,2024,2025,FY,'BKRACTMED=1,WIN=0,UNITS=AUTO,DATE=NOW')&lt;/Q&gt;&lt;R&gt;2&lt;/R&gt;&lt;C&gt;1&lt;/C&gt;&lt;D xsi:type="xsd:string"&gt;@NA&lt;/D&gt;&lt;D xsi:type="xsd:string"&gt;@NA&lt;/D&gt;&lt;/FQL&gt;&lt;FQL&gt;&lt;Q&gt;MPLT^FE_TIMESERIES(EPS,MEAN,2021,2021,FY,'BKRACTMED=1,WIN=0,UNITS=AUTO,DATE=NOW')&lt;/Q&gt;&lt;R&gt;0&lt;/R&gt;&lt;C&gt;0&lt;/C&gt;&lt;/FQL&gt;&lt;FQL&gt;&lt;Q&gt;MPLT^FE_TIMESERIES(EPS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xsi:type="xsd:string"&gt;@NA&lt;/D&gt;&lt;/FQL&gt;&lt;FQL&gt;&lt;Q&gt;MPLT^FE_TIMESERIES(CUSTOM_EPS,MEAN,2026/1F,2026/4F,FQ,'BKRACTMED=1,WIN=0,UNITS=AUTO,DATE=NOW')&lt;/Q&gt;&lt;R&gt;4&lt;/R&gt;&lt;C&gt;1&lt;/C&gt;&lt;D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xsi:type="xsd:string"&gt;@NA&lt;/D&gt;&lt;/FQL&gt;&lt;FQL&gt;&lt;Q&gt;MPLT^FE_TIMESERIES(EBITDA,MEAN,2019,2020,FY,'BKRACTMED=1,WIN=0,UNITS=AUTO,DATE=NOW')&lt;/Q&gt;&lt;R&gt;2&lt;/R&gt;&lt;C&gt;1&lt;/C&gt;&lt;D xsi:type="xsd:string"&gt;@NA&lt;/D&gt;&lt;D xsi:type="xsd:string"&gt;@NA&lt;/D&gt;&lt;/FQL&gt;&lt;FQL&gt;&lt;Q&gt;MPLT^FE_TIMESERIES(PTPA,MEAN,2025/1F,2025/4F,FQ,'BKRACTMED=1,WIN=0,UNITS=AUTO,DATE=NOW')&lt;/Q&gt;&lt;R&gt;4&lt;/R&gt;&lt;C&gt;1&lt;/C&gt;&lt;D xsi:type="xsd:string"&gt;@NA&lt;/D&gt;&lt;D xsi:type="xsd:string"&gt;@NA&lt;/D&gt;&lt;D xsi:type="xsd:double"&gt;-29.4&lt;/D&gt;&lt;D xsi:type="xsd:double"&gt;-37.1&lt;/D&gt;&lt;/FQL&gt;&lt;FQL&gt;&lt;Q&gt;MPLT^FE_TIMESERIES(SGA,MEAN,2025/1F,2025/4F,FQ,'BKRACTMED=1,WIN=0,UNITS=AUTO,DATE=NOW')&lt;/Q&gt;&lt;R&gt;4&lt;/R&gt;&lt;C&gt;1&lt;/C&gt;&lt;D xsi:type="xsd:string"&gt;@NA&lt;/D&gt;&lt;D xsi:type="xsd:double"&gt;4.1&lt;/D&gt;&lt;D xsi:type="xsd:double"&gt;4.4&lt;/D&gt;&lt;D xsi:type="xsd:double"&gt;5.15&lt;/D&gt;&lt;/FQL&gt;&lt;FQL&gt;&lt;Q&gt;MPLT^FE_TIMESERIES(SALES,MEAN,2024/1F,2024/4F,FQ,'BKRACTMED=1,WIN=0,UNITS=AUTO,DATE=NOW')&lt;/Q&gt;&lt;R&gt;4&lt;/R&gt;&lt;C&gt;1&lt;/C&gt;&lt;D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xsi:type="xsd:string"&gt;@NA&lt;/D&gt;&lt;/FQL&gt;&lt;FQL&gt;&lt;Q&gt;MPLT^FE_TIMESERIES(EAG,MEAN,2019,2020,FY,'BKRACTMED=1,WIN=0,UNITS=AUTO,DATE=NOW')&lt;/Q&gt;&lt;R&gt;2&lt;/R&gt;&lt;C&gt;1&lt;/C&gt;&lt;D xsi:type="xsd:string"&gt;@NA&lt;/D&gt;&lt;D xsi:type="xsd:string"&gt;@NA&lt;/D&gt;&lt;/FQL&gt;&lt;FQL&gt;&lt;Q&gt;MPLT^FE_TIMESERIES(GROSSINCOME,MEAN,2026,2027,FY,'BKRACTMED=1,WIN=0,UNITS=AUTO,DATE=NOW')&lt;/Q&gt;&lt;R&gt;2&lt;/R&gt;&lt;C&gt;1&lt;/C&gt;&lt;D xsi:type="xsd:double"&gt;0&lt;/D&gt;&lt;D xsi:type="xsd:double"&gt;0&lt;/D&gt;&lt;/FQL&gt;&lt;FQL&gt;&lt;Q&gt;MPLT^FE_TIMESERIES(BFNG,MEAN,2023/1F,2023/4F,FQ,'BKRACTMED=1,WIN=0,UNITS=AUTO,DATE=NOW')&lt;/Q&gt;&lt;R&gt;4&lt;/R&gt;&lt;C&gt;1&lt;/C&gt;&lt;D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PTP,MEAN,2024,2024,FY,'BKRACTMED=1,WIN=0,UNITS=AUTO,DATE=NOW')&lt;/Q&gt;&lt;R&gt;0&lt;/R&gt;&lt;C&gt;0&lt;/C&gt;&lt;/FQL&gt;&lt;FQL&gt;&lt;Q&gt;MPLT^FE_TIMESERIES(GROSSINCOME,MEAN,2021,2021,FY,'BKRACTMED=1,WIN=0,UNITS=AUTO,DATE=NOW')&lt;/Q&gt;&lt;R&gt;0&lt;/R&gt;&lt;C&gt;0&lt;/C&gt;&lt;/FQL&gt;&lt;FQL&gt;&lt;Q&gt;MPLT^FE_TIMESERIES(DEPR_AMORT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2022,2022,FY,'BKRACTMED=1,WIN=0,UNITS=AUTO,DATE=NOW')&lt;/Q&gt;&lt;R&gt;0&lt;/R&gt;&lt;C&gt;0&lt;/C&gt;&lt;/FQL&gt;&lt;FQL&gt;&lt;Q&gt;MPLT^FE_TIMESERIES(TAX_EXPENSE,MEAN,2023,2023,FY,'BKRACTMED=1,WIN=0,UNITS=AUTO,DATE=NOW')&lt;/Q&gt;&lt;R&gt;0&lt;/R&gt;&lt;C&gt;0&lt;/C&gt;&lt;/FQL&gt;&lt;FQL&gt;&lt;Q&gt;MPLT^FE_TIMESERIES(SALES,MEAN,2024,2024,FY,'BKRACTMED=1,WIN=0,UNITS=AUTO,DATE=NOW')&lt;/Q&gt;&lt;R&gt;0&lt;/R&gt;&lt;C&gt;0&lt;/C&gt;&lt;/FQL&gt;&lt;FQL&gt;&lt;Q&gt;MPLT^FE_TIMESERIES(EBIT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xsi:type="xsd:string"&gt;@NA&lt;/D&gt;&lt;/FQL&gt;&lt;FQL&gt;&lt;Q&gt;MPLT^FE_TIMESERIES(RD_EXP,MEAN,2021/1F,2021/4F,FQ,'BKRACTMED=1,WIN=0,UNITS=AUTO,DATE=NOW')&lt;/Q&gt;&lt;R&gt;4&lt;/R&gt;&lt;C&gt;1&lt;/C&gt;&lt;D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xsi:type="xsd:string"&gt;@NA&lt;/D&gt;&lt;/FQL&gt;&lt;FQL&gt;&lt;Q&gt;MPLT^FE_TIMESERIES(S_M_EXP,MEAN,2019,2020,FY,'BKRACTMED=1,WIN=0,UNITS=AUTO,DATE=NOW')&lt;/Q&gt;&lt;R&gt;2&lt;/R&gt;&lt;C&gt;1&lt;/C&gt;&lt;D xsi:type="xsd:string"&gt;@NA&lt;/D&gt;&lt;D xsi:type="xsd:string"&gt;@NA&lt;/D&gt;&lt;/FQL&gt;&lt;FQL&gt;&lt;Q&gt;MPLT^FE_TIMESERIES(EBG,MEAN,2021,2021,FY,'BKRACTMED=1,WIN=0,UNITS=AUTO,DATE=NOW')&lt;/Q&gt;&lt;R&gt;0&lt;/R&gt;&lt;C&gt;0&lt;/C&gt;&lt;/FQL&gt;&lt;FQL&gt;&lt;Q&gt;MPLT^FE_TIMESERIES(NETBG,MEAN,2019,2020,FY,'BKRACTMED=1,WIN=0,UNITS=AUTO,DATE=NOW')&lt;/Q&gt;&lt;R&gt;2&lt;/R&gt;&lt;C&gt;1&lt;/C&gt;&lt;D xsi:type="xsd:string"&gt;@NA&lt;/D&gt;&lt;D xsi:type="xsd:string"&gt;@NA&lt;/D&gt;&lt;/FQL&gt;&lt;FQL&gt;&lt;Q&gt;MPLT^FE_TIMESERIES(SGA,MEAN,2024/1F,2024/4F,FQ,'BKRACTMED=1,WIN=0,UNITS=AUTO,DATE=NOW')&lt;/Q&gt;&lt;R&gt;4&lt;/R&gt;&lt;C&gt;1&lt;/C&gt;&lt;D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xsi:type="xsd:string"&gt;@NA&lt;/D&gt;&lt;/FQL&gt;&lt;FQL&gt;&lt;Q&gt;MPLT^FE_TIMESERIES(EAG,MEAN,2021,2026,FY,'BKRACTMED=1,WIN=0,UNITS=AUTO,DATE=NOW')&lt;/Q&gt;&lt;R&gt;6&lt;/R&gt;&lt;C&gt;1&lt;/C&gt;&lt;D xsi:type="xsd:string"&gt;@NA&lt;/D&gt;&lt;D xsi:type="xsd:string"&gt;@NA&lt;/D&gt;&lt;D xsi:type="xsd:string"&gt;@NA&lt;/D&gt;&lt;D xsi:type="xsd:string"&gt;@NA&lt;/D&gt;&lt;D xsi:type="xsd:double"&gt;-8.21&lt;/D&gt;&lt;D xsi:type="xsd:double"&gt;-3.31&lt;/D&gt;&lt;/FQL&gt;&lt;FQL&gt;&lt;Q&gt;MPLT^FE_TIMESERIES_PERIOD(,2026,2026,FY,'')&lt;/Q&gt;&lt;R&gt;1&lt;/R&gt;&lt;C&gt;1&lt;/C&gt;&lt;D xsi:type="xsd:string"&gt;2026&lt;/D&gt;&lt;/FQL&gt;&lt;FQL&gt;&lt;Q&gt;MPLT^FE_TIMESERIES(NETPROFIT,MEAN,2024/1F,2024/4F,FQ,'BKRACTMED=1,WIN=0,UNITS=AUTO,DATE=NOW')&lt;/Q&gt;&lt;R&gt;4&lt;/R&gt;&lt;C&gt;1&lt;/C&gt;&lt;D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xsi:type="xsd:string"&gt;@NA&lt;/D&gt;&lt;/FQL&gt;&lt;FQL&gt;&lt;Q&gt;MPLT^FE_TIMESERIES(INTEXP,MEAN,2024/1F,2024/4F,FQ,'BKRACTMED=1,WIN=0,UNITS=AUTO,DATE=NOW')&lt;/Q&gt;&lt;R&gt;4&lt;/R&gt;&lt;C&gt;1&lt;/C&gt;&lt;D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DEPR_AMORT,MEAN,2024,2024,FY,'BKRACTMED=1,WIN=0,UNITS=AUTO,DATE=NOW')&lt;/Q&gt;&lt;R&gt;0&lt;/R&gt;&lt;C&gt;0&lt;/C&gt;&lt;/FQL&gt;&lt;FQL&gt;&lt;Q&gt;MPLT^FE_TIMESERIES(G_A_EXP,MEAN,2022,2022,FY,'BKRACTMED=1,WIN=0,UNITS=AUTO,DATE=NOW')&lt;/Q&gt;&lt;R&gt;0&lt;/R&gt;&lt;C&gt;0&lt;/C&gt;&lt;/FQL&gt;&lt;FQL&gt;&lt;Q&gt;MPLT^FE_TIMESERIES(SGA,MEAN,2023,2023,FY,'BKRACTMED=1,WIN=0,UNITS=AUTO,DATE=NOW')&lt;/Q&gt;&lt;R&gt;0&lt;/R&gt;&lt;C&gt;0&lt;/C&gt;&lt;/FQL&gt;&lt;FQL&gt;&lt;Q&gt;MPLT^FE_TIMESERIES(EAG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xsi:type="xsd:string"&gt;@NA&lt;/D&gt;&lt;/FQL&gt;&lt;FQL&gt;&lt;Q&gt;MPLT^FE_TIMESERIES(BFNG,MEAN,2023,2024,FY,'BKRACTMED=1,WIN=0,UNITS=AUTO,DATE=NOW')&lt;/Q&gt;&lt;R&gt;2&lt;/R&gt;&lt;C&gt;1&lt;/C&gt;&lt;D xsi:type="xsd:string"&gt;@NA&lt;/D&gt;&lt;D xsi:type="xsd:string"&gt;@NA&lt;/D&gt;&lt;/FQL&gt;&lt;FQL&gt;&lt;Q&gt;MPLT^FE_TIMESERIES(EBITDA,MEAN,2023/1F,2023/4F,FQ,'BKRACTMED=1,WIN=0,UNITS=AUTO,DATE=NOW')&lt;/Q&gt;&lt;R&gt;4&lt;/R&gt;&lt;C&gt;1&lt;/C&gt;&lt;D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xsi:type="xsd:string"&gt;@NA&lt;/D&gt;&lt;/FQL&gt;&lt;FQL&gt;&lt;Q&gt;MPLT^FE_TIMESERIES(INTEXP,MEAN,2022/1F,2022/4F,FQ,'BKRACTMED=1,WIN=0,UNITS=AUTO,DATE=NOW')&lt;/Q&gt;&lt;R&gt;4&lt;/R&gt;&lt;C&gt;1&lt;/C&gt;&lt;D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xsi:type="xsd:string"&gt;@NA&lt;/D&gt;&lt;/FQL&gt;&lt;FQL&gt;&lt;Q&gt;MPLT^PROPER(CONVERT_DATE(FE_TIMESERIES_PERIOD(,2025/1F,2025/4F,FQ,'DISPLAY=YYYYMMDD'),"MMM 'YY"))&lt;/Q&gt;&lt;R&gt;4&lt;/R&gt;&lt;C&gt;1&lt;/C&gt;&lt;D xsi:type="xsd:string"&gt;Mar '25&lt;/D&gt;&lt;D xsi:type="xsd:string"&gt;Jun '25&lt;/D&gt;&lt;D xsi:type="xsd:string"&gt;Sep '25&lt;/D&gt;&lt;D xsi:type="xsd:string"&gt;Dec '25&lt;/D&gt;&lt;/FQL&gt;&lt;FQL&gt;&lt;Q&gt;MPLT^PROPER(CONVERT_DATE(FE_TIMESERIES_PERIOD(,2023,2024,FY,'DISPLAY=YYYYMMDD'),"MMM 'YY"))&lt;/Q&gt;&lt;R&gt;2&lt;/R&gt;&lt;C&gt;1&lt;/C&gt;&lt;D xsi:type="xsd:string"&gt;Dec '23&lt;/D&gt;&lt;D xsi:type="xsd:string"&gt;Dec '24&lt;/D&gt;&lt;/FQL&gt;&lt;FQL&gt;&lt;Q&gt;MPLT-US^FE_TIMESERIES(PTP,MEAN,2024,2030,FY,'BKRACTMED=1,WIN=0,UNITS=AUTO,DATE=NOW')&lt;/Q&gt;&lt;R&gt;7&lt;/R&gt;&lt;C&gt;1&lt;/C&gt;&lt;D xsi:type="xsd:string"&gt;@NA&lt;/D&gt;&lt;D xsi:type="xsd:double"&gt;-161.2&lt;/D&gt;&lt;D xsi:type="xsd:double"&gt;-186.84521&lt;/D&gt;&lt;D xsi:type="xsd:double"&gt;-228.53249&lt;/D&gt;&lt;D xsi:type="xsd:double"&gt;-286.71274&lt;/D&gt;&lt;D xsi:type="xsd:double"&gt;-292.96667&lt;/D&gt;&lt;D xsi:type="xsd:double"&gt;-318.8&lt;/D&gt;&lt;/FQL&gt;&lt;FQL&gt;&lt;Q&gt;MPLT-US^FE_TIMESERIES(GROSSINCOME,MEAN,2023,2024,FY,'BKRACTMED=1,WIN=0,UNITS=AUTO,DATE=NOW')&lt;/Q&gt;&lt;R&gt;2&lt;/R&gt;&lt;C&gt;1&lt;/C&gt;&lt;D xsi:type="xsd:string"&gt;@NA&lt;/D&gt;&lt;D xsi:type="xsd:string"&gt;@NA&lt;/D&gt;&lt;/FQL&gt;&lt;FQL&gt;&lt;Q&gt;MPLT-US^FE_TIMESERIES(INT_INCOME,MEAN,2024,2030,FY,'BKRACTMED=1,WIN=0,UNITS=AUTO,DATE=NOW')&lt;/Q&gt;&lt;R&gt;7&lt;/R&gt;&lt;C&gt;1&lt;/C&gt;&lt;D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xsi:type="xsd:string"&gt;@NA&lt;/D&gt;&lt;/FQL&gt;&lt;FQL&gt;&lt;Q&gt;MPLT-US^FE_TIMESERIES(SALES,MEAN,2026/1F,2026/4F,FQ,'BKRACTMED=1,WIN=0,UNITS=AUTO,DATE=NOW')&lt;/Q&gt;&lt;R&gt;4&lt;/R&gt;&lt;C&gt;1&lt;/C&gt;&lt;D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xsi:type="xsd:double"&gt;0&lt;/D&gt;&lt;/FQL&gt;&lt;FQL&gt;&lt;Q&gt;MPLT-US^FE_TIMESERIES(TAX_EXPENSE,MEAN,2024,2030,FY,'BKRACTMED=1,WIN=0,UNITS=AUTO,DATE=NOW')&lt;/Q&gt;&lt;R&gt;7&lt;/R&gt;&lt;C&gt;1&lt;/C&gt;&lt;D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xsi:type="xsd:double"&gt;0&lt;/D&gt;&lt;/FQL&gt;&lt;FQL&gt;&lt;Q&gt;MPLT-US^FE_TIMESERIES(COS,MEAN,2026/1F,2026/4F,FQ,'BKRACTMED=1,WIN=0,UNITS=AUTO,DATE=NOW')&lt;/Q&gt;&lt;R&gt;4&lt;/R&gt;&lt;C&gt;1&lt;/C&gt;&lt;D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xsi:type="xsd:double"&gt;0&lt;/D&gt;&lt;/FQL&gt;&lt;FQL&gt;&lt;Q&gt;MPLT-US^FE_TIMESERIES(SALES,MEAN,2023,2024,FY,'BKRACTMED=1,WIN=0,UNITS=AUTO,DATE=NOW')&lt;/Q&gt;&lt;R&gt;2&lt;/R&gt;&lt;C&gt;1&lt;/C&gt;&lt;D xsi:type="xsd:string"&gt;@NA&lt;/D&gt;&lt;D xsi:type="xsd:string"&gt;@NA&lt;/D&gt;&lt;/FQL&gt;&lt;FQL&gt;&lt;Q&gt;MPLT-US^FE_TIMESERIES(PTPA,MEAN,2024,2030,FY,'BKRACTMED=1,WIN=0,UNITS=AUTO,DATE=NOW')&lt;/Q&gt;&lt;R&gt;7&lt;/R&gt;&lt;C&gt;1&lt;/C&gt;&lt;D xsi:type="xsd:string"&gt;@NA&lt;/D&gt;&lt;D xsi:type="xsd:double"&gt;-161.2&lt;/D&gt;&lt;D xsi:type="xsd:double"&gt;-185&lt;/D&gt;&lt;D xsi:type="xsd:double"&gt;-279.1&lt;/D&gt;&lt;D xsi:type="xsd:double"&gt;-316.9&lt;/D&gt;&lt;D xsi:type="xsd:string"&gt;@NA&lt;/D&gt;&lt;D xsi:type="xsd:string"&gt;@NA&lt;/D&gt;&lt;/FQL&gt;&lt;FQL&gt;&lt;Q&gt;MPLT-US^FE_TIMESERIES(COS,MEAN,2026,2027,FY,'BKRACTMED=1,WIN=0,UNITS=AUTO,DATE=NOW')&lt;/Q&gt;&lt;R&gt;2&lt;/R&gt;&lt;C&gt;1&lt;/C&gt;&lt;D xsi:type="xsd:double"&gt;0&lt;/D&gt;&lt;D xsi:type="xsd:double"&gt;0&lt;/D&gt;&lt;/FQL&gt;&lt;FQL&gt;&lt;Q&gt;MPLT-US^FE_TIMESERIES(SALES,MEAN,2025/1F,2025/4F,FQ,'BKRACTMED=1,WIN=0,UNITS=AUTO,DATE=NOW')&lt;/Q&gt;&lt;R&gt;4&lt;/R&gt;&lt;C&gt;1&lt;/C&gt;&lt;D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xsi:type="xsd:double"&gt;0&lt;/D&gt;&lt;/FQL&gt;&lt;FQL&gt;&lt;Q&gt;MPLT-US^FE_TIMESERIES_PERIOD(,2026,2027,FY,'')&lt;/Q&gt;&lt;R&gt;2&lt;/R&gt;&lt;C&gt;1&lt;/C&gt;&lt;D xsi:type="xsd:string"&gt;2026&lt;/D&gt;&lt;D xsi:type="xsd:string"&gt;2027&lt;/D&gt;&lt;/FQL&gt;&lt;FQL&gt;&lt;Q&gt;MPLT-US^FE_TIMESERIES(COS,MEAN,2025,2025,FY,'BKRACTMED=1,WIN=0,UNITS=AUTO,DATE=NOW')&lt;/Q&gt;&lt;R&gt;1&lt;/R&gt;&lt;C&gt;1&lt;/C&gt;&lt;D xsi:type="xsd:double"&gt;0&lt;/D&gt;&lt;/FQL&gt;&lt;FQL&gt;&lt;Q&gt;MPLT-US^FE_TIMESERIES(BFNG,MEAN,2024,2030,FY,'BKRACTMED=1,WIN=0,UNITS=AUTO,DATE=NOW')&lt;/Q&gt;&lt;R&gt;7&lt;/R&gt;&lt;C&gt;1&lt;/C&gt;&lt;D xsi:type="xsd:string"&gt;@NA&lt;/D&gt;&lt;D xsi:type="xsd:double"&gt;-161.2&lt;/D&gt;&lt;D xsi:type="xsd:double"&gt;-199.15&lt;/D&gt;&lt;D xsi:type="xsd:double"&gt;-254.25&lt;/D&gt;&lt;D xsi:type="xsd:double"&gt;-290.7&lt;/D&gt;&lt;D xsi:type="xsd:double"&gt;-264.6&lt;/D&gt;&lt;D xsi:type="xsd:double"&gt;-245.8&lt;/D&gt;&lt;/FQL&gt;&lt;FQL&gt;&lt;Q&gt;MPLT-US^FE_TIMESERIES(SALES,MEAN,2026,2027,FY,'BKRACTMED=1,WIN=0,UNITS=AUTO,DATE=NOW')&lt;/Q&gt;&lt;R&gt;2&lt;/R&gt;&lt;C&gt;1&lt;/C&gt;&lt;D xsi:type="xsd:double"&gt;0&lt;/D&gt;&lt;D xsi:type="xsd:double"&gt;0&lt;/D&gt;&lt;/FQL&gt;&lt;FQL&gt;&lt;Q&gt;MPLT-US^FE_TIMESERIES(COS,MEAN,2023,2024,FY,'BKRACTMED=1,WIN=0,UNITS=AUTO,DATE=NOW')&lt;/Q&gt;&lt;R&gt;2&lt;/R&gt;&lt;C&gt;1&lt;/C&gt;&lt;D xsi:type="xsd:string"&gt;@NA&lt;/D&gt;&lt;D xsi:type="xsd:string"&gt;@NA&lt;/D&gt;&lt;/FQL&gt;&lt;FQL&gt;&lt;Q&gt;MPLT-US^FE_TIMESERIES(SALES,MEAN,2025,2025,FY,'BKRACTMED=1,WIN=0,UNITS=AUTO,DATE=NOW')&lt;/Q&gt;&lt;R&gt;1&lt;/R&gt;&lt;C&gt;1&lt;/C&gt;&lt;D xsi:type="xsd:double"&gt;0&lt;/D&gt;&lt;/FQL&gt;&lt;FQL&gt;&lt;Q&gt;MPLT-US^FE_TIMESERIES(NETPROFIT,MEAN,2024,2030,FY,'BKRACTMED=1,WIN=0,UNITS=AUTO,DATE=NOW')&lt;/Q&gt;&lt;R&gt;7&lt;/R&gt;&lt;C&gt;1&lt;/C&gt;&lt;D xsi:type="xsd:string"&gt;@NA&lt;/D&gt;&lt;D xsi:type="xsd:double"&gt;-161.152&lt;/D&gt;&lt;D xsi:type="xsd:double"&gt;-186.84521&lt;/D&gt;&lt;D xsi:type="xsd:double"&gt;-228.53249&lt;/D&gt;&lt;D xsi:type="xsd:double"&gt;-286.71274&lt;/D&gt;&lt;D xsi:type="xsd:double"&gt;-292.96667&lt;/D&gt;&lt;D xsi:type="xsd:double"&gt;-318.8&lt;/D&gt;&lt;/FQL&gt;&lt;FQL&gt;&lt;Q&gt;MPLT-US^FE_TIMESERIES(COS,MEAN,2025/1F,2025/4F,FQ,'BKRACTMED=1,WIN=0,UNITS=AUTO,DATE=NOW')&lt;/Q&gt;&lt;R&gt;4&lt;/R&gt;&lt;C&gt;1&lt;/C&gt;&lt;D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xsi:type="xsd:double"&gt;0&lt;/D&gt;&lt;/FQL&gt;&lt;FQL&gt;&lt;Q&gt;MPLT-US^PROPER(CONVERT_DATE(FE_TIMESERIES_PERIOD(,2025,2025,FY,'DISPLAY=YYYYMMDD'),"MMM 'YY"))&lt;/Q&gt;&lt;R&gt;1&lt;/R&gt;&lt;C&gt;1&lt;/C&gt;&lt;D xsi:type="xsd:string"&gt;Dec '25&lt;/D&gt;&lt;/FQL&gt;&lt;FQL&gt;&lt;Q&gt;MPLT-US^FE_TIMESERIES_PERIOD(,2025/1F,2025/4F,FQ,'')&lt;/Q&gt;&lt;R&gt;4&lt;/R&gt;&lt;C&gt;1&lt;/C&gt;&lt;D xsi:type="xsd:string"&gt;2025/1F&lt;/D&gt;&lt;D xsi:type="xsd:string"&gt;2025/2F&lt;/D&gt;&lt;D xsi:type="xsd:string"&gt;2025/3F&lt;/D&gt;&lt;D xsi:type="xsd:string"&gt;2025/4F&lt;/D&gt;&lt;/FQL&gt;&lt;FQL&gt;&lt;Q&gt;MPLT-US^FE_TIMESERIES_PERIOD(,2026/1F,2026/4F,FQ,'')&lt;/Q&gt;&lt;R&gt;4&lt;/R&gt;&lt;C&gt;1&lt;/C&gt;&lt;D xsi:type="xsd:string"&gt;2026/1F&lt;/D&gt;&lt;D xsi:type="xsd:string"&gt;2026/2F&lt;/D&gt;&lt;D xsi:type="xsd:string"&gt;2026/3F&lt;/D&gt;&lt;D xsi:type="xsd:string"&gt;2026/4F&lt;/D&gt;&lt;/FQL&gt;&lt;FQL&gt;&lt;Q&gt;MPLT-US^FE_TIMESERIES(EBITR,MEAN,2024,2030,FY,'BKRACTMED=1,WIN=0,UNITS=AUTO,DATE=NOW')&lt;/Q&gt;&lt;R&gt;7&lt;/R&gt;&lt;C&gt;1&lt;/C&gt;&lt;D xsi:type="xsd:string"&gt;@NA&lt;/D&gt;&lt;D xsi:type="xsd:double"&gt;-169.1&lt;/D&gt;&lt;D xsi:type="xsd:double"&gt;-205.2&lt;/D&gt;&lt;D xsi:type="xsd:double"&gt;-302&lt;/D&gt;&lt;D xsi:type="xsd:double"&gt;-341.2&lt;/D&gt;&lt;D xsi:type="xsd:string"&gt;@NA&lt;/D&gt;&lt;D xsi:type="xsd:string"&gt;@NA&lt;/D&gt;&lt;/FQL&gt;&lt;FQL&gt;&lt;Q&gt;MPLT-US^FE_TIMESERIES_PERIOD(,2025,2025,FY,'')&lt;/Q&gt;&lt;R&gt;1&lt;/R&gt;&lt;C&gt;1&lt;/C&gt;&lt;D xsi:type="xsd:string"&gt;2025&lt;/D&gt;&lt;/FQL&gt;&lt;FQL&gt;&lt;Q&gt;MPLT-US^PROPER(CONVERT_DATE(FE_TIMESERIES_PERIOD(,2026/1F,2026/4F,FQ,'DISPLAY=YYYYMMDD'),"MMM 'YY"))&lt;/Q&gt;&lt;R&gt;4&lt;/R&gt;&lt;C&gt;1&lt;/C&gt;&lt;D xsi:type="xsd:string"&gt;Mar '26&lt;/D&gt;&lt;D xsi:type="xsd:string"&gt;Jun '26&lt;/D&gt;&lt;D xsi:type="xsd:string"&gt;Sep '26&lt;/D&gt;&lt;D xsi:type="xsd:string"&gt;Dec '26&lt;/D&gt;&lt;/FQL&gt;&lt;FQL&gt;&lt;Q&gt;MPLT-US^FE_TIMESERIES_PERIOD(,2023,2024,FY,'')&lt;/Q&gt;&lt;R&gt;2&lt;/R&gt;&lt;C&gt;1&lt;/C&gt;&lt;D xsi:type="xsd:string"&gt;2023&lt;/D&gt;&lt;D xsi:type="xsd:string"&gt;2024&lt;/D&gt;&lt;/FQL&gt;&lt;FQL&gt;&lt;Q&gt;MPLT-US^PROPER(CONVERT_DATE(FE_TIMESERIES_PERIOD(,2026,2027,FY,'DISPLAY=YYYYMMDD'),"MMM 'YY"))&lt;/Q&gt;&lt;R&gt;2&lt;/R&gt;&lt;C&gt;1&lt;/C&gt;&lt;D xsi:type="xsd:string"&gt;Dec '26&lt;/D&gt;&lt;D xsi:type="xsd:string"&gt;Dec '27&lt;/D&gt;&lt;/FQL&gt;&lt;FQL&gt;&lt;Q&gt;MPLT-US^FE_TIMESERIES(EBITDA,MEAN,2024,2030,FY,'BKRACTMED=1,WIN=0,UNITS=AUTO,DATE=NOW')&lt;/Q&gt;&lt;R&gt;7&lt;/R&gt;&lt;C&gt;1&lt;/C&gt;&lt;D xsi:type="xsd:string"&gt;@NA&lt;/D&gt;&lt;D xsi:type="xsd:double"&gt;-169.5525&lt;/D&gt;&lt;D xsi:type="xsd:double"&gt;-210.85167&lt;/D&gt;&lt;D xsi:type="xsd:double"&gt;-227.40497&lt;/D&gt;&lt;D xsi:type="xsd:double"&gt;-298.0468&lt;/D&gt;&lt;D xsi:type="xsd:double"&gt;-264&lt;/D&gt;&lt;D xsi:type="xsd:double"&gt;-245.1&lt;/D&gt;&lt;/FQL&gt;&lt;FQL&gt;&lt;Q&gt;MPLT-US^FE_TIMESERIES(SGA,MEAN,2024,2030,FY,'BKRACTMED=1,WIN=0,UNITS=AUTO,DATE=NOW')&lt;/Q&gt;&lt;R&gt;7&lt;/R&gt;&lt;C&gt;1&lt;/C&gt;&lt;D xsi:type="xsd:string"&gt;@NA&lt;/D&gt;&lt;D xsi:type="xsd:double"&gt;30.7&lt;/D&gt;&lt;D xsi:type="xsd:double"&gt;37.433334&lt;/D&gt;&lt;D xsi:type="xsd:double"&gt;42.1&lt;/D&gt;&lt;D xsi:type="xsd:double"&gt;47.8&lt;/D&gt;&lt;D xsi:type="xsd:double"&gt;50.7&lt;/D&gt;&lt;D xsi:type="xsd:double"&gt;196.6&lt;/D&gt;&lt;/FQL&gt;&lt;FQL&gt;&lt;Q&gt;MPLT-US^FE_TIMESERIES(COS,MEAN,2024,2030,FY,'BKRACTMED=1,WIN=0,UNITS=AUTO,DATE=NOW')&lt;/Q&gt;&lt;R&gt;7&lt;/R&gt;&lt;C&gt;1&lt;/C&gt;&lt;D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xsi:type="xsd:double"&gt;2.55&lt;/D&gt;&lt;/FQL&gt;&lt;FQL&gt;&lt;Q&gt;MPLT-US^FE_TIMESERIES(BFNG,MEAN,2026/1F,2026/4F,FQ,'BKRACTMED=1,WIN=0,UNITS=AUTO,DATE=NOW')&lt;/Q&gt;&lt;R&gt;4&lt;/R&gt;&lt;C&gt;1&lt;/C&gt;&lt;D xsi:type="xsd:double"&gt;-43.95&lt;/D&gt;&lt;D xsi:type="xsd:double"&gt;-47.25&lt;/D&gt;&lt;D xsi:type="xsd:double"&gt;-51.75&lt;/D&gt;&lt;D xsi:type="xsd:double"&gt;-56.2&lt;/D&gt;&lt;/FQL&gt;&lt;FQL&gt;&lt;Q&gt;MPLT-US^FE_TIMESERIES(NETPROFIT,MEAN,2025,2025,FY,'BKRACTMED=1,WIN=0,UNITS=AUTO,DATE=NOW')&lt;/Q&gt;&lt;R&gt;1&lt;/R&gt;&lt;C&gt;1&lt;/C&gt;&lt;D xsi:type="xsd:double"&gt;-161.152&lt;/D&gt;&lt;/FQL&gt;&lt;FQL&gt;&lt;Q&gt;MPLT-US^FE_TIMESERIES(RD_EXP,MEAN,2025,2025,FY,'BKRACTMED=1,WIN=0,UNITS=AUTO,DATE=NOW')&lt;/Q&gt;&lt;R&gt;1&lt;/R&gt;&lt;C&gt;1&lt;/C&gt;&lt;D xsi:type="xsd:double"&gt;138.3&lt;/D&gt;&lt;/FQL&gt;&lt;FQL&gt;&lt;Q&gt;MPLT-US^FE_TIMESERIES(DEPR_AMORT,MEAN,2024,2030,FY,'BKRACTMED=1,WIN=0,UNITS=AUTO,DATE=NOW')&lt;/Q&gt;&lt;R&gt;7&lt;/R&gt;&lt;C&gt;1&lt;/C&gt;&lt;D xsi:type="xsd:string"&gt;@NA&lt;/D&gt;&lt;D xsi:type="xsd:double"&gt;0.6&lt;/D&gt;&lt;D xsi:type="xsd:double"&gt;1.3&lt;/D&gt;&lt;D xsi:type="xsd:double"&gt;0.55&lt;/D&gt;&lt;D xsi:type="xsd:double"&gt;0.8&lt;/D&gt;&lt;D xsi:type="xsd:double"&gt;0.8&lt;/D&gt;&lt;D xsi:type="xsd:double"&gt;0.8&lt;/D&gt;&lt;/FQL&gt;&lt;FQL&gt;&lt;Q&gt;MPLT-US^FE_TIMESERIES(SALES,MEAN,2024,2030,FY,'BKRACTMED=1,WIN=0,UNITS=AUTO,DATE=NOW')&lt;/Q&gt;&lt;R&gt;7&lt;/R&gt;&lt;C&gt;1&lt;/C&gt;&lt;D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xsi:type="xsd:double"&gt;49.1&lt;/D&gt;&lt;/FQL&gt;&lt;FQL&gt;&lt;Q&gt;MPLT-US^FE_TIMESERIES(EPS,MEAN,2024,2030,FY,'BKRACTMED=1,WIN=0,UNITS=AUTO,DATE=NOW')&lt;/Q&gt;&lt;R&gt;7&lt;/R&gt;&lt;C&gt;1&lt;/C&gt;&lt;D xsi:type="xsd:string"&gt;@NA&lt;/D&gt;&lt;D xsi:type="xsd:double"&gt;-18.56&lt;/D&gt;&lt;D xsi:type="xsd:double"&gt;-3.946&lt;/D&gt;&lt;D xsi:type="xsd:double"&gt;-4.1&lt;/D&gt;&lt;D xsi:type="xsd:double"&gt;-4.77&lt;/D&gt;&lt;D xsi:type="xsd:double"&gt;-4.56&lt;/D&gt;&lt;D xsi:type="xsd:double"&gt;-4.67&lt;/D&gt;&lt;/FQL&gt;&lt;FQL&gt;&lt;Q&gt;MPLT-US^FE_TIMESERIES(TOTASSET,MEAN,2024,2030,FY,'BKRACTMED=1,WIN=0,UNITS=AUTO,DATE=NOW')&lt;/Q&gt;&lt;R&gt;7&lt;/R&gt;&lt;C&gt;1&lt;/C&gt;&lt;D xsi:type="xsd:string"&gt;@NA&lt;/D&gt;&lt;D xsi:type="xsd:double"&gt;479.5&lt;/D&gt;&lt;D xsi:type="xsd:double"&gt;492.8&lt;/D&gt;&lt;D xsi:type="xsd:double"&gt;510.86667&lt;/D&gt;&lt;D xsi:type="xsd:double"&gt;310.6&lt;/D&gt;&lt;D xsi:type="xsd:double"&gt;320.4&lt;/D&gt;&lt;D xsi:type="xsd:double"&gt;243.2&lt;/D&gt;&lt;/FQL&gt;&lt;FQL&gt;&lt;Q&gt;MPLT-US^FE_TIMESERIES(SGA,MEAN,2023,2024,FY,'BKRACTMED=1,WIN=0,UNITS=AUTO,DATE=NOW')&lt;/Q&gt;&lt;R&gt;2&lt;/R&gt;&lt;C&gt;1&lt;/C&gt;&lt;D xsi:type="xsd:string"&gt;@NA&lt;/D&gt;&lt;D xsi:type="xsd:string"&gt;@NA&lt;/D&gt;&lt;/FQL&gt;&lt;FQL&gt;&lt;Q&gt;MPLT-US^FE_TIMESERIES(RD_EXP,MEAN,2024,2030,FY,'BKRACTMED=1,WIN=0,UNITS=AUTO,DATE=NOW')&lt;/Q&gt;&lt;R&gt;7&lt;/R&gt;&lt;C&gt;1&lt;/C&gt;&lt;D xsi:type="xsd:string"&gt;@NA&lt;/D&gt;&lt;D xsi:type="xsd:double"&gt;138.3&lt;/D&gt;&lt;D xsi:type="xsd:double"&gt;150.66667&lt;/D&gt;&lt;D xsi:type="xsd:double"&gt;175&lt;/D&gt;&lt;D xsi:type="xsd:double"&gt;212.5&lt;/D&gt;&lt;D xsi:type="xsd:double"&gt;207.5&lt;/D&gt;&lt;D xsi:type="xsd:double"&gt;147.5&lt;/D&gt;&lt;/FQL&gt;&lt;FQL&gt;&lt;Q&gt;MPLT-US^FE_TIMESERIES(EBIT,MEAN,2024,2030,FY,'BKRACTMED=1,WIN=0,UNITS=AUTO,DATE=NOW')&lt;/Q&gt;&lt;R&gt;7&lt;/R&gt;&lt;C&gt;1&lt;/C&gt;&lt;D xsi:type="xsd:string"&gt;@NA&lt;/D&gt;&lt;D xsi:type="xsd:double"&gt;-169.1&lt;/D&gt;&lt;D xsi:type="xsd:double"&gt;-195.55608&lt;/D&gt;&lt;D xsi:type="xsd:double"&gt;-240.46242&lt;/D&gt;&lt;D xsi:type="xsd:double"&gt;-298.63568&lt;/D&gt;&lt;D xsi:type="xsd:double"&gt;-300.73334&lt;/D&gt;&lt;D xsi:type="xsd:double"&gt;-328.1&lt;/D&gt;&lt;/FQL&gt;&lt;FQL&gt;&lt;Q&gt;MPLT-US^FE_TIMESERIES(EBIT,MEAN,2026,2027,FY,'BKRACTMED=1,WIN=0,UNITS=AUTO,DATE=NOW')&lt;/Q&gt;&lt;R&gt;2&lt;/R&gt;&lt;C&gt;1&lt;/C&gt;&lt;D xsi:type="xsd:double"&gt;-195.55608&lt;/D&gt;&lt;D xsi:type="xsd:double"&gt;-240.46242&lt;/D&gt;&lt;/FQL&gt;&lt;FQL&gt;&lt;Q&gt;MPLT-US^FE_TIMESERIES(GROSSINCOME,MEAN,2024,2030,FY,'BKRACTMED=1,WIN=0,UNITS=AUTO,DATE=NOW')&lt;/Q&gt;&lt;R&gt;7&lt;/R&gt;&lt;C&gt;1&lt;/C&gt;&lt;D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xsi:type="xsd:double"&gt;53.65&lt;/D&gt;&lt;/FQL&gt;&lt;FQL&gt;&lt;Q&gt;MPLT-US^PROPER(CONVERT_DATE(FE_TIMESERIES_PERIOD(,2025/1F,2025/4F,FQ,'DISPLAY=YYYYMMDD'),"MMM 'YY"))&lt;/Q&gt;&lt;R&gt;4&lt;/R&gt;&lt;C&gt;1&lt;/C&gt;&lt;D xsi:type="xsd:string"&gt;Mar '25&lt;/D&gt;&lt;D xsi:type="xsd:string"&gt;Jun '25&lt;/D&gt;&lt;D xsi:type="xsd:string"&gt;Sep '25&lt;/D&gt;&lt;D xsi:type="xsd:string"&gt;Dec '25&lt;/D&gt;&lt;/FQL&gt;&lt;FQL&gt;&lt;Q&gt;MPLT-US^FE_TIMESERIE</t>
        </r>
      </text>
    </comment>
    <comment ref="A6" authorId="0" shapeId="0" xr:uid="{2EDFDA9B-5E97-4ECE-B82D-D1AE9FEBB4AF}">
      <text>
        <r>
          <rPr>
            <b/>
            <sz val="9"/>
            <color indexed="81"/>
            <rFont val="Tahoma"/>
            <charset val="1"/>
          </rPr>
          <t>S(BFNG,MEAN,2025/1F,2025/4F,FQ,'BKRACTMED=1,WIN=0,UNITS=AUTO,DATE=NOW')&lt;/Q&gt;&lt;R&gt;4&lt;/R&gt;&lt;C&gt;1&lt;/C&gt;&lt;D xsi:type="xsd:string"&gt;@NA&lt;/D&gt;&lt;D xsi:type="xsd:string"&gt;@NA&lt;/D&gt;&lt;D xsi:type="xsd:double"&gt;-29.4&lt;/D&gt;&lt;D xsi:type="xsd:double"&gt;-79.5&lt;/D&gt;&lt;/FQL&gt;&lt;FQL&gt;&lt;Q&gt;MPLT-US^FE_TIMESERIES(SHEQUITY,MEAN,2024,2030,FY,'BKRACTMED=1,WIN=0,UNITS=AUTO,DATE=NOW')&lt;/Q&gt;&lt;R&gt;7&lt;/R&gt;&lt;C&gt;1&lt;/C&gt;&lt;D xsi:type="xsd:string"&gt;@NA&lt;/D&gt;&lt;D xsi:type="xsd:double"&gt;458.4&lt;/D&gt;&lt;D xsi:type="xsd:double"&gt;474&lt;/D&gt;&lt;D xsi:type="xsd:double"&gt;468.25&lt;/D&gt;&lt;D xsi:type="xsd:double"&gt;324.65&lt;/D&gt;&lt;D xsi:type="xsd:double"&gt;279.55&lt;/D&gt;&lt;D xsi:type="xsd:double"&gt;225.35&lt;/D&gt;&lt;/FQL&gt;&lt;FQL&gt;&lt;Q&gt;MPLT-US^FE_TIMESERIES(PTP,MEAN,2023,2024,FY,'BKRACTMED=1,WIN=0,UNITS=AUTO,DATE=NOW')&lt;/Q&gt;&lt;R&gt;2&lt;/R&gt;&lt;C&gt;1&lt;/C&gt;&lt;D xsi:type="xsd:string"&gt;@NA&lt;/D&gt;&lt;D xsi:type="xsd:string"&gt;@NA&lt;/D&gt;&lt;/FQL&gt;&lt;FQL&gt;&lt;Q&gt;MPLT-US^FE_TIMESERIES(EAG,MEAN,2024,2030,FY,'BKRACTMED=1,WIN=0,UNITS=AUTO,DATE=NOW')&lt;/Q&gt;&lt;R&gt;7&lt;/R&gt;&lt;C&gt;1&lt;/C&gt;&lt;D xsi:type="xsd:string"&gt;@NA&lt;/D&gt;&lt;D xsi:type="xsd:double"&gt;-18.625&lt;/D&gt;&lt;D xsi:type="xsd:double"&gt;-4.0866666&lt;/D&gt;&lt;D xsi:type="xsd:double"&gt;-4.735&lt;/D&gt;&lt;D xsi:type="xsd:double"&gt;-5.17&lt;/D&gt;&lt;D xsi:type="xsd:double"&gt;-4.995&lt;/D&gt;&lt;D xsi:type="xsd:double"&gt;-4.79&lt;/D&gt;&lt;/FQL&gt;&lt;FQL&gt;&lt;Q&gt;MPLT-US^FE_TIMESERIES(NETPROFIT,MEAN,2026,2027,FY,'BKRACTMED=1,WIN=0,UNITS=AUTO,DATE=NOW')&lt;/Q&gt;&lt;R&gt;2&lt;/R&gt;&lt;C&gt;1&lt;/C&gt;&lt;D xsi:type="xsd:double"&gt;-186.84521&lt;/D&gt;&lt;D xsi:type="xsd:double"&gt;-228.53249&lt;/D&gt;&lt;/FQL&gt;&lt;FQL&gt;&lt;Q&gt;MPLT-US^FE_TIMESERIES(PTPA,MEAN,2025,2025,FY,'BKRACTMED=1,WIN=0,UNITS=AUTO,DATE=NOW')&lt;/Q&gt;&lt;R&gt;1&lt;/R&gt;&lt;C&gt;1&lt;/C&gt;&lt;D xsi:type="xsd:double"&gt;-161.2&lt;/D&gt;&lt;/FQL&gt;&lt;FQL&gt;&lt;Q&gt;MPLT-US^FE_TIMESERIES(INT_INCOME,MEAN,2023,2024,FY,'BKRACTMED=1,WIN=0,UNITS=AUTO,DATE=NOW')&lt;/Q&gt;&lt;R&gt;2&lt;/R&gt;&lt;C&gt;1&lt;/C&gt;&lt;D xsi:type="xsd:string"&gt;@NA&lt;/D&gt;&lt;D xsi:type="xsd:string"&gt;@NA&lt;/D&gt;&lt;/FQL&gt;&lt;FQL&gt;&lt;Q&gt;MPLT-US^FE_TIMESERIES(DEPR_AMORT,MEAN,2026/1F,2026/4F,FQ,'BKRACTMED=1,WIN=0,UNITS=AUTO,DATE=NOW')&lt;/Q&gt;&lt;R&gt;4&lt;/R&gt;&lt;C&gt;1&lt;/C&gt;&lt;D xsi:type="xsd:double"&gt;0.4&lt;/D&gt;&lt;D xsi:type="xsd:double"&gt;0.4&lt;/D&gt;&lt;D xsi:type="xsd:double"&gt;0.4&lt;/D&gt;&lt;D xsi:type="xsd:double"&gt;0.4&lt;/D&gt;&lt;/FQL&gt;&lt;FQL&gt;&lt;Q&gt;MPLT-US^FE_TIMESERIES(DEPR_AMORT,MEAN,2025/1F,2025/4F,FQ,'BKRACTMED=1,WIN=0,UNITS=AUTO,DATE=NOW')&lt;/Q&gt;&lt;R&gt;4&lt;/R&gt;&lt;C&gt;1&lt;/C&gt;&lt;D xsi:type="xsd:string"&gt;@NA&lt;/D&gt;&lt;D xsi:type="xsd:string"&gt;@NA&lt;/D&gt;&lt;D xsi:type="xsd:double"&gt;0.1&lt;/D&gt;&lt;D xsi:type="xsd:double"&gt;0.1&lt;/D&gt;&lt;/FQL&gt;&lt;FQL&gt;&lt;Q&gt;MPLT-US^FE_TIMESERIES(EBITDA,MEAN,2026,2027,FY,'BKRACTMED=1,WIN=0,UNITS=AUTO,DATE=NOW')&lt;/Q&gt;&lt;R&gt;2&lt;/R&gt;&lt;C&gt;1&lt;/C&gt;&lt;D xsi:type="xsd:double"&gt;-210.85167&lt;/D&gt;&lt;D xsi:type="xsd:double"&gt;-227.40497&lt;/D&gt;&lt;/FQL&gt;&lt;FQL&gt;&lt;Q&gt;MPLT-US^FE_TIMESERIES(SGA,MEAN,2025,2025,FY,'BKRACTMED=1,WIN=0,UNITS=AUTO,DATE=NOW')&lt;/Q&gt;&lt;R&gt;1&lt;/R&gt;&lt;C&gt;1&lt;/C&gt;&lt;D xsi:type="xsd:double"&gt;30.7&lt;/D&gt;&lt;/FQL&gt;&lt;FQL&gt;&lt;Q&gt;MPLT-US^FE_TIMESERIES(EAG,MEAN,2025,2025,FY,'BKRACTMED=1,WIN=0,UNITS=AUTO,DATE=NOW')&lt;/Q&gt;&lt;R&gt;1&lt;/R&gt;&lt;C&gt;1&lt;/C&gt;&lt;D xsi:type="xsd:double"&gt;-18.625&lt;/D&gt;&lt;/FQL&gt;&lt;FQL&gt;&lt;Q&gt;MPLT-US^FE_TIMESERIES(TAX_EXPENSE,MEAN,2026/1F,2026/4F,FQ,'BKRACTMED=1,WIN=0,UNITS=AUTO,DATE=NOW')&lt;/Q&gt;&lt;R&gt;4&lt;/R&gt;&lt;C&gt;1&lt;/C&gt;&lt;D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xsi:type="xsd:double"&gt;0&lt;/D&gt;&lt;/FQL&gt;&lt;FQL&gt;&lt;Q&gt;MPLT-US^FE_TIMESERIES(PTPA,MEAN,2026,2027,FY,'BKRACTMED=1,WIN=0,UNITS=AUTO,DATE=NOW')&lt;/Q&gt;&lt;R&gt;2&lt;/R&gt;&lt;C&gt;1&lt;/C&gt;&lt;D xsi:type="xsd:double"&gt;-185&lt;/D&gt;&lt;D xsi:type="xsd:double"&gt;-279.1&lt;/D&gt;&lt;/FQL&gt;&lt;FQL&gt;&lt;Q&gt;MPLT-US^FE_TIMESERIES(EBIT,MEAN,2023,2024,FY,'BKRACTMED=1,WIN=0,UNITS=AUTO,DATE=NOW')&lt;/Q&gt;&lt;R&gt;2&lt;/R&gt;&lt;C&gt;1&lt;/C&gt;&lt;D xsi:type="xsd:string"&gt;@NA&lt;/D&gt;&lt;D xsi:type="xsd:string"&gt;@NA&lt;/D&gt;&lt;/FQL&gt;&lt;FQL&gt;&lt;Q&gt;MPLT-US^FE_TIMESERIES(RD_EXP,MEAN,2025/1F,2025/4F,FQ,'BKRACTMED=1,WIN=0,UNITS=AUTO,DATE=NOW')&lt;/Q&gt;&lt;R&gt;4&lt;/R&gt;&lt;C&gt;1&lt;/C&gt;&lt;D xsi:type="xsd:string"&gt;@NA&lt;/D&gt;&lt;D xsi:type="xsd:double"&gt;24.6&lt;/D&gt;&lt;D xsi:type="xsd:double"&gt;27.1&lt;/D&gt;&lt;D xsi:type="xsd:double"&gt;64.6&lt;/D&gt;&lt;/FQL&gt;&lt;FQL&gt;&lt;Q&gt;MPLT-US^FE_TIMESERIES(CURRENTLIABILITIES,MEAN,2025/1F,2025/4F,FQ,'BKRACTMED=1,WIN=0,UNITS=AUTO,DATE=NOW')&lt;/Q&gt;&lt;R&gt;4&lt;/R&gt;&lt;C&gt;1&lt;/C&gt;&lt;D xsi:type="xsd:string"&gt;@NA&lt;/D&gt;&lt;D xsi:type="xsd:string"&gt;@NA&lt;/D&gt;&lt;D xsi:type="xsd:string"&gt;@NA&lt;/D&gt;&lt;D xsi:type="xsd:double"&gt;16.2&lt;/D&gt;&lt;/FQL&gt;&lt;FQL&gt;&lt;Q&gt;MPLT-US^FE_TIMESERIES(NETDEBT,MEAN,2024,2030,FY,'BKRACTMED=1,WIN=0,UNITS=AUTO,DATE=NOW')&lt;/Q&gt;&lt;R&gt;7&lt;/R&gt;&lt;C&gt;1&lt;/C&gt;&lt;D xsi:type="xsd:string"&gt;@NA&lt;/D&gt;&lt;D xsi:type="xsd:double"&gt;-453.1&lt;/D&gt;&lt;D xsi:type="xsd:double"&gt;-438.47427&lt;/D&gt;&lt;D xsi:type="xsd:double"&gt;-335.03198&lt;/D&gt;&lt;D xsi:type="xsd:double"&gt;-353.34064&lt;/D&gt;&lt;D xsi:type="xsd:double"&gt;-266.6&lt;/D&gt;&lt;D xsi:type="xsd:double"&gt;-260.5&lt;/D&gt;&lt;/FQL&gt;&lt;FQL&gt;&lt;Q&gt;MPLT-US^FE_TIMESERIES(PTPA,MEAN,2025/1F,2025/4F,FQ,'BKRACTMED=1,WIN=0,UNITS=AUTO,DATE=NOW')&lt;/Q&gt;&lt;R&gt;4&lt;/R&gt;&lt;C&gt;1&lt;/C&gt;&lt;D xsi:type="xsd:string"&gt;@NA&lt;/D&gt;&lt;D xsi:type="xsd:string"&gt;@NA&lt;/D&gt;&lt;D xsi:type="xsd:double"&gt;-29.4&lt;/D&gt;&lt;D xsi:type="xsd:double"&gt;-79.5&lt;/D&gt;&lt;/FQL&gt;&lt;FQL&gt;&lt;Q&gt;MPLT-US^FE_TIMESERIES(DEPR_AMORT,MEAN,2023,2024,FY,'BKRACTMED=1,WIN=0,UNITS=AUTO,DATE=NOW')&lt;/Q&gt;&lt;R&gt;2&lt;/R&gt;&lt;C&gt;1&lt;/C&gt;&lt;D xsi:type="xsd:string"&gt;@NA&lt;/D&gt;&lt;D xsi:type="xsd:string"&gt;@NA&lt;/D&gt;&lt;/FQL&gt;&lt;FQL&gt;&lt;Q&gt;MPLT-US^FE_TIMESERIES(SGA,MEAN,2025/1F,2025/4F,FQ,'BKRACTMED=1,WIN=0,UNITS=AUTO,DATE=NOW')&lt;/Q&gt;&lt;R&gt;4&lt;/R&gt;&lt;C&gt;1&lt;/C&gt;&lt;D xsi:type="xsd:string"&gt;@NA&lt;/D&gt;&lt;D xsi:type="xsd:double"&gt;4.1&lt;/D&gt;&lt;D xsi:type="xsd:double"&gt;4.4&lt;/D&gt;&lt;D xsi:type="xsd:double"&gt;18.8&lt;/D&gt;&lt;/FQL&gt;&lt;FQL&gt;&lt;Q&gt;MPLT-US^FE_TIMESERIES(PTPA,MEAN,2023,2024,FY,'BKRACTMED=1,WIN=0,UNITS=AUTO,DATE=NOW')&lt;/Q&gt;&lt;R&gt;2&lt;/R&gt;&lt;C&gt;1&lt;/C&gt;&lt;D xsi:type="xsd:string"&gt;@NA&lt;/D&gt;&lt;D xsi:type="xsd:string"&gt;@NA&lt;/D&gt;&lt;/FQL&gt;&lt;FQL&gt;&lt;Q&gt;MPLT-US^FE_TIMESERIES(EBITDA,MEAN,2025,2025,FY,'BKRACTMED=1,WIN=0,UNITS=AUTO,DATE=NOW')&lt;/Q&gt;&lt;R&gt;1&lt;/R&gt;&lt;C&gt;1&lt;/C&gt;&lt;D xsi:type="xsd:double"&gt;-169.5525&lt;/D&gt;&lt;/FQL&gt;&lt;FQL&gt;&lt;Q&gt;MPLT-US^FE_TIMESERIES(TOTASSET,MEAN,2026/1F,2026/4F,FQ,'BKRACTMED=1,WIN=0,UNITS=AUTO,DATE=NOW')&lt;/Q&gt;&lt;R&gt;4&lt;/R&gt;&lt;C&gt;1&lt;/C&gt;&lt;D xsi:type="xsd:double"&gt;436.35&lt;/D&gt;&lt;D xsi:type="xsd:double"&gt;390&lt;/D&gt;&lt;D xsi:type="xsd:double"&gt;511.3&lt;/D&gt;&lt;D xsi:type="xsd:double"&gt;456.15&lt;/D&gt;&lt;/FQL&gt;&lt;FQL&gt;&lt;Q&gt;MPLT-US^FE_TIMESERIES(BFNG,MEAN,2026,2027,FY,'BKRACTMED=1,WIN=0,UNITS=AUTO,DATE=NOW')&lt;/Q&gt;&lt;R&gt;2&lt;/R&gt;&lt;C&gt;1&lt;/C&gt;&lt;D xsi:type="xsd:double"&gt;-199.15&lt;/D&gt;&lt;D xsi:type="xsd:double"&gt;-254.25&lt;/D&gt;&lt;/FQL&gt;&lt;FQL&gt;&lt;Q&gt;MPLT-US^FE_TIMESERIES(DEPR_AMORT,MEAN,2026,2027,FY,'BKRACTMED=1,WIN=0,UNITS=AUTO,DATE=NOW')&lt;/Q&gt;&lt;R&gt;2&lt;/R&gt;&lt;C&gt;1&lt;/C&gt;&lt;D xsi:type="xsd:double"&gt;1.3&lt;/D&gt;&lt;D xsi:type="xsd:double"&gt;0.55&lt;/D&gt;&lt;/FQL&gt;&lt;FQL&gt;&lt;Q&gt;MPLT-US^FE_TIMESERIES(CURRENTLIABILITIES,MEAN,2024,2030,FY,'BKRACTMED=1,WIN=0,UNITS=AUTO,DATE=NOW')&lt;/Q&gt;&lt;R&gt;7&lt;/R&gt;&lt;C&gt;1&lt;/C&gt;&lt;D xsi:type="xsd:string"&gt;@NA&lt;/D&gt;&lt;D xsi:type="xsd:double"&gt;16.2&lt;/D&gt;&lt;D xsi:type="xsd:double"&gt;16.2&lt;/D&gt;&lt;D xsi:type="xsd:double"&gt;8.1&lt;/D&gt;&lt;D xsi:type="xsd:double"&gt;8.1&lt;/D&gt;&lt;D xsi:type="xsd:double"&gt;8.1&lt;/D&gt;&lt;D xsi:type="xsd:double"&gt;12.55&lt;/D&gt;&lt;/FQL&gt;&lt;FQL&gt;&lt;Q&gt;MPLT-US^FE_TIMESERIES(NETPROFIT,MEAN,2026/1F,2026/4F,FQ,'BKRACTMED=1,WIN=0,UNITS=AUTO,DATE=NOW')&lt;/Q&gt;&lt;R&gt;4&lt;/R&gt;&lt;C&gt;1&lt;/C&gt;&lt;D xsi:type="xsd:double"&gt;-41.575&lt;/D&gt;&lt;D xsi:type="xsd:double"&gt;-44.175&lt;/D&gt;&lt;D xsi:type="xsd:double"&gt;-47.3&lt;/D&gt;&lt;D xsi:type="xsd:double"&gt;-51.15&lt;/D&gt;&lt;/FQL&gt;&lt;FQL&gt;&lt;Q&gt;MPLT-US^FE_TIMESERIES(NETPROFIT,MEAN,2025/1F,2025/4F,FQ,'BKRACTMED=1,WIN=0,UNITS=AUTO,DATE=NOW')&lt;/Q&gt;&lt;R&gt;4&lt;/R&gt;&lt;C&gt;1&lt;/C&gt;&lt;D xsi:type="xsd:string"&gt;@NA&lt;/D&gt;&lt;D xsi:type="xsd:double"&gt;-27.4&lt;/D&gt;&lt;D xsi:type="xsd:double"&gt;-29.418&lt;/D&gt;&lt;D xsi:type="xsd:double"&gt;-79.548&lt;/D&gt;&lt;/FQL&gt;&lt;FQL&gt;&lt;Q&gt;MPLT-US^FE_TIMESERIES(TAX_EXPENSE,MEAN,2026,2027,FY,'BKRACTMED=1,WIN=0,UNITS=AUTO,DATE=NOW')&lt;/Q&gt;&lt;R&gt;2&lt;/R&gt;&lt;C&gt;1&lt;/C&gt;&lt;D xsi:type="xsd:double"&gt;0&lt;/D&gt;&lt;D xsi:type="xsd:double"&gt;0&lt;/D&gt;&lt;/FQL&gt;&lt;FQL&gt;&lt;Q&gt;MPLT-US^FE_TIMESERIES(PTP,MEAN,2025,2025,FY,'BKRACTMED=1,WIN=0,UNITS=AUTO,DATE=NOW')&lt;/Q&gt;&lt;R&gt;1&lt;/R&gt;&lt;C&gt;1&lt;/C&gt;&lt;D xsi:type="xsd:double"&gt;-161.2&lt;/D&gt;&lt;/FQL&gt;&lt;FQL&gt;&lt;Q&gt;MPLT-US^FE_TIMESERIES(EBITR,MEAN,2023,2024,FY,'BKRACTMED=1,WIN=0,UNITS=AUTO,DATE=NOW')&lt;/Q&gt;&lt;R&gt;2&lt;/R&gt;&lt;C&gt;1&lt;/C&gt;&lt;D xsi:type="xsd:string"&gt;@NA&lt;/D&gt;&lt;D xsi:type="xsd:string"&gt;@NA&lt;/D&gt;&lt;/FQL&gt;&lt;FQL&gt;&lt;Q&gt;MPLT-US^FE_TIMESERIES(EBITDA,MEAN,2026/1F,2026/4F,FQ,'BKRACTMED=1,WIN=0,UNITS=AUTO,DATE=NOW')&lt;/Q&gt;&lt;R&gt;4&lt;/R&gt;&lt;C&gt;1&lt;/C&gt;&lt;D xsi:type="xsd:double"&gt;-48.9&lt;/D&gt;&lt;D xsi:type="xsd:double"&gt;-51.9&lt;/D&gt;&lt;D xsi:type="xsd:double"&gt;-54.9&lt;/D&gt;&lt;D xsi:type="xsd:double"&gt;-57.9&lt;/D&gt;&lt;/FQL&gt;&lt;FQL&gt;&lt;Q&gt;MPLT-US^FE_TIMESERIES(EBITDA,MEAN,2025/1F,2025/4F,FQ,'BKRACTMED=1,WIN=0,UNITS=AUTO,DATE=NOW')&lt;/Q&gt;&lt;R&gt;4&lt;/R&gt;&lt;C&gt;1&lt;/C&gt;&lt;D xsi:type="xsd:string"&gt;@NA&lt;/D&gt;&lt;D xsi:type="xsd:string"&gt;@NA&lt;/D&gt;&lt;D xsi:type="xsd:string"&gt;@NA&lt;/D&gt;&lt;D xsi:type="xsd:double"&gt;-84.7&lt;/D&gt;&lt;/FQL&gt;&lt;FQL&gt;&lt;Q&gt;MPLT-US^FE_TIMESERIES(RD_EXP,MEAN,2026,2027,FY,'BKRACTMED=1,WIN=0,UNITS=AUTO,DATE=NOW')&lt;/Q&gt;&lt;R&gt;2&lt;/R&gt;&lt;C&gt;1&lt;/C&gt;&lt;D xsi:type="xsd:double"&gt;150.66667&lt;/D&gt;&lt;D xsi:type="xsd:double"&gt;175&lt;/D&gt;&lt;/FQL&gt;&lt;FQL&gt;&lt;Q&gt;MPLT-US^FE_TIMESERIES(GROSSINCOME,MEAN,2025,2025,FY,'BKRACTMED=1,WIN=0,UNITS=AUTO,DATE=NOW')&lt;/Q&gt;&lt;R&gt;1&lt;/R&gt;&lt;C&gt;1&lt;/C&gt;&lt;D xsi:type="xsd:double"&gt;0&lt;/D&gt;&lt;/FQL&gt;&lt;FQL&gt;&lt;Q&gt;MPLT-US^PROPER(CONVERT_DATE(FE_TIMESERIES_PERIOD(,2024,2030,FY,'DISPLAY=YYYYMMDD'),"MMM 'YY"))&lt;/Q&gt;&lt;R&gt;7&lt;/R&gt;&lt;C&gt;1&lt;/C&gt;&lt;D xsi:type="xsd:string"&gt;Dec '24&lt;/D&gt;&lt;D xsi:type="xsd:string"&gt;Dec '25&lt;/D&gt;&lt;D xsi:type="xsd:string"&gt;Dec '26&lt;/D&gt;&lt;D xsi:type="xsd:string"&gt;Dec '27&lt;/D&gt;&lt;D xsi:type="xsd:string"&gt;Dec '28&lt;/D&gt;&lt;D xsi:type="xsd:string"&gt;Dec '29&lt;/D&gt;&lt;D xsi:type="xsd:string"&gt;Dec '30&lt;/D&gt;&lt;/FQL&gt;&lt;FQL&gt;&lt;Q&gt;MPLT-US^FE_TIMESERIES(TAX_EXPENSE,MEAN,2025/1F,2025/4F,FQ,'BKRACTMED=1,WIN=0,UNITS=AUTO,DATE=NOW')&lt;/Q&gt;&lt;R&gt;4&lt;/R&gt;&lt;C&gt;1&lt;/C&gt;&lt;D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-US^FE_TIMESERIES(INT_INCOME,MEAN,2025,2025,FY,'BKRACTMED=1,WIN=0,UNITS=AUTO,DATE=NOW')&lt;/Q&gt;&lt;R&gt;0&lt;/R&gt;&lt;C&gt;0&lt;/C&gt;&lt;/FQL&gt;&lt;FQL&gt;&lt;Q&gt;MPLT-US^FE_TIMESERIES(RD_EXP,MEAN,2026/1F,2026/4F,FQ,'BKRACTMED=1,WIN=0,UNITS=AUTO,DATE=NOW')&lt;/Q&gt;&lt;R&gt;4&lt;/R&gt;&lt;C&gt;1&lt;/C&gt;&lt;D xsi:type="xsd:double"&gt;35.1&lt;/D&gt;&lt;D xsi:type="xsd:double"&gt;36.766666&lt;/D&gt;&lt;D xsi:type="xsd:double"&gt;38.1&lt;/D&gt;&lt;D xsi:type="xsd:double"&gt;40.766666&lt;/D&gt;&lt;/FQL&gt;&lt;FQL&gt;&lt;Q&gt;MPLT-US^FE_TIMESERIES(SGA,MEAN,2026,2027,FY,'BKRACTMED=1,WIN=0,UNITS=AUTO,DATE=NOW')&lt;/Q&gt;&lt;R&gt;2&lt;/R&gt;&lt;C&gt;1&lt;/C&gt;&lt;D xsi:type="xsd:double"&gt;37.433334&lt;/D&gt;&lt;D xsi:type="xsd:double"&gt;42.1&lt;/D&gt;&lt;/FQL&gt;&lt;FQL&gt;&lt;Q&gt;MPLT-US^FE_TIMESERIES(BFNG,MEAN,2023,2024,FY,'BKRACTMED=1,WIN=0,UNITS=AUTO,DATE=NOW')&lt;/Q&gt;&lt;R&gt;2&lt;/R&gt;&lt;C&gt;1&lt;/C&gt;&lt;D xsi:type="xsd:string"&gt;@NA&lt;/D&gt;&lt;D xsi:type="xsd:string"&gt;@NA&lt;/D&gt;&lt;/FQL&gt;&lt;FQL&gt;&lt;Q&gt;MPLT-US^FE_TIMESERIES(PTPA,MEAN,2026/1F,2026/4F,FQ,'BKRACTMED=1,WIN=0,UNITS=AUTO,DATE=NOW')&lt;/Q&gt;&lt;R&gt;4&lt;/R&gt;&lt;C&gt;1&lt;/C&gt;&lt;D xsi:type="xsd:double"&gt;-39.1&lt;/D&gt;&lt;D xsi:type="xsd:double"&gt;-42.6&lt;/D&gt;&lt;D xsi:type="xsd:double"&gt;-48.7&lt;/D&gt;&lt;D xsi:type="xsd:double"&gt;-54.6&lt;/D&gt;&lt;/FQL&gt;&lt;FQL&gt;&lt;Q&gt;MPLT-US^FE_TIMESERIES(PTP,MEAN,2026,2027,FY,'BKRACTMED=1,WIN=0,UNITS=AUTO,DATE=NOW')&lt;/Q&gt;&lt;R&gt;2&lt;/R&gt;&lt;C&gt;1&lt;/C&gt;&lt;D xsi:type="xsd:double"&gt;-186.84521&lt;/D&gt;&lt;D xsi:type="xsd:double"&gt;-228.53249&lt;/D&gt;&lt;/FQL&gt;&lt;FQL&gt;&lt;Q&gt;MPLT-US^FE_TIMESERIES(EBITR,MEAN,2025,2025,FY,'BKRACTMED=1,WIN=0,UNITS=AUTO,DATE=NOW')&lt;/Q&gt;&lt;R&gt;1&lt;/R&gt;&lt;C&gt;1&lt;/C&gt;&lt;D xsi:type="xsd:double"&gt;-169.1&lt;/D&gt;&lt;/FQL&gt;&lt;FQL&gt;&lt;Q&gt;MPLT-US^FE_TIMESERIES(SGA,MEAN,2026/1F,2026/4F,FQ,'BKRACTMED=1,WIN=0,UNITS=AUTO,DATE=NOW')&lt;/Q&gt;&lt;R&gt;4&lt;/R&gt;&lt;C&gt;1&lt;/C&gt;&lt;D xsi:type="xsd:double"&gt;8.5&lt;/D&gt;&lt;D xsi:type="xsd:double"&gt;9.033334&lt;/D&gt;&lt;D xsi:type="xsd:double"&gt;9.733334&lt;/D&gt;&lt;D xsi:type="xsd:double"&gt;10.166667&lt;/D&gt;&lt;/FQL&gt;&lt;FQL&gt;&lt;Q&gt;MPLT-US^FE_TIMESERIES(NETDEBT,MEAN,2023,2024,FY,'BKRACTMED=1,WIN=0,UNITS=AUTO,DATE=NOW')&lt;/Q&gt;&lt;R&gt;2&lt;/R&gt;&lt;C&gt;1&lt;/C&gt;&lt;D xsi:type="xsd:string"&gt;@NA&lt;/D&gt;&lt;D xsi:type="xsd:string"&gt;@NA&lt;/D&gt;&lt;/FQL&gt;&lt;FQL&gt;&lt;Q&gt;MPLT-US^FE_TIMESERIES(EBITR,MEAN,2025/1F,2025/4F,FQ,'BKRACTMED=1,WIN=0,UNITS=AUTO,DATE=NOW')&lt;/Q&gt;&lt;R&gt;4&lt;/R&gt;&lt;C&gt;1&lt;/C&gt;&lt;D xsi:type="xsd:string"&gt;@NA&lt;/D&gt;&lt;D xsi:type="xsd:string"&gt;@NA&lt;/D&gt;&lt;D xsi:type="xsd:double"&gt;-31.5&lt;/D&gt;&lt;D xsi:type="xsd:double"&gt;-83.4&lt;/D&gt;&lt;/FQL&gt;&lt;FQL&gt;&lt;Q&gt;MPLT-US^FE_TIMESERIES(TAX_EXPENSE,MEAN,2025,2025,FY,'BKRACTMED=1,WIN=0,UNITS=AUTO,DATE=NOW')&lt;/Q&gt;&lt;R&gt;1&lt;/R&gt;&lt;C&gt;1&lt;/C&gt;&lt;D xsi:type="xsd:double"&gt;0&lt;/D&gt;&lt;/FQL&gt;&lt;FQL&gt;&lt;Q&gt;MPLT-US^FE_TIMESERIES(EBIT,MEAN,2026/1F,2026/4F,FQ,'BKRACTMED=1,WIN=0,UNITS=AUTO,DATE=NOW')&lt;/Q&gt;&lt;R&gt;4&lt;/R&gt;&lt;C&gt;1&lt;/C&gt;&lt;D xsi:type="xsd:double"&gt;-43.55&lt;/D&gt;&lt;D xsi:type="xsd:double"&gt;-46.35&lt;/D&gt;&lt;D xsi:type="xsd:double"&gt;-49.275&lt;/D&gt;&lt;D xsi:type="xsd:double"&gt;-53.25&lt;/D&gt;&lt;/FQL&gt;&lt;FQL&gt;&lt;Q&gt;MPLT-US^FE_TIMESERIES(GROSSINCOME,MEAN,2026,2027,FY,'BKRACTMED=1,WIN=0,UNITS=AUTO,DATE=NOW')&lt;/Q&gt;&lt;R&gt;2&lt;/R&gt;&lt;C&gt;1&lt;/C&gt;&lt;D xsi:type="xsd:double"&gt;0&lt;/D&gt;&lt;D xsi:type="xsd:double"&gt;0&lt;/D&gt;&lt;/FQL&gt;&lt;FQL&gt;&lt;Q&gt;MPLT-US^FE_TIMESERIES(CURRENTASSETS,MEAN,2024,2030,FY,'BKRACTMED=1,WIN=0,UNITS=AUTO,DATE=NOW')&lt;/Q&gt;&lt;R&gt;7&lt;/R&gt;&lt;C&gt;1&lt;/C&gt;&lt;D xsi:type="xsd:string"&gt;@NA&lt;/D&gt;&lt;D xsi:type="xsd:double"&gt;324.7&lt;/D&gt;&lt;D xsi:type="xsd:double"&gt;340.3&lt;/D&gt;&lt;D xsi:type="xsd:double"&gt;400.75&lt;/D&gt;&lt;D xsi:type="xsd:double"&gt;256.65&lt;/D&gt;&lt;D xsi:type="xsd:double"&gt;211&lt;/D&gt;&lt;D xsi:type="xsd:double"&gt;161.35&lt;/D&gt;&lt;/FQL&gt;&lt;FQL&gt;&lt;Q&gt;MPLT-US^FE_TIMESERIES(EBIT,MEAN,2025/1F,2025/4F,FQ,'BKRACTMED=1,WIN=0,UNITS=AUTO,DATE=NOW')&lt;/Q&gt;&lt;R&gt;4&lt;/R&gt;&lt;C&gt;1&lt;/C&gt;&lt;D xsi:type="xsd:string"&gt;@NA&lt;/D&gt;&lt;D xsi:type="xsd:double"&gt;-29.7&lt;/D&gt;&lt;D xsi:type="xsd:double"&gt;-31.5&lt;/D&gt;&lt;D xsi:type="xsd:double"&gt;-83.4&lt;/D&gt;&lt;/FQL&gt;&lt;FQL&gt;&lt;Q&gt;MPLT-US^FE_TIMESERIES(SHEQUITY,MEAN,2025,2025,FY,'BKRACTMED=1,WIN=0,UNITS=AUTO,DATE=NOW')&lt;/Q&gt;&lt;R&gt;1&lt;/R&gt;&lt;C&gt;1&lt;/C&gt;&lt;D xsi:type="xsd:double"&gt;458.4&lt;/D&gt;&lt;/FQL&gt;&lt;FQL&gt;&lt;Q&gt;MPLT-US^FE_TIMESERIES(CASH_ST,MEAN,2024,2030,FY,'BKRACTMED=1,WIN=0,UNITS=AUTO,DATE=NOW')&lt;/Q&gt;&lt;R&gt;7&lt;/R&gt;&lt;C&gt;1&lt;/C&gt;&lt;D xsi:type="xsd:string"&gt;@NA&lt;/D&gt;&lt;D xsi:type="xsd:double"&gt;453.1&lt;/D&gt;&lt;D xsi:type="xsd:double"&gt;392.23334&lt;/D&gt;&lt;D xsi:type="xsd:double"&gt;430.15&lt;/D&gt;&lt;D xsi:type="xsd:double"&gt;286.05&lt;/D&gt;&lt;D xsi:type="xsd:double"&gt;240.5&lt;/D&gt;&lt;D xsi:type="xsd:double"&gt;221.15&lt;/D&gt;&lt;/FQL&gt;&lt;FQL&gt;&lt;Q&gt;MPLT-US^FE_TIMESERIES(NETPROFIT,MEAN,2023,2024,FY,'BKRACTMED=1,WIN=0,UNITS=AUTO,DATE=NOW')&lt;/Q&gt;&lt;R&gt;2&lt;/R&gt;&lt;C&gt;1&lt;/C&gt;&lt;D xsi:type="xsd:string"&gt;@NA&lt;/D&gt;&lt;D xsi:type="xsd:string"&gt;@NA&lt;/D&gt;&lt;/FQL&gt;&lt;FQL&gt;&lt;Q&gt;MPLT-US^FE_TIMESERIES(PTP,MEAN,2026/1F,2026/4F,FQ,'BKRACTMED=1,WIN=0,UNITS=AUTO,DATE=NOW')&lt;/Q&gt;&lt;R&gt;4&lt;/R&gt;&lt;C&gt;1&lt;/C&gt;&lt;D xsi:type="xsd:double"&gt;-41.575&lt;/D&gt;&lt;D xsi:type="xsd:double"&gt;-44.175&lt;/D&gt;&lt;D xsi:type="xsd:double"&gt;-47.3&lt;/D&gt;&lt;D xsi:type="xsd:double"&gt;-51.15&lt;/D&gt;&lt;/FQL&gt;&lt;FQL&gt;&lt;Q&gt;MPLT-US^FE_TIMESERIES(PTP,MEAN,2025/1F,2025/4F,FQ,'BKRACTMED=1,WIN=0,UNITS=AUTO,DATE=NOW')&lt;/Q&gt;&lt;R&gt;4&lt;/R&gt;&lt;C&gt;1&lt;/C&gt;&lt;D xsi:type="xsd:string"&gt;@NA&lt;/D&gt;&lt;D xsi:type="xsd:double"&gt;-28.6&lt;/D&gt;&lt;D xsi:type="xsd:double"&gt;-29.4&lt;/D&gt;&lt;D xsi:type="xsd:double"&gt;-79.5&lt;/D&gt;&lt;/FQL&gt;&lt;FQL&gt;&lt;Q&gt;MPLT-US^FE_TIMESERIES(INT_INCOME,MEAN,2026,2027,FY,'BKRACTMED=1,WIN=0,UNITS=AUTO,DATE=NOW')&lt;/Q&gt;&lt;R&gt;2&lt;/R&gt;&lt;C&gt;1&lt;/C&gt;&lt;D xsi:type="xsd:string"&gt;@NA&lt;/D&gt;&lt;D xsi:type="xsd:string"&gt;@NA&lt;/D&gt;&lt;/FQL&gt;&lt;FQL&gt;&lt;Q&gt;MPLT-US^FE_TIMESERIES(EBIT,MEAN,2025,2025,FY,'BKRACTMED=1,WIN=0,UNITS=AUTO,DATE=NOW')&lt;/Q&gt;&lt;R&gt;1&lt;/R&gt;&lt;C&gt;1&lt;/C&gt;&lt;D xsi:type="xsd:double"&gt;-169.1&lt;/D&gt;&lt;/FQL&gt;&lt;FQL&gt;&lt;Q&gt;MPLT-US^FE_TIMESERIES(EBITDA,MEAN,2023,2024,FY,'BKRACTMED=1,WIN=0,UNITS=AUTO,DATE=NOW')&lt;/Q&gt;&lt;R&gt;2&lt;/R&gt;&lt;C&gt;1&lt;/C&gt;&lt;D xsi:type="xsd:string"&gt;@NA&lt;/D&gt;&lt;D xsi:type="xsd:string"&gt;@NA&lt;/D&gt;&lt;/FQL&gt;&lt;FQL&gt;&lt;Q&gt;MPLT-US^FE_TIMESERIES(GROSSINCOME,MEAN,2026/1F,2026/4F,FQ,'BKRACTMED=1,WIN=0,UNITS=AUTO,DATE=NOW')&lt;/Q&gt;&lt;R&gt;4&lt;/R&gt;&lt;C&gt;1&lt;/C&gt;&lt;D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xsi:type="xsd:double"&gt;0&lt;/D&gt;&lt;/FQL&gt;&lt;FQL&gt;&lt;Q&gt;MPLT-US^FE_TIMESERIES(GROSSINCOME,MEAN,2025/1F,2025/4F,FQ,'BKRACTMED=1,WIN=0,UNITS=AUTO,DATE=NOW')&lt;/Q&gt;&lt;R&gt;4&lt;/R&gt;&lt;C&gt;1&lt;/C&gt;&lt;D xsi:type="xsd:string"&gt;@NA&lt;/D&gt;&lt;D xsi:type="xsd:double"&gt;0&lt;/D&gt;&lt;D xsi:type="xsd:double"&gt;0&lt;/D&gt;&lt;D xsi:type="xsd:double"&gt;0&lt;/D&gt;&lt;/FQL&gt;&lt;FQL&gt;&lt;Q&gt;MPLT-US^FE_TIMESERIES(SHEQUITY,MEAN,2023,2024,FY,'BKRACTMED=1,WIN=0,UNITS=AUTO,DATE=NOW')&lt;/Q&gt;&lt;R&gt;2&lt;/R&gt;&lt;C&gt;1&lt;/C&gt;&lt;D xsi:type="xsd:string"&gt;@NA&lt;/D&gt;&lt;D xsi:type="xsd:string"&gt;@NA&lt;/D&gt;&lt;/FQL&gt;&lt;FQL&gt;&lt;Q&gt;MPLT-US^PROPER(CONVERT_DATE(FE_TIMESERIES_PERIOD(,2023,2024,FY,'DISPLAY=YYYYMMDD'),"MMM 'YY"))&lt;/Q&gt;&lt;R&gt;2&lt;/R&gt;&lt;C&gt;1&lt;/C&gt;&lt;D xsi:type="xsd:string"&gt;Dec '23&lt;/D&gt;&lt;D xsi:type="xsd:string"&gt;Dec '24&lt;/D&gt;&lt;/FQL&gt;&lt;FQL&gt;&lt;Q&gt;MPLT-US^FE_TIMESERIES(BFNG,MEAN,2025,2025,FY,'BKRACTMED=1,WIN=0,UNITS=AUTO,DATE=NOW')&lt;/Q&gt;&lt;R&gt;1&lt;/R&gt;&lt;C&gt;1&lt;/C&gt;&lt;D xsi:type="xsd:double"&gt;-161.2&lt;/D&gt;&lt;/FQL&gt;&lt;FQL&gt;&lt;Q&gt;MPLT-US^FE_TIMESERIES(TAX_EXPENSE,MEAN,2023,2024,FY,'BKRACTMED=1,WIN=0,UNITS=AUTO,DATE=NOW')&lt;/Q&gt;&lt;R&gt;2&lt;/R&gt;&lt;C&gt;1&lt;/C&gt;&lt;D xsi:type="xsd:string"&gt;@NA&lt;/D&gt;&lt;D xsi:type="xsd:string"&gt;@NA&lt;/D&gt;&lt;/FQL&gt;&lt;FQL&gt;&lt;Q&gt;MPLT-US^FE_TIMESERIES(INT_INCOME,MEAN,2026/1F,2026/4F,FQ,'BKRACTMED=1,WIN=0,UNITS=AUTO,DATE=NOW')&lt;/Q&gt;&lt;R&gt;4&lt;/R&gt;&lt;C&gt;1&lt;/C&gt;&lt;D xsi:type="xsd:string"&gt;@NA&lt;/D&gt;&lt;D xsi:type="xsd:string"&gt;@NA&lt;/D&gt;&lt;D xsi:type="xsd:string"&gt;@NA&lt;/D&gt;&lt;D xsi:type="xsd:string"&gt;@NA&lt;/D&gt;&lt;/FQL&gt;&lt;FQL&gt;&lt;Q&gt;MPLT-US^FE_TIMESERIES(INT_INCOME,MEAN,2025/1F,2025/4F,FQ,'BKRACTMED=1,WIN=0,UNITS=AUTO,DATE=NOW')&lt;/Q&gt;&lt;R&gt;4&lt;/R&gt;&lt;C&gt;1&lt;/C&gt;&lt;D xsi:type="xsd:string"&gt;@NA&lt;/D&gt;&lt;D xsi:type="xsd:string"&gt;@NA&lt;/D&gt;&lt;D xsi:type="xsd:double"&gt;1.5&lt;/D&gt;&lt;D xsi:type="xsd:string"&gt;@NA&lt;/D&gt;&lt;/FQL&gt;&lt;FQL&gt;&lt;Q&gt;MPLT-US^FE_TIMESERIES(EBITR,MEAN,2026,2027,FY,'BKRACTMED=1,WIN=0,UNITS=AUTO,DATE=NOW')&lt;/Q&gt;&lt;R&gt;2&lt;/R&gt;&lt;C&gt;1&lt;/C&gt;&lt;D xsi:type="xsd:double"&gt;-205.2&lt;/D&gt;&lt;D xsi:type="xsd:double"&gt;-302&lt;/D&gt;&lt;/FQL&gt;&lt;FQL&gt;&lt;Q&gt;MPLT-US^FE_TIMESERIES(DEPR_AMORT,MEAN,2025,2025,FY,'BKRACTMED=1,WIN=0,UNITS=AUTO,DATE=NOW')&lt;/Q&gt;&lt;R&gt;1&lt;/R&gt;&lt;C&gt;1&lt;/C&gt;&lt;D xsi:type="xsd:double"&gt;0.6&lt;/D&gt;&lt;/FQL&gt;&lt;FQL&gt;&lt;Q&gt;MPLT-US^FE_TIMESERIES(RD_EXP,MEAN,2023,2024,FY,'BKRACTMED=1,WIN=0,UNITS=AUTO,DATE=NOW')&lt;/Q&gt;&lt;R&gt;2&lt;/R&gt;&lt;C&gt;1&lt;/C&gt;&lt;D xsi:type="xsd:string"&gt;@NA&lt;/D&gt;&lt;D xsi:type="xsd:string"&gt;@NA&lt;/D&gt;&lt;/FQL&gt;&lt;FQL&gt;&lt;Q&gt;MPLT-US^FE_TIMESERIES(NETDEBT,MEAN,2026/1F,2026/4F,FQ,'BKRACTMED=1,WIN=0,UNITS=AUTO,DATE=NOW')&lt;/Q&gt;&lt;R&gt;4&lt;/R&gt;&lt;C&gt;1&lt;/C&gt;&lt;D xsi:type="xsd:double"&gt;-409.15&lt;/D&gt;&lt;D xsi:type="xsd:double"&gt;-362.9&lt;/D&gt;&lt;D xsi:type="xsd:double"&gt;-540.95&lt;/D&gt;&lt;D xsi:type="xsd:double"&gt;-492.5&lt;/D&gt;&lt;/FQL&gt;&lt;FQL&gt;&lt;Q&gt;MPLT-US^FE_TIMESERIES(CASH_ST,MEAN,2026,2027,FY,'BKRACTMED=1,WIN=0,UNITS=AUTO,DATE=NOW')&lt;/Q&gt;&lt;R&gt;2&lt;/R&gt;&lt;C&gt;1&lt;/C&gt;&lt;D xsi:type="xsd:double"&gt;392.23334&lt;/D&gt;&lt;D xsi:type="xsd:double"&gt;430.15&lt;/D&gt;&lt;/FQL&gt;&lt;FQL&gt;&lt;Q&gt;MPLT-US^FE_TIMESERIES(EAG,MEAN,2023,2024,FY,'BKRACTMED=1,WIN=0,UNITS=AUTO,DATE=NOW')&lt;/Q&gt;&lt;R&gt;2&lt;/R&gt;&lt;C&gt;1&lt;/C&gt;&lt;D xsi:type="xsd:string"&gt;@NA&lt;/D&gt;&lt;D xsi:type="xsd:string"&gt;@NA&lt;/D&gt;&lt;/FQL&gt;&lt;FQL&gt;&lt;Q&gt;MPLT-US^FE_TIMESERIES(INVENTORIES,MEAN,2024,2030,FY,'BKRACTMED=1,WIN=0,UNITS=AUTO,DATE=NOW')&lt;/Q&gt;&lt;R&gt;7&lt;/R&gt;&lt;C&gt;1&lt;/C&gt;&lt;D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xsi:type="xsd:double"&gt;0.2&lt;/D&gt;&lt;/FQL&gt;&lt;FQL&gt;&lt;Q&gt;MPLT-US^FE_TIMESERIES(EBITR,MEAN,2026/1F,2026/4F,FQ,'BKRACTMED=1,WIN=0,UNITS=AUTO,DATE=NOW')&lt;/Q&gt;&lt;R&gt;4&lt;/R&gt;&lt;C&gt;1&lt;/C&gt;&lt;D xsi:type="xsd:double"&gt;-43.4&lt;/D&gt;&lt;D xsi:type="xsd:double"&gt;-48&lt;/D&gt;&lt;D xsi:type="xsd:double"&gt;-53.6&lt;/D&gt;&lt;D xsi:type="xsd:double"&gt;-60.2&lt;/D&gt;&lt;/FQL&gt;&lt;FQL&gt;&lt;Q&gt;MPLT-US^FE_TIMESERIES(EPS,MEAN,2026/1F,2026/4F,FQ,'BKRACTMED=1,WIN=0,UNITS=AUTO,DATE=NOW')&lt;/Q&gt;&lt;R&gt;4&lt;/R&gt;&lt;C&gt;1&lt;/C&gt;&lt;D xsi:type="xsd:double"&gt;-0.948&lt;/D&gt;&lt;D xsi:type="xsd:double"&gt;-0.99&lt;/D&gt;&lt;D xsi:type="xsd:double"&gt;-0.98&lt;/D&gt;&lt;D xsi:type="xsd:double"&gt;-1.028&lt;/D&gt;&lt;/FQL&gt;&lt;FQL&gt;&lt;Q&gt;MPLT-US^FE_TIMESERIES(RECEIV_NET,MEAN,2024,2030,FY,'BKRACTMED=1,WIN=0,UNITS=AUTO,DATE=NOW')&lt;/Q&gt;&lt;R&gt;7&lt;/R&gt;&lt;C&gt;1&lt;/C&gt;&lt;D xsi:type="xsd:string"&gt;@NA&lt;/D&gt;&lt;D xsi:type="xsd:double"&gt;0&lt;/D&gt;&lt;D xsi:type="xsd:double"&gt;0&lt;/D&gt;&lt;D xsi:type="xsd:double"&gt;0&lt;/D&gt;&lt;D xsi:type="xsd:double"&gt;0&lt;/D&gt;&lt;D xsi:type="xsd:double"&gt;0&lt;/D&gt;&lt;D xsi:type="xsd:double"&gt;2.75&lt;/D&gt;&lt;/FQL&gt;&lt;FQL&gt;&lt;Q&gt;MPLT-US^FE_TIMESERIES(INVENTORIES,MEAN,2025/1F,2025/4F,FQ,'BKRACTMED=1,WIN=0,UNITS=AUTO,DATE=NOW')&lt;/Q&gt;&lt;R&gt;4&lt;/R&gt;&lt;C&gt;1&lt;/C&gt;&lt;D xsi:type="xsd:string"&gt;@NA&lt;/D&gt;&lt;D xsi:type="xsd:string"&gt;@NA&lt;/D&gt;&lt;D xsi:type="xsd:string"&gt;@NA&lt;/D&gt;&lt;D xsi:type="xsd:double"&gt;0&lt;/D&gt;&lt;/FQL&gt;&lt;FQL&gt;&lt;Q&gt;MPLT-US^FE_TIMESERIES(CURRENTASSETS,MEAN,2026,2027,FY,'BKRACTMED=1,WIN=0,UNITS=AUTO,DATE=NOW')&lt;/Q&gt;&lt;R&gt;2&lt;/R&gt;&lt;C&gt;1&lt;/C&gt;&lt;D xsi:type="xsd:double"&gt;340.3&lt;/D&gt;&lt;D xsi:type="xsd:double"&gt;400.75&lt;/D&gt;&lt;/FQL&gt;&lt;FQL&gt;&lt;Q&gt;MPLT-US^FE_TIMESERIES(EPS,MEAN,2025,2025,FY,'BKRACTMED=1,WIN=0,UNITS=AUTO,DATE=NOW')&lt;/Q&gt;&lt;R&gt;1&lt;/R&gt;&lt;C&gt;1&lt;/C&gt;&lt;D xsi:type="xsd:double"&gt;-18.56&lt;/D&gt;&lt;/FQL&gt;&lt;FQL&gt;&lt;Q&gt;MPLT-US^FE_TIMESERIES(EPS,MEAN,2023,2024,FY,'BKRACTMED=1,WIN=0,UNITS=AUTO,DATE=NOW')&lt;/Q&gt;&lt;R&gt;2&lt;/R&gt;&lt;C&gt;1&lt;/C&gt;&lt;D xsi:type="xsd:string"&gt;@NA&lt;/D&gt;&lt;D xsi:type="xsd:string"&gt;@NA&lt;/D&gt;&lt;/FQL&gt;&lt;FQL&gt;&lt;Q&gt;MPLT-US^FE_TIMESERIES(CURRENTASSETS,MEAN,2025,2025,FY,'BKRACTMED=1,WIN=0,UNITS=AUTO,DATE=NOW')&lt;/Q&gt;&lt;R&gt;1&lt;/R&gt;&lt;C&gt;1&lt;/C&gt;&lt;D xsi:type="xsd:double"&gt;324.7&lt;/D&gt;&lt;/FQL&gt;&lt;FQL&gt;&lt;Q&gt;MPLT-US^FE_TIMESERIES(NETDEBT,MEAN,2025,2025,FY,'BKRACTMED=1,WIN=0,UNITS=AUTO,DATE=NOW')&lt;/Q&gt;&lt;R&gt;1&lt;/R&gt;&lt;C&gt;1&lt;/C&gt;&lt;D xsi:type="xsd:double"&gt;-453.1&lt;/D&gt;&lt;/FQL&gt;&lt;FQL&gt;&lt;Q&gt;MPLT-US^FE_TIMESERIES(SHEQUITY,MEAN,2026,2027,FY,'BKRACTMED=1,WIN=0,UNITS=AUTO,DATE=NOW')&lt;/Q&gt;&lt;R&gt;2&lt;/R&gt;&lt;C&gt;1&lt;/C&gt;&lt;D xsi:type="xsd:double"&gt;474&lt;/D&gt;&lt;D xsi:type="xsd:double"&gt;468.25&lt;/D&gt;&lt;/FQL&gt;&lt;FQL&gt;&lt;Q&gt;MPLT-US^FE_TIMESERIES(TOTASSET,MEAN,2025,2025,FY,'BKRACTMED=1,WIN=0,UNITS=AUTO,DATE=NOW')&lt;/Q&gt;&lt;R&gt;1&lt;/R&gt;&lt;C&gt;1&lt;/C&gt;&lt;D xsi:type="xsd:double"&gt;479.5&lt;/D&gt;&lt;/FQL&gt;&lt;FQL&gt;&lt;Q&gt;MPLT-US^FE_TIMESERIES(TOTASSET,MEAN,2023,2024,FY,'BKRACTMED=1,WIN=0,UNITS=AUTO,DATE=NOW')&lt;/Q&gt;&lt;R&gt;2&lt;/R&gt;&lt;C&gt;1&lt;/C&gt;&lt;D xsi:type="xsd:string"&gt;@NA&lt;/D&gt;&lt;D xsi:type="xsd:string"&gt;@NA&lt;/D&gt;&lt;/FQL&gt;&lt;FQL&gt;&lt;Q&gt;MPLT-US^FE_TIMESERIES(CURRENTLIABILITIES,MEAN,2026/1F,2026/4F,FQ,'BKRACTMED=1,WIN=0,UNITS=AUTO,DATE=NOW')&lt;/Q&gt;&lt;R&gt;4&lt;/R&gt;&lt;C&gt;1&lt;/C&gt;&lt;D xsi:type="xsd:double"&gt;16.2&lt;/D&gt;&lt;D xsi:type="xsd:double"&gt;16.2&lt;/D&gt;&lt;D xsi:type="xsd:double"&gt;16.2&lt;/D&gt;&lt;D xsi:type="xsd:double"&gt;16.2&lt;/D&gt;&lt;/FQL&gt;&lt;FQL&gt;&lt;Q&gt;MPLT-US^FE_TIMESERIES(RECEIV_NET,MEAN,2025/1F,2025/4F,FQ,'BKRACTMED=1,WIN=0,UNITS=AUTO,DATE=NOW')&lt;/Q&gt;&lt;R&gt;4&lt;/R&gt;&lt;C&gt;1&lt;/C&gt;&lt;D xsi:type="xsd:string"&gt;@NA&lt;/D&gt;&lt;D xsi:type="xsd:string"&gt;@NA&lt;/D&gt;&lt;D xsi:type="xsd:string"&gt;@NA&lt;/D&gt;&lt;D xsi:type="xsd:double"&gt;0&lt;/D&gt;&lt;/FQL&gt;&lt;FQL&gt;&lt;Q&gt;MPLT-US^FE_TIMESERIES(EAG,MEAN,2026,2027,FY,'BKRACTMED=1,WIN=0,UNITS=AUTO,DATE=NOW')&lt;/Q&gt;&lt;R&gt;2&lt;/R&gt;&lt;C&gt;1&lt;/C&gt;&lt;D xsi:type="xsd:double"&gt;-4.0866666&lt;/D&gt;&lt;D xsi:type="xsd:double"&gt;-4.735&lt;/D&gt;&lt;/FQL&gt;&lt;FQL&gt;&lt;Q&gt;MPLT-US^FE_TIMESERIES(CURRENTLIABILITIES,MEAN,2026,2027,FY,'BKRACTMED=1,WIN=0,UNITS=AUTO,DATE=NOW')&lt;/Q&gt;&lt;R&gt;2&lt;/R&gt;&lt;C&gt;1&lt;/C&gt;&lt;D xsi:type="xsd:double"&gt;16.2&lt;/D&gt;&lt;D xsi:type="xsd:double"&gt;8.1&lt;/D&gt;&lt;/FQL&gt;&lt;FQL&gt;&lt;Q&gt;MPLT-US^FE_TIMESERIES(RECEIV_NET,MEAN,2023,2024,FY,'BKRACTMED=1,WIN=0,UNITS=AUTO,DATE=NOW')&lt;/Q&gt;&lt;R&gt;2&lt;/R&gt;&lt;C&gt;1&lt;/C&gt;&lt;D xsi:type="xsd:string"&gt;@NA&lt;/D&gt;&lt;D xsi:type="xsd:string"&gt;@NA&lt;/D&gt;&lt;/FQL&gt;&lt;FQL&gt;&lt;Q&gt;MPLT-US^FE_TIMESERIES(EAG,MEAN,2025/1F,2025/4F,FQ,'BKRACTMED=1,WIN=0,UNITS=AUTO,DATE=NOW')&lt;/Q&gt;&lt;R&gt;4&lt;/R&gt;&lt;C&gt;1&lt;/C&gt;&lt;D xsi:type="xsd:string"&gt;@NA&lt;/D&gt;&lt;D xsi:type="xsd:string"&gt;@NA&lt;/D&gt;&lt;D xsi:type="xsd:double"&gt;-37.18&lt;/D&gt;&lt;D xsi:type="xsd:double"&gt;-2.47&lt;/D&gt;&lt;/FQL&gt;&lt;FQL&gt;&lt;Q&gt;MPLT-US^FE_TIMESERIES(NETDEBT,MEAN,2026,2027,FY,'BKRACTMED=1,WIN=0,UNITS=AUTO,DATE=NOW')&lt;/Q&gt;&lt;R&gt;2&lt;/R&gt;&lt;C&gt;1&lt;/C&gt;&lt;D xsi:type="xsd:double"&gt;-438.47427&lt;/D&gt;&lt;D xsi:type="xsd:double"&gt;-335.03198&lt;/D&gt;&lt;/FQL&gt;&lt;FQL&gt;&lt;Q&gt;MPLT-US^FE_TIMESERIES(CURRENTLIABILITIES,MEAN,2025,2025,FY,'BKRACTMED=1,WIN=0,UNITS=AUTO,DATE=NOW')&lt;/Q&gt;&lt;R&gt;1&lt;/R&gt;&lt;C&gt;1&lt;/C&gt;&lt;D xsi:type="xsd:double"&gt;16.2&lt;/D&gt;&lt;/FQL&gt;&lt;FQL&gt;&lt;Q&gt;MPLT-US^FE_TIMESERIES(CURRENTLIABILITIES,MEAN,2023,2024,FY,'BKRACTMED=1,WIN=0,UNITS=AUTO,DATE=NOW')&lt;/Q&gt;&lt;R&gt;2&lt;/R&gt;&lt;C&gt;1&lt;/C&gt;&lt;D xsi:type="xsd:string"&gt;@NA&lt;/D&gt;&lt;D xsi:type="xsd:string"&gt;@NA&lt;/D&gt;&lt;/FQL&gt;&lt;FQL&gt;&lt;Q&gt;MPLT-US^FE_TIMESERIES(INVENTORIES,MEAN,2026/1F,2026/4F,FQ,'BKRACTMED=1,WIN=0,UNITS=AUTO,DATE=NOW')&lt;/Q&gt;&lt;R&gt;4&lt;/R&gt;&lt;C&gt;1&lt;/C&gt;&lt;D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xsi:type="xsd:double"&gt;0&lt;/D&gt;&lt;/FQL&gt;&lt;FQL&gt;&lt;Q&gt;MPLT-US^FE_TIMESERIES(CASH_ST,MEAN,2025/1F,2025/4F,FQ,'BKRACTMED=1,WIN=0,UNITS=AUTO,DATE=NOW')&lt;/Q&gt;&lt;R&gt;4&lt;/R&gt;&lt;C&gt;1&lt;/C&gt;&lt;D xsi:type="xsd:string"&gt;@NA&lt;/D&gt;&lt;D xsi:type="xsd:string"&gt;@NA&lt;/D&gt;&lt;D xsi:type="xsd:double"&gt;227.2&lt;/D&gt;&lt;D xsi:type="xsd:double"&gt;453.1&lt;/D&gt;&lt;/FQL&gt;&lt;FQL&gt;&lt;Q&gt;MPLT-US^FE_TIMESERIES(EPS,MEAN,2026,2027,FY,'BKRACTMED=1,WIN=0,UNITS=AUTO,DATE=NOW')&lt;/Q&gt;&lt;R&gt;2&lt;/R&gt;&lt;C&gt;1&lt;/C&gt;&lt;D xsi:type="xsd:double"&gt;-3.946&lt;/D&gt;&lt;D xsi:type="xsd:double"&gt;-4.1&lt;/D&gt;&lt;/FQL&gt;&lt;FQL&gt;&lt;Q&gt;MPLT-US^FE_TIMESERIES(TOTASSET,MEAN,2026,2027,FY,'BKRACTMED=1,WIN=0,UNITS=AUTO,DATE=NOW')&lt;/Q&gt;&lt;R&gt;2&lt;/R&gt;&lt;C&gt;1&lt;/C&gt;&lt;D xsi:type="xsd:double"&gt;492.8&lt;/D&gt;&lt;D xsi:type="xsd:double"&gt;510.86667&lt;/D&gt;&lt;/FQL&gt;&lt;FQL&gt;&lt;Q&gt;MPLT-US^FE_TIMESERIES(INVENTORIES,MEAN,2025,2025,FY,'BKRACTMED=1,WIN=0,UNITS=AUTO,DATE=NOW')&lt;/Q&gt;&lt;R&gt;1&lt;/R&gt;&lt;C&gt;1&lt;/C&gt;&lt;D xsi:type="xsd:double"&gt;0&lt;/D&gt;&lt;/FQL&gt;&lt;FQL&gt;&lt;Q&gt;MPLT-US^FE_TIMESERIES(INVENTORIES,MEAN,2023,2024,FY,'BKRACTMED=1,WIN=0,UNITS=AUTO,DATE=NOW')&lt;/Q&gt;&lt;R&gt;2&lt;/R&gt;&lt;C&gt;1&lt;/C&gt;&lt;D xsi:type="xsd:string"&gt;@NA&lt;/D&gt;&lt;D xsi:type="xsd:string"&gt;@NA&lt;/D&gt;&lt;/FQL&gt;&lt;FQL&gt;&lt;Q&gt;MPLT-US^FE_TIMESERIES(RECEIV_NET,MEAN,2026/1F,2026/4F,FQ,'BKRACTMED=1,WIN=0,UNITS=AUTO,DATE=NOW')&lt;/Q&gt;&lt;R&gt;4&lt;/R&gt;&lt;C&gt;1&lt;/C&gt;&lt;D xsi:type="xsd:double"&gt;0&lt;/D&gt;&lt;D xsi:type="xsd:double"&gt;0&lt;/D&gt;&lt;D xsi:type="xsd:double"&gt;0&lt;/D&gt;&lt;D xsi:type="xsd:double"&gt;0&lt;/D&gt;&lt;/FQL&gt;&lt;FQL&gt;&lt;Q&gt;MPLT-US^FE_TIMESERIES(CURRENTASSETS,MEAN,2025/1F,2025/4F,FQ,'BKRACTMED=1,WIN=0,UNITS=AUTO,DATE=NOW')&lt;/Q&gt;&lt;R&gt;4&lt;/R&gt;&lt;C&gt;1&lt;/C&gt;&lt;D xsi:type="xsd:string"&gt;@NA&lt;/D&gt;&lt;D xsi:type="xsd:string"&gt;@NA&lt;/D&gt;&lt;D xsi:type="xsd:string"&gt;@NA&lt;/D&gt;&lt;D xsi:type="xsd:double"&gt;324.7&lt;/D&gt;&lt;/FQL&gt;&lt;FQL&gt;&lt;Q&gt;MPLT-US^FE_TIMESERIES(RECEIV_NET,MEAN,2025,2025,FY,'BKRACTMED=1,WIN=0,UNITS=AUTO,DATE=NOW')&lt;/Q&gt;&lt;R&gt;1&lt;/R&gt;&lt;C&gt;1&lt;/C&gt;&lt;D xsi:type="xsd:double"&gt;0&lt;/D&gt;&lt;/FQL&gt;&lt;FQL&gt;&lt;Q&gt;MPLT-US^FE_TIMESERIES(CASH_ST,MEAN,2026/1F,2026/4F,FQ,'BKRACTMED=1,WIN=0,UNITS=AUTO,DATE=NOW')&lt;/Q&gt;&lt;R&gt;4&lt;/R&gt;&lt;C&gt;1&lt;/C&gt;&lt;D xsi:type="xsd:double"&gt;409.15&lt;/D&gt;&lt;D xsi:type="xsd:double"&gt;362.9&lt;/D&gt;&lt;D xsi:type="xsd:double"&gt;540.95&lt;/D&gt;&lt;D xsi:type="xsd:double"&gt;492.5&lt;/D&gt;&lt;/FQL&gt;&lt;FQL&gt;&lt;Q&gt;MPLT-US^FE_TIMESERIES(CURRENTASSETS,MEAN,2023,2024,FY,'BKRACTMED=1,WIN=0,UNITS=AUTO,DATE=NOW')&lt;/Q&gt;&lt;R&gt;2&lt;/R&gt;&lt;C&gt;1&lt;/C&gt;&lt;D xsi:type="xsd:string"&gt;@NA&lt;/D&gt;&lt;D xsi:type="xsd:string"&gt;@NA&lt;/D&gt;&lt;/FQL&gt;&lt;FQL&gt;&lt;Q&gt;MPLT-US^FE_TIMESERIES(SHEQUITY,MEAN,2025/1F,2025/4F,FQ,'BKRACTMED=1,WIN=0,UNITS=AUTO,DATE=NOW')&lt;/Q&gt;&lt;R&gt;4&lt;/R&gt;&lt;C&gt;1&lt;/C&gt;&lt;D xsi:type="xsd:string"&gt;@NA&lt;/D&gt;&lt;D xsi:type="xsd:string"&gt;@NA&lt;/D&gt;&lt;D xsi:type="xsd:string"&gt;@NA&lt;/D&gt;&lt;D xsi:type="xsd:double"&gt;458.4&lt;/D&gt;&lt;/FQL&gt;&lt;FQL&gt;&lt;Q&gt;MPLT-US^FE_TIMESERIES(NETDEBT,MEAN,2025/1F,2025/4F,FQ,'BKRACTMED=1,WIN=0,UNITS=AUTO,DATE=NOW')&lt;/Q&gt;&lt;R&gt;4&lt;/R&gt;&lt;C&gt;1&lt;/C&gt;&lt;D xsi:type="xsd:string"&gt;@NA&lt;/D&gt;&lt;D xsi:type="xsd:string"&gt;@NA&lt;/D&gt;&lt;D xsi:type="xsd:double"&gt;-227.2&lt;/D&gt;&lt;D xsi:type="xsd:double"&gt;-453.1&lt;/D&gt;&lt;/FQL&gt;&lt;FQL&gt;&lt;Q&gt;MPLT-US^FE_TIMESERIES(INVENTORIES,MEAN,2026,2027,FY,'BKRACTMED=1,WIN=0,UNITS=AUTO,DATE=NOW')&lt;/Q&gt;&lt;R&gt;2&lt;/R&gt;&lt;C&gt;1&lt;/C&gt;&lt;D xsi:type="xsd:double"&gt;0&lt;/D&gt;&lt;D xsi:type="xsd:double"&gt;0&lt;/D&gt;&lt;/FQL&gt;&lt;FQL&gt;&lt;Q&gt;MPLT-US^FE_TIMESERIES(CASH_ST,MEAN,2025,2025,FY,'BKRACTMED=1,WIN=0,UNITS=AUTO,DATE=NOW')&lt;/Q&gt;&lt;R&gt;1&lt;/R&gt;&lt;C&gt;1&lt;/C&gt;&lt;D xsi:type="xsd:double"&gt;453.1&lt;/D&gt;&lt;/FQL&gt;&lt;FQL&gt;&lt;Q&gt;MPLT-US^FE_TIMESERIES(CASH_ST,MEAN,2023,2024,FY,'BKRACTMED=1,WIN=0,UNITS=AUTO,DATE=NOW')&lt;/Q&gt;&lt;R&gt;2&lt;/R&gt;&lt;C&gt;1&lt;/C&gt;&lt;D xsi:type="xsd:string"&gt;@NA&lt;/D&gt;&lt;D xsi:type="xsd:string"&gt;@NA&lt;/D&gt;&lt;/FQL&gt;&lt;FQL&gt;&lt;Q&gt;MPLT-US^FE_TIMESERIES(CURRENTASSETS,MEAN,2026/1F,2026/4F,FQ,'BKRACTMED=1,WIN=0,UNITS=AUTO,DATE=NOW')&lt;/Q&gt;&lt;R&gt;4&lt;/R&gt;&lt;C&gt;1&lt;/C&gt;&lt;D xsi:type="xsd:double"&gt;277.8&lt;/D&gt;&lt;D xsi:type="xsd:double"&gt;228&lt;/D&gt;&lt;D xsi:type="xsd:double"&gt;325.2&lt;/D&gt;&lt;D xsi:type="xsd:double"&gt;269.3&lt;/D&gt;&lt;/FQL&gt;&lt;FQL&gt;&lt;Q&gt;MPLT-US^FE_TIMESERIES(EPS,MEAN,2025/1F,2025/4F,FQ,'BKRACTMED=1,WIN=0,UNITS=AUTO,DATE=NOW')&lt;/Q&gt;&lt;R&gt;4&lt;/R&gt;&lt;C&gt;1&lt;/C&gt;&lt;D xsi:type="xsd:string"&gt;@NA&lt;/D&gt;&lt;D xsi:type="xsd:double"&gt;-1.14&lt;/D&gt;&lt;D xsi:type="xsd:double"&gt;-37.18&lt;/D&gt;&lt;D xsi:type="xsd:double"&gt;-2.47&lt;/D&gt;&lt;/FQL&gt;&lt;FQL&gt;&lt;Q&gt;MPLT-US^FE_TIMESERIES(SHEQUITY,MEAN,2026/1F,2026/4F,FQ,'BKRACTMED=1,WIN=0,UNITS=AUTO,DATE=NOW')&lt;/Q&gt;&lt;R&gt;4&lt;/R&gt;&lt;C&gt;1&lt;/C&gt;&lt;D xsi:type="xsd:double"&gt;411.5&lt;/D&gt;&lt;D xsi:type="xsd:double"&gt;361.7&lt;/D&gt;&lt;D xsi:type="xsd:double"&gt;458.9&lt;/D&gt;&lt;D xsi:type="xsd:double"&gt;403&lt;/D&gt;&lt;/FQL&gt;&lt;FQL&gt;&lt;Q&gt;MPLT-US^FE_TIMESERIES(TOTASSET,MEAN,2025/1F,2025/4F,FQ,'BKRACTMED=1,WIN=0,UNITS=AUTO,DATE=NOW')&lt;/Q&gt;&lt;R&gt;4&lt;/R&gt;&lt;C&gt;1&lt;/C&gt;&lt;D xsi:type="xsd:string"&gt;@NA&lt;/D&gt;&lt;D xsi:type="xsd:double"&gt;84.1&lt;/D&gt;&lt;D xsi:type="xsd:string"&gt;@NA&lt;/D&gt;&lt;D xsi:type="xsd:double"&gt;479.5&lt;/D&gt;&lt;/FQL&gt;&lt;FQL&gt;&lt;Q&gt;MPLT-US^FE_TIMESERIES(RECEIV_NET,MEAN,2026,2027,FY,'BKRACTMED=1,WIN=0,UNITS=AUTO,DATE=NOW')&lt;/Q&gt;&lt;R&gt;2&lt;/R&gt;&lt;C&gt;1&lt;/C&gt;&lt;D xsi:type="xsd:double"&gt;0&lt;/D&gt;&lt;D xsi:type="xsd:double"&gt;0&lt;/D&gt;&lt;/FQL&gt;&lt;FQL&gt;&lt;Q&gt;MPLT-US^FE_TIMESERIES(EAG,MEAN,2026/1F,2026/4F,FQ,'BKRACTMED=1,WIN=0,UNITS=AUTO,DATE=NOW')&lt;/Q&gt;&lt;R&gt;4&lt;/R&gt;&lt;C&gt;1&lt;/C&gt;&lt;D xsi:type="xsd:double"&gt;-1.0066667&lt;/D&gt;&lt;D xsi:type="xsd:double"&gt;-1.05&lt;/D&gt;&lt;D xsi:type="xsd:double"&gt;-0.9866667&lt;/D&gt;&lt;D xsi:type="xsd:double"&gt;-1.0466666&lt;/D&gt;&lt;/FQL&gt;&lt;FQL&gt;&lt;Q&gt;MPLT^P_PRICE(46092)&lt;/Q&gt;&lt;R&gt;1&lt;/R&gt;&lt;C&gt;1&lt;/C&gt;&lt;D xsi:type="xsd:double"&gt;18.89&lt;/D&gt;&lt;/FQL&gt;&lt;FQL&gt;&lt;Q&gt;MPLT^OS_SEC_SI_PCTFLT(0D,,D)&lt;/Q&gt;&lt;R&gt;1&lt;/R&gt;&lt;C&gt;1&lt;/C&gt;&lt;D xsi:type="xsd:double"&gt;11.0498049545198&lt;/D&gt;&lt;/FQL&gt;&lt;FQL&gt;&lt;Q&gt;MPLT^P_VOLUME_AVG(0,-3AM,,,0)&lt;/Q&gt;&lt;R&gt;1&lt;/R&gt;&lt;C&gt;1&lt;/C&gt;&lt;D xsi:type="xsd:double"&gt;199490.47&lt;/D&gt;&lt;/FQL&gt;&lt;FQL&gt;&lt;Q&gt;MPLT^FREF_MARKET_VALUE_COMPANY(0,0,,,1,0,,"LEGACY")&lt;/Q&gt;&lt;R&gt;1&lt;/R&gt;&lt;C&gt;1&lt;/C&gt;&lt;D xsi:type="xsd:double"&gt;883.948648038&lt;/D&gt;&lt;/FQL&gt;&lt;FQL&gt;&lt;Q&gt;MPLT^FF_CASH_ST(LTMSG,04/02/2026,,,,LOCAL)&lt;/Q&gt;&lt;R&gt;1&lt;/R&gt;&lt;C&gt;1&lt;/C&gt;&lt;D xsi:type="xsd:double"&gt;305.103&lt;/D&gt;&lt;/FQL&gt;&lt;FQL&gt;&lt;Q&gt;MPLT^FREF_MARKET_VALUE_COMPANY(0,,,,,0)&lt;/Q&gt;&lt;R&gt;1&lt;/R&gt;&lt;C&gt;1&lt;/C&gt;&lt;D xsi:type="xsd:double"&gt;898.377005038172&lt;/D&gt;&lt;/FQL&gt;&lt;FQL&gt;&lt;Q&gt;MPLT^FF_CASH_ST(LTMSG,46118,,,,LOCAL)&lt;/Q&gt;&lt;R&gt;1&lt;/R&gt;&lt;C&gt;1&lt;/C&gt;&lt;D xsi:type="xsd:double"&gt;305.103&lt;/D&gt;&lt;/FQL&gt;&lt;FQL&gt;&lt;Q&gt;MPLT^P_PRICE(46118)&lt;/Q&gt;&lt;R&gt;1&lt;/R&gt;&lt;C&gt;1&lt;/C&gt;&lt;D xsi:type="xsd:double"&gt;22.61&lt;/D&gt;&lt;/FQL&gt;&lt;/Schema&gt;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Kannan, Poorna</author>
  </authors>
  <commentList>
    <comment ref="AC40" authorId="0" shapeId="0" xr:uid="{72181863-A371-4CC7-9772-446C4F1FC796}">
      <text>
        <r>
          <rPr>
            <b/>
            <sz val="9"/>
            <color indexed="81"/>
            <rFont val="Tahoma"/>
            <family val="2"/>
          </rPr>
          <t>Kannan, Poorna:</t>
        </r>
        <r>
          <rPr>
            <sz val="9"/>
            <color indexed="81"/>
            <rFont val="Tahoma"/>
            <family val="2"/>
          </rPr>
          <t xml:space="preserve">
-$37.18</t>
        </r>
      </text>
    </comment>
    <comment ref="AD40" authorId="0" shapeId="0" xr:uid="{16DB3E5D-455A-40CC-8CE8-725BC7872127}">
      <text>
        <r>
          <rPr>
            <b/>
            <sz val="9"/>
            <color indexed="81"/>
            <rFont val="Tahoma"/>
            <family val="2"/>
          </rPr>
          <t>Kannan, Poorna:</t>
        </r>
        <r>
          <rPr>
            <sz val="9"/>
            <color indexed="81"/>
            <rFont val="Tahoma"/>
            <family val="2"/>
          </rPr>
          <t xml:space="preserve">
-2.47</t>
        </r>
      </text>
    </comment>
    <comment ref="AE40" authorId="0" shapeId="0" xr:uid="{895F9AAA-C3A7-4B18-8939-CEA4FF5D2853}">
      <text>
        <r>
          <rPr>
            <b/>
            <sz val="9"/>
            <color indexed="81"/>
            <rFont val="Tahoma"/>
            <family val="2"/>
          </rPr>
          <t>Kannan, Poorna:</t>
        </r>
        <r>
          <rPr>
            <sz val="9"/>
            <color indexed="81"/>
            <rFont val="Tahoma"/>
            <family val="2"/>
          </rPr>
          <t xml:space="preserve">
-18.56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Fadia, Ami</author>
  </authors>
  <commentList>
    <comment ref="AQ7" authorId="0" shapeId="0" xr:uid="{C1DE0147-20D1-44C9-B99C-32805B9D88DC}">
      <text>
        <r>
          <rPr>
            <b/>
            <sz val="9"/>
            <color indexed="81"/>
            <rFont val="Tahoma"/>
            <family val="2"/>
          </rPr>
          <t>Fadia, Ami:</t>
        </r>
        <r>
          <rPr>
            <sz val="9"/>
            <color indexed="81"/>
            <rFont val="Tahoma"/>
            <family val="2"/>
          </rPr>
          <t xml:space="preserve">
Ph 2 data in 3Q26.
Ph 3 Start say by YE26, so data by mid28.  (April 2021 to Nov 2022) 
Approval mid-29 .
Cbenfy did $37M in first 2 Qtrs.  </t>
        </r>
      </text>
    </comment>
    <comment ref="AR12" authorId="0" shapeId="0" xr:uid="{79C1BFBF-6AA9-4B16-94A5-8F65D089C5AB}">
      <text>
        <r>
          <rPr>
            <b/>
            <sz val="9"/>
            <color indexed="81"/>
            <rFont val="Tahoma"/>
            <family val="2"/>
          </rPr>
          <t>Fadia, Ami:</t>
        </r>
        <r>
          <rPr>
            <sz val="9"/>
            <color indexed="81"/>
            <rFont val="Tahoma"/>
            <family val="2"/>
          </rPr>
          <t xml:space="preserve">
Ph 2 data in 2H27
ADEPT 2 was to take 2 yrs to complete 
Ph 3 Data 2H29
Approval 2H30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Fadia, Ami</author>
  </authors>
  <commentList>
    <comment ref="V47" authorId="0" shapeId="0" xr:uid="{2FE45650-BBCC-474C-B6CD-2ACDCAD1642E}">
      <text>
        <r>
          <rPr>
            <b/>
            <sz val="9"/>
            <color indexed="81"/>
            <rFont val="Tahoma"/>
            <family val="2"/>
          </rPr>
          <t>Fadia, Ami:</t>
        </r>
        <r>
          <rPr>
            <sz val="9"/>
            <color indexed="81"/>
            <rFont val="Tahoma"/>
            <family val="2"/>
          </rPr>
          <t xml:space="preserve">
We assume 2040 for now.  However, ML-007C-MA has issued U.S. patents which are expected to expire between 2031 and 2032 along with a potential extension up to 2044–2045 based on additional pending applications</t>
        </r>
      </text>
    </comment>
    <comment ref="V76" authorId="0" shapeId="0" xr:uid="{2F03273A-52B9-407B-829D-C7D08C91DC97}">
      <text>
        <r>
          <rPr>
            <b/>
            <sz val="9"/>
            <color indexed="81"/>
            <rFont val="Tahoma"/>
            <family val="2"/>
          </rPr>
          <t>Fadia, Ami:</t>
        </r>
        <r>
          <rPr>
            <sz val="9"/>
            <color indexed="81"/>
            <rFont val="Tahoma"/>
            <family val="2"/>
          </rPr>
          <t xml:space="preserve">
We assume 2040 for now.  However, ML-007C-MA has issued U.S. patents which are expected to expire between 2031 and 2032 along with a potential extension up to 2044–2045 based on additional pending applications</t>
        </r>
      </text>
    </comment>
  </commentList>
</comments>
</file>

<file path=xl/sharedStrings.xml><?xml version="1.0" encoding="utf-8"?>
<sst xmlns="http://schemas.openxmlformats.org/spreadsheetml/2006/main" count="1492" uniqueCount="599">
  <si>
    <t>Income Statement</t>
  </si>
  <si>
    <t>($ Millions, except EPS)</t>
  </si>
  <si>
    <t>1Q20A</t>
  </si>
  <si>
    <t>2Q20A</t>
  </si>
  <si>
    <t>3Q20A</t>
  </si>
  <si>
    <t>4Q20A</t>
  </si>
  <si>
    <t>2020A</t>
  </si>
  <si>
    <t>1Q21A</t>
  </si>
  <si>
    <t>2Q21A</t>
  </si>
  <si>
    <t>2025E</t>
  </si>
  <si>
    <t>2026E</t>
  </si>
  <si>
    <t>2027E</t>
  </si>
  <si>
    <t>2028E</t>
  </si>
  <si>
    <t>2029E</t>
  </si>
  <si>
    <t>2030E</t>
  </si>
  <si>
    <t>Total Revenues</t>
  </si>
  <si>
    <t>Consensus</t>
  </si>
  <si>
    <t>COGS</t>
  </si>
  <si>
    <t>Gross Profit</t>
  </si>
  <si>
    <t>SG&amp;A</t>
  </si>
  <si>
    <t>R&amp;D</t>
  </si>
  <si>
    <t>Total Expenses</t>
  </si>
  <si>
    <t>Operating Income</t>
  </si>
  <si>
    <t>Non-Operating Income</t>
  </si>
  <si>
    <t>Pretax Income</t>
  </si>
  <si>
    <t>Taxes</t>
  </si>
  <si>
    <t>Tax Rate</t>
  </si>
  <si>
    <t>Net Income</t>
  </si>
  <si>
    <t>Margin Analysis</t>
  </si>
  <si>
    <t>Revenues</t>
  </si>
  <si>
    <t>Gross Margin</t>
  </si>
  <si>
    <t>Operating Margin</t>
  </si>
  <si>
    <t>Pretax Margin</t>
  </si>
  <si>
    <t>Net Margin</t>
  </si>
  <si>
    <t>% Change</t>
  </si>
  <si>
    <t>Current assets:</t>
  </si>
  <si>
    <t>Cash and cash equivalents</t>
  </si>
  <si>
    <t>Accounts receivable</t>
  </si>
  <si>
    <t>Prepaid expenses and other current assets</t>
  </si>
  <si>
    <t>Total current assets</t>
  </si>
  <si>
    <t>Property and equipment, net</t>
  </si>
  <si>
    <t>Other assets</t>
  </si>
  <si>
    <t>Total assets</t>
  </si>
  <si>
    <t>LIABILITIES AND STOCKHOLDERS’ EQUITY</t>
  </si>
  <si>
    <t>Current liabilities:</t>
  </si>
  <si>
    <t>Accounts payable</t>
  </si>
  <si>
    <t>Total current liabilities</t>
  </si>
  <si>
    <t>Total liabilities</t>
  </si>
  <si>
    <t>Stockholders’ equity:</t>
  </si>
  <si>
    <t>Additional paid-in capital</t>
  </si>
  <si>
    <t>Accumulated deficit</t>
  </si>
  <si>
    <t>Total stockholders’ equity</t>
  </si>
  <si>
    <t>Total liabilities and stockholders’ equity</t>
  </si>
  <si>
    <t>Balance Sheet</t>
  </si>
  <si>
    <t>($ Millions, except per-share data)</t>
  </si>
  <si>
    <t>ASSETS</t>
  </si>
  <si>
    <t>CASH FLOWS FROM OPERATING ACTIVITIES:</t>
  </si>
  <si>
    <t>Net loss</t>
  </si>
  <si>
    <t>Adjustments to reconcile net loss to net cash used in operating activities:</t>
  </si>
  <si>
    <t>Stock-based compensation expense</t>
  </si>
  <si>
    <t>Changes in operating assets and liabilities:</t>
  </si>
  <si>
    <t>Net cash used in operating activities</t>
  </si>
  <si>
    <t>CASH FLOWS FROM INVESTING ACTIVITIES:</t>
  </si>
  <si>
    <t>Net cash provided by (used in) investing activities</t>
  </si>
  <si>
    <t>CASH FLOWS FROM FINANCING ACTIVITIES:</t>
  </si>
  <si>
    <t>Net cash provided by financing activities</t>
  </si>
  <si>
    <t>Cash, cash equivalents, and restricted cash, beginning of period</t>
  </si>
  <si>
    <t>Cash, cash equivalents, and restricted cash, end of period</t>
  </si>
  <si>
    <t>Cash Flow</t>
  </si>
  <si>
    <t>Date</t>
  </si>
  <si>
    <t>Product</t>
  </si>
  <si>
    <t>High</t>
  </si>
  <si>
    <t>Low</t>
  </si>
  <si>
    <t>Source: Company reports; Needham &amp; Company, LLC estimates</t>
  </si>
  <si>
    <t>PoS (%)</t>
  </si>
  <si>
    <t>Growth</t>
  </si>
  <si>
    <t>Collaboration</t>
  </si>
  <si>
    <t>PoS</t>
  </si>
  <si>
    <t>Collaborations</t>
  </si>
  <si>
    <t>R&amp;D - GAAP</t>
  </si>
  <si>
    <t>Total R&amp;D - GAAP per IS</t>
  </si>
  <si>
    <t>Check</t>
  </si>
  <si>
    <t>G&amp;A - GAAP</t>
  </si>
  <si>
    <t>Total G&amp;A - GAAP per IS</t>
  </si>
  <si>
    <t>S&amp;M - GAAP</t>
  </si>
  <si>
    <t>Sales &amp; Marketing</t>
  </si>
  <si>
    <t>Rep - Sales - Unallocated</t>
  </si>
  <si>
    <t>Total Reps</t>
  </si>
  <si>
    <t>Cost per Rep</t>
  </si>
  <si>
    <t>Cost - Sales - Unallocated</t>
  </si>
  <si>
    <t>Total Salesforce Costs</t>
  </si>
  <si>
    <t>A&amp;P</t>
  </si>
  <si>
    <t>A&amp;P Cost - Sales - Unallocated</t>
  </si>
  <si>
    <t xml:space="preserve">Total A&amp;P </t>
  </si>
  <si>
    <t>PoS Adj. SG&amp;A</t>
  </si>
  <si>
    <t>Unallocated</t>
  </si>
  <si>
    <t>Total PoS Adj. S&amp;M - GAAP per IS</t>
  </si>
  <si>
    <t>Total SG&amp;A</t>
  </si>
  <si>
    <t>GM</t>
  </si>
  <si>
    <t>Total GM</t>
  </si>
  <si>
    <t>Gross profit</t>
  </si>
  <si>
    <t>Sales</t>
  </si>
  <si>
    <t>Total Sales</t>
  </si>
  <si>
    <t>Peak</t>
  </si>
  <si>
    <t>Per Share</t>
  </si>
  <si>
    <t>Prob</t>
  </si>
  <si>
    <t>Risk-Adj</t>
  </si>
  <si>
    <t>% of Total</t>
  </si>
  <si>
    <t>Indication</t>
  </si>
  <si>
    <t>Region</t>
  </si>
  <si>
    <t>Stage</t>
  </si>
  <si>
    <t>Launch</t>
  </si>
  <si>
    <t>Revenue</t>
  </si>
  <si>
    <t>NPV</t>
  </si>
  <si>
    <t>Value</t>
  </si>
  <si>
    <t>of Success</t>
  </si>
  <si>
    <t>Value/Shr</t>
  </si>
  <si>
    <t>Total Pipeline</t>
  </si>
  <si>
    <t>Adjustments</t>
  </si>
  <si>
    <t>Company Unallocated Expenses</t>
  </si>
  <si>
    <t>Cash/ST/LT Securities</t>
  </si>
  <si>
    <t>Net Cash</t>
  </si>
  <si>
    <t>Total Adjustments</t>
  </si>
  <si>
    <t>Total</t>
  </si>
  <si>
    <t>Current Stock Price</t>
  </si>
  <si>
    <t>Assumptions</t>
  </si>
  <si>
    <t>Discount Rate</t>
  </si>
  <si>
    <t>Current Year</t>
  </si>
  <si>
    <t>Year of launch:</t>
  </si>
  <si>
    <t>Terminal</t>
  </si>
  <si>
    <t>Sales and Marketing</t>
  </si>
  <si>
    <t>EBIAT Contribution</t>
  </si>
  <si>
    <t>FCF Adjustment</t>
  </si>
  <si>
    <t>FCF Contribution</t>
  </si>
  <si>
    <t>Growth rate</t>
  </si>
  <si>
    <t>Discounted</t>
  </si>
  <si>
    <t>Terminal Value</t>
  </si>
  <si>
    <t>Total NPV</t>
  </si>
  <si>
    <t>Per Share Value</t>
  </si>
  <si>
    <t>Net - Royalties &amp; Milestones</t>
  </si>
  <si>
    <t>After Tax EBIT</t>
  </si>
  <si>
    <t>FCF Adjustments</t>
  </si>
  <si>
    <t>Growth Rate</t>
  </si>
  <si>
    <t xml:space="preserve">Discounted - Royalties </t>
  </si>
  <si>
    <t>Per Share Value - Other R&amp;D Adj.</t>
  </si>
  <si>
    <t>Unallocated/ Corporate Items</t>
  </si>
  <si>
    <t>Unallocated Revenues</t>
  </si>
  <si>
    <t>Net - G&amp;A</t>
  </si>
  <si>
    <t>Net - R&amp;D</t>
  </si>
  <si>
    <t>Operating Income Contribution</t>
  </si>
  <si>
    <t>Year of discounting</t>
  </si>
  <si>
    <t>Discounted - G&amp;A</t>
  </si>
  <si>
    <t>Per Share Value - G&amp;A Adj.</t>
  </si>
  <si>
    <t>Adjustment to arrive at FCF</t>
  </si>
  <si>
    <t>Depreciation &amp; Amortization</t>
  </si>
  <si>
    <t>Capital Expenditure</t>
  </si>
  <si>
    <t>Change in Working Capital</t>
  </si>
  <si>
    <t>Sub-Total</t>
  </si>
  <si>
    <t>Operating Income By Product</t>
  </si>
  <si>
    <t>Adjustment to arrive at FCF - By Product</t>
  </si>
  <si>
    <t>Revenues check</t>
  </si>
  <si>
    <t xml:space="preserve">COGS check </t>
  </si>
  <si>
    <t>Sales and Marketing check</t>
  </si>
  <si>
    <t>R&amp;D check</t>
  </si>
  <si>
    <t>This sheet contains FactSet XML data for use with this workbook's =FDS codes.  Modifying the worksheet's contents may damage the workbook's =FDS functionality.</t>
  </si>
  <si>
    <t>Product Revenue</t>
  </si>
  <si>
    <t>check</t>
  </si>
  <si>
    <t>3Q21A</t>
  </si>
  <si>
    <t>Royalties/Collaborations</t>
  </si>
  <si>
    <t>B</t>
  </si>
  <si>
    <t>C</t>
  </si>
  <si>
    <t>D</t>
  </si>
  <si>
    <t>E</t>
  </si>
  <si>
    <t>L</t>
  </si>
  <si>
    <t>F</t>
  </si>
  <si>
    <t>H</t>
  </si>
  <si>
    <t>I</t>
  </si>
  <si>
    <t>J</t>
  </si>
  <si>
    <t>Non-Risk-Adjusted</t>
  </si>
  <si>
    <t>Risk-Adjusted</t>
  </si>
  <si>
    <t xml:space="preserve">Product </t>
  </si>
  <si>
    <t>Peak Rev. ($M)</t>
  </si>
  <si>
    <t xml:space="preserve"> NPV ($M)</t>
  </si>
  <si>
    <t>Value/ Share ($)</t>
  </si>
  <si>
    <t>POS</t>
  </si>
  <si>
    <t>NPV ($M)</t>
  </si>
  <si>
    <t>Pipeline</t>
  </si>
  <si>
    <t>Total Equity Value</t>
  </si>
  <si>
    <t>* This includes unallocated R&amp;D and G&amp;A costs.</t>
  </si>
  <si>
    <t>Value/ Share</t>
  </si>
  <si>
    <t>Invisible</t>
  </si>
  <si>
    <t>Visible</t>
  </si>
  <si>
    <t>Mkt Cap</t>
  </si>
  <si>
    <t xml:space="preserve">Cash </t>
  </si>
  <si>
    <t>EV</t>
  </si>
  <si>
    <t>Earnings Per Share</t>
  </si>
  <si>
    <t>Ticker</t>
  </si>
  <si>
    <t>EPS</t>
  </si>
  <si>
    <t>Income Statement (M)</t>
  </si>
  <si>
    <t>Cost of Sales</t>
  </si>
  <si>
    <t>Gross Income</t>
  </si>
  <si>
    <t>EBITDA</t>
  </si>
  <si>
    <t>Tax Expense</t>
  </si>
  <si>
    <t>SG&amp;A Expense</t>
  </si>
  <si>
    <t>Research &amp; Development</t>
  </si>
  <si>
    <t>Depr. &amp; Amort.</t>
  </si>
  <si>
    <t>Revenues - Needham</t>
  </si>
  <si>
    <t xml:space="preserve">  % Growth Rate</t>
  </si>
  <si>
    <t>Needham vs Cons.</t>
  </si>
  <si>
    <t>EPS - Needham</t>
  </si>
  <si>
    <t>Needham</t>
  </si>
  <si>
    <t>52-week</t>
  </si>
  <si>
    <t>Market</t>
  </si>
  <si>
    <t>Average</t>
  </si>
  <si>
    <t>Short</t>
  </si>
  <si>
    <t>EV/Sales-</t>
  </si>
  <si>
    <t>Rating</t>
  </si>
  <si>
    <t>PT</t>
  </si>
  <si>
    <t>Close</t>
  </si>
  <si>
    <t>Cap (M)</t>
  </si>
  <si>
    <t>Volume (k)</t>
  </si>
  <si>
    <t>Interest</t>
  </si>
  <si>
    <t>Cash/share</t>
  </si>
  <si>
    <t>&amp; Equiv. (M)</t>
  </si>
  <si>
    <t>Close-P</t>
  </si>
  <si>
    <t>EPS-2025E</t>
  </si>
  <si>
    <t>P/E-2025E</t>
  </si>
  <si>
    <t>EPS-2021E</t>
  </si>
  <si>
    <t>P/E-2021E</t>
  </si>
  <si>
    <t>N.A.</t>
  </si>
  <si>
    <t>EV current</t>
  </si>
  <si>
    <t>Sales-2025E</t>
  </si>
  <si>
    <t>EV/Sales-2025E</t>
  </si>
  <si>
    <t>A/R to Sales</t>
  </si>
  <si>
    <t xml:space="preserve">A/R </t>
  </si>
  <si>
    <t>A/P to Sales</t>
  </si>
  <si>
    <t>Amount</t>
  </si>
  <si>
    <t>Variance</t>
  </si>
  <si>
    <t>Actual vs Cons</t>
  </si>
  <si>
    <t>Products</t>
  </si>
  <si>
    <t>Royalties and Contract Revenue</t>
  </si>
  <si>
    <t>Non-Operating Items</t>
  </si>
  <si>
    <t>Pre-tax Income</t>
  </si>
  <si>
    <t>Net Income (GAAP)</t>
  </si>
  <si>
    <t>GAAP EPS</t>
  </si>
  <si>
    <t>Source: Company reports; Team Research estimates</t>
  </si>
  <si>
    <t>4Q21A</t>
  </si>
  <si>
    <t>New</t>
  </si>
  <si>
    <t>Old</t>
  </si>
  <si>
    <t>Change</t>
  </si>
  <si>
    <t>Gross Margins</t>
  </si>
  <si>
    <t>Operating Profit</t>
  </si>
  <si>
    <t xml:space="preserve">Avg: </t>
  </si>
  <si>
    <t>Restricted cash</t>
  </si>
  <si>
    <t>1Q19A</t>
  </si>
  <si>
    <t>2Q19A</t>
  </si>
  <si>
    <t>3Q19A</t>
  </si>
  <si>
    <t>4Q19A</t>
  </si>
  <si>
    <t>2019A</t>
  </si>
  <si>
    <t>Cash Raised</t>
  </si>
  <si>
    <t>Shares Issued</t>
  </si>
  <si>
    <t>Stock Price</t>
  </si>
  <si>
    <t>Royalties/Collaboration Revenues</t>
  </si>
  <si>
    <t>Total Royalties/Collaboration Revenues</t>
  </si>
  <si>
    <t>Buy</t>
  </si>
  <si>
    <t>1Q22A</t>
  </si>
  <si>
    <t>2021A</t>
  </si>
  <si>
    <t>2Q22A</t>
  </si>
  <si>
    <t>COGT Variance Analysis</t>
  </si>
  <si>
    <t>Collaboration revenue</t>
  </si>
  <si>
    <t>Other income, net</t>
  </si>
  <si>
    <t>Interest income</t>
  </si>
  <si>
    <t>Shares - Weighted average</t>
  </si>
  <si>
    <t>EPS - Basic &amp; diluted</t>
  </si>
  <si>
    <t>Gain on disposal of long-lived assets</t>
  </si>
  <si>
    <t>Acquired in-process research and development</t>
  </si>
  <si>
    <t>Operating lease, right-of-use asset</t>
  </si>
  <si>
    <t>Accrued expenses and other current liabilities</t>
  </si>
  <si>
    <t>Operating lease liability</t>
  </si>
  <si>
    <t>Proceeds from issuance of common stock upon stock option exercises</t>
  </si>
  <si>
    <t>Supplemental disclosure of noncash investing and financing information:</t>
  </si>
  <si>
    <t>Conversion of Series A non-voting convertible preferred stock into common stock</t>
  </si>
  <si>
    <t>Issuance of shares in partial settlement of CVR liability</t>
  </si>
  <si>
    <t>Operating lease liability, net of current portion</t>
  </si>
  <si>
    <t>Collaboration Revenue</t>
  </si>
  <si>
    <t>Preclinical research and discovery</t>
  </si>
  <si>
    <t>Bezuclastinib - GIST</t>
  </si>
  <si>
    <t>Phase 2</t>
  </si>
  <si>
    <t>Average Basic &amp; Diluted Shares</t>
  </si>
  <si>
    <t>Company</t>
  </si>
  <si>
    <t>IMPL or Raw</t>
  </si>
  <si>
    <t>IMPL</t>
  </si>
  <si>
    <t>Data Type</t>
  </si>
  <si>
    <t>CD</t>
  </si>
  <si>
    <t>Tab</t>
  </si>
  <si>
    <t>As Of</t>
  </si>
  <si>
    <t>FY-2024</t>
  </si>
  <si>
    <t>FY-2025</t>
  </si>
  <si>
    <t>FY-2026</t>
  </si>
  <si>
    <t>FY-2027</t>
  </si>
  <si>
    <t>FY-2028</t>
  </si>
  <si>
    <t>FY-2029</t>
  </si>
  <si>
    <t>FY-2030</t>
  </si>
  <si>
    <t>FY-2031</t>
  </si>
  <si>
    <t>FY-2032</t>
  </si>
  <si>
    <t>FY-2033</t>
  </si>
  <si>
    <t>FY-2034</t>
  </si>
  <si>
    <t>FY-2035</t>
  </si>
  <si>
    <t>Item Code</t>
  </si>
  <si>
    <t>Line Item</t>
  </si>
  <si>
    <t>Units</t>
  </si>
  <si>
    <t/>
  </si>
  <si>
    <t>%</t>
  </si>
  <si>
    <t>$M</t>
  </si>
  <si>
    <t>Total revenue</t>
  </si>
  <si>
    <t>Accumulated other comprehensive loss</t>
  </si>
  <si>
    <t>Notes:</t>
  </si>
  <si>
    <t>It contains the same period types as those selected for the worksheet on the Visible Alpha web platform.</t>
  </si>
  <si>
    <t>Royalty Rate</t>
  </si>
  <si>
    <t>A/P</t>
  </si>
  <si>
    <t>Common stock</t>
  </si>
  <si>
    <t>US</t>
  </si>
  <si>
    <t>EU</t>
  </si>
  <si>
    <t>2031E</t>
  </si>
  <si>
    <t>2032E</t>
  </si>
  <si>
    <t>2033E</t>
  </si>
  <si>
    <t>2034E</t>
  </si>
  <si>
    <t>2035E</t>
  </si>
  <si>
    <t>Fraction</t>
  </si>
  <si>
    <t>3Q22A</t>
  </si>
  <si>
    <t>Platform R&amp;D</t>
  </si>
  <si>
    <t>After Tax R&amp;D</t>
  </si>
  <si>
    <t>Discounted - R&amp;D</t>
  </si>
  <si>
    <t>Per Share Value - R&amp;D</t>
  </si>
  <si>
    <t>ROI</t>
  </si>
  <si>
    <t>Platform Value Per Share</t>
  </si>
  <si>
    <t>Other</t>
  </si>
  <si>
    <t>Adj.</t>
  </si>
  <si>
    <t>Net NPV</t>
  </si>
  <si>
    <t>Platform Value</t>
  </si>
  <si>
    <t>Total Value</t>
  </si>
  <si>
    <t>Current Stock</t>
  </si>
  <si>
    <t>Upside/Downside</t>
  </si>
  <si>
    <t>Net Cash Value</t>
  </si>
  <si>
    <t>Bezuclastinib - AdvSM</t>
  </si>
  <si>
    <t>Bezuclastinib - Non-AdvSM</t>
  </si>
  <si>
    <t>4Q22A</t>
  </si>
  <si>
    <t>2022A</t>
  </si>
  <si>
    <t>1Q23A</t>
  </si>
  <si>
    <t xml:space="preserve">  </t>
  </si>
  <si>
    <t>2Q23A</t>
  </si>
  <si>
    <t>3Q23A</t>
  </si>
  <si>
    <t>1QFY-2024</t>
  </si>
  <si>
    <t>2QFY-2024</t>
  </si>
  <si>
    <t>3QFY-2024</t>
  </si>
  <si>
    <t>4QFY-2024</t>
  </si>
  <si>
    <t>4Q23A</t>
  </si>
  <si>
    <t>2023A</t>
  </si>
  <si>
    <t>Diluted Shares</t>
  </si>
  <si>
    <t>Add'l Cap Raise (Current + Next yr)</t>
  </si>
  <si>
    <t>Shs at beginning of year</t>
  </si>
  <si>
    <t xml:space="preserve">If-convertible share count for convcertible stocks needs to be reflected. </t>
  </si>
  <si>
    <t>3Q24A</t>
  </si>
  <si>
    <t>3Q25E</t>
  </si>
  <si>
    <t>Pretax Income - Non GAAP</t>
  </si>
  <si>
    <t>Net Income - GAAP</t>
  </si>
  <si>
    <t>1Q25A</t>
  </si>
  <si>
    <t>2Q25A</t>
  </si>
  <si>
    <t>Proceeds from long-term debt</t>
  </si>
  <si>
    <t xml:space="preserve">Check </t>
  </si>
  <si>
    <t>3Q25A</t>
  </si>
  <si>
    <t>1Q26E</t>
  </si>
  <si>
    <t>2Q26E</t>
  </si>
  <si>
    <t>3Q26E</t>
  </si>
  <si>
    <t>4Q26E</t>
  </si>
  <si>
    <t>1QFY-2026</t>
  </si>
  <si>
    <t>2QFY-2026</t>
  </si>
  <si>
    <t>3QFY-2026</t>
  </si>
  <si>
    <t>4QFY-2026</t>
  </si>
  <si>
    <t>MapLight Therapeutics</t>
  </si>
  <si>
    <t>MapLight Therapeutics - Revenue</t>
  </si>
  <si>
    <t>ML-007C-MA</t>
  </si>
  <si>
    <t>Schizophrenia</t>
  </si>
  <si>
    <t>Schizophrenia PoS Adj.</t>
  </si>
  <si>
    <t>Alzheimer's Disease Psychosis</t>
  </si>
  <si>
    <t>AD Psychosis Pos Adj.</t>
  </si>
  <si>
    <t>ML-007C-MA (M1 / M4 agonist) - Total</t>
  </si>
  <si>
    <t xml:space="preserve">ML-007C-MA (M1 / M4 agonist) PoS Adj. </t>
  </si>
  <si>
    <t>ML-004 (5-HT 1B/ID agonist)</t>
  </si>
  <si>
    <t>Autism Spectrum Disorder</t>
  </si>
  <si>
    <t>ASD PoS Adj.</t>
  </si>
  <si>
    <t>AD Psychosis</t>
  </si>
  <si>
    <t>ASD</t>
  </si>
  <si>
    <t>MPLT</t>
  </si>
  <si>
    <t>EPS - GAAP</t>
  </si>
  <si>
    <t>MPLT-US</t>
  </si>
  <si>
    <t>Interest Income</t>
  </si>
  <si>
    <t>Operating Income - GAAP</t>
  </si>
  <si>
    <t>Shareholder Equity</t>
  </si>
  <si>
    <t>Net Debt</t>
  </si>
  <si>
    <t>Total Assets</t>
  </si>
  <si>
    <t>Current Liabilities</t>
  </si>
  <si>
    <t>Inventories</t>
  </si>
  <si>
    <t>Accounts Receivable</t>
  </si>
  <si>
    <t>Cash and Cash Equivalents</t>
  </si>
  <si>
    <t>Current Assets</t>
  </si>
  <si>
    <t>Balance Sheet (M)</t>
  </si>
  <si>
    <t>Visible Alpha has Quarterly and Annual data for MPLT_US from Jan 2022 to Dec 2047</t>
  </si>
  <si>
    <t>By default, this downloaded page includes data from 1QFY-2024 (1QFY-2024) to FY-2035 (FY-2035)</t>
  </si>
  <si>
    <t>N_15532756</t>
  </si>
  <si>
    <t xml:space="preserve"> </t>
  </si>
  <si>
    <t>Total revenue - Risk adjusted</t>
  </si>
  <si>
    <t>N_15532815</t>
  </si>
  <si>
    <t>Total revenue - Risk unadjusted</t>
  </si>
  <si>
    <t>N_15532814</t>
  </si>
  <si>
    <t>N_15532813</t>
  </si>
  <si>
    <t>Pipeline - Unadjusted</t>
  </si>
  <si>
    <t>N_15532812</t>
  </si>
  <si>
    <t>Revenue - ML-004</t>
  </si>
  <si>
    <t>N_15532846</t>
  </si>
  <si>
    <t>POS - ML-004</t>
  </si>
  <si>
    <t>N_15532838</t>
  </si>
  <si>
    <t>Revenue - ML-004 - Unadjusted</t>
  </si>
  <si>
    <t>N_15532836</t>
  </si>
  <si>
    <t xml:space="preserve">ML-004 </t>
  </si>
  <si>
    <t>ML-007-MA</t>
  </si>
  <si>
    <t>N_15532854</t>
  </si>
  <si>
    <t>ML-007-MA - Unadjusted</t>
  </si>
  <si>
    <t>N_15532833</t>
  </si>
  <si>
    <t xml:space="preserve">ML-007-MA </t>
  </si>
  <si>
    <t>4QFY-2025</t>
  </si>
  <si>
    <t>3QFY-2025</t>
  </si>
  <si>
    <t>2QFY-2025</t>
  </si>
  <si>
    <t>1QFY-2025</t>
  </si>
  <si>
    <t>RV</t>
  </si>
  <si>
    <t>MPLT_US</t>
  </si>
  <si>
    <t>MapLight Therapeutics - Operating Cost</t>
  </si>
  <si>
    <t xml:space="preserve">Loss from equity method investment </t>
  </si>
  <si>
    <t>Unrealized (loss) gain on available-for-sale invesments</t>
  </si>
  <si>
    <t>Comprehensive loss</t>
  </si>
  <si>
    <t>Formulation and CMC expenses</t>
  </si>
  <si>
    <t>Other expenses</t>
  </si>
  <si>
    <t>Employee related expenses</t>
  </si>
  <si>
    <t>Clinical trial expenses</t>
  </si>
  <si>
    <t>Professional and other fees</t>
  </si>
  <si>
    <t xml:space="preserve">Maplight Therpeutics </t>
  </si>
  <si>
    <t>2024A</t>
  </si>
  <si>
    <t>Short-term investments</t>
  </si>
  <si>
    <t>Long-term investments</t>
  </si>
  <si>
    <t>Lease liability - current</t>
  </si>
  <si>
    <t>Deferred grant earnings</t>
  </si>
  <si>
    <t xml:space="preserve">Series D </t>
  </si>
  <si>
    <t>Series C</t>
  </si>
  <si>
    <t>Series B-1</t>
  </si>
  <si>
    <t>Series B</t>
  </si>
  <si>
    <t>Series A-1</t>
  </si>
  <si>
    <t>Depreciation</t>
  </si>
  <si>
    <t>Net amorization of premiums and accretion of discounts on investments</t>
  </si>
  <si>
    <t>Common stock issued to NeuroSolis</t>
  </si>
  <si>
    <t>Non-cash lease expense</t>
  </si>
  <si>
    <t>Loss from equity method investment</t>
  </si>
  <si>
    <t>Loss from disposal and write-off of equipment</t>
  </si>
  <si>
    <t>Purchases of short-term and long-term investments</t>
  </si>
  <si>
    <t>Maturities of marketable debt securities</t>
  </si>
  <si>
    <t xml:space="preserve">Purchases of property and equipment </t>
  </si>
  <si>
    <t>Payments of deferred financing costs</t>
  </si>
  <si>
    <t>Proceeds from issuance of Series C</t>
  </si>
  <si>
    <t>Proceeds from issuance of Series D</t>
  </si>
  <si>
    <t>Proceeds from exercise of stock options</t>
  </si>
  <si>
    <t>Increase (decrease) in cash, cash equivalents, and restricted cash</t>
  </si>
  <si>
    <t>ML-007 (Schizophrenia)</t>
  </si>
  <si>
    <t>ML-007</t>
  </si>
  <si>
    <t>ML 007 (AD Psychosis)</t>
  </si>
  <si>
    <t>Rep - Sales - ML-007 - Schizophrenia</t>
  </si>
  <si>
    <t>Rep - Sales - ML-007 - AD Psychosis</t>
  </si>
  <si>
    <t>Rep - Sales - ML-004- ASD</t>
  </si>
  <si>
    <t>Cost - Sales - ML-007 - Schizophrenia</t>
  </si>
  <si>
    <t>Cost - Sales - ML-007 - AD Psychosis</t>
  </si>
  <si>
    <t>Cost - Sales - ML-004 - ASD</t>
  </si>
  <si>
    <t>A&amp;P Cost - Sales - ML-007 - Schizophrenia</t>
  </si>
  <si>
    <t>A&amp;P Cost - Sales - ML-007 - AD Psychosis</t>
  </si>
  <si>
    <t>A&amp;P Cost - Sales - ML-004 - ASD</t>
  </si>
  <si>
    <t>Cost - ML-007 - Schizophrenia</t>
  </si>
  <si>
    <t>Cost - ML-007 - AD Psychosis</t>
  </si>
  <si>
    <t>Cost - ML-004 - ASD</t>
  </si>
  <si>
    <t>ML-007 - Schizophrenia</t>
  </si>
  <si>
    <t>ML-007 - AD Psychosis</t>
  </si>
  <si>
    <t>ML-004 - ASD</t>
  </si>
  <si>
    <t>Debt</t>
  </si>
  <si>
    <t>4Q25A</t>
  </si>
  <si>
    <t>2025A</t>
  </si>
  <si>
    <t>Not linked</t>
  </si>
  <si>
    <t>No Safety Differentiation</t>
  </si>
  <si>
    <t>Both Safety and Efficacy Differentiation</t>
  </si>
  <si>
    <t>Peak Sh in Schizo</t>
  </si>
  <si>
    <t>Our Est. PT</t>
  </si>
  <si>
    <t>Current PT</t>
  </si>
  <si>
    <t>Safety Differentiation (Base case)</t>
  </si>
  <si>
    <t>2025 Cash</t>
  </si>
  <si>
    <t>Schizo POS</t>
  </si>
  <si>
    <t>ADP POS</t>
  </si>
  <si>
    <t>Scenario 1</t>
  </si>
  <si>
    <t>Scenario 2</t>
  </si>
  <si>
    <t>Scenario 3</t>
  </si>
  <si>
    <t>Superior on tolerability and convenience with comparable efficacy</t>
  </si>
  <si>
    <t>Stock Move (%)</t>
  </si>
  <si>
    <t>-low-30s</t>
  </si>
  <si>
    <t xml:space="preserve">Downside </t>
  </si>
  <si>
    <t>Comparable on both efficacy and tolerability but superior on convenience</t>
  </si>
  <si>
    <t xml:space="preserve">Upside </t>
  </si>
  <si>
    <t>Superior on tolerability, convenience, and efficacy</t>
  </si>
  <si>
    <t>+40s</t>
  </si>
  <si>
    <t xml:space="preserve">Base </t>
  </si>
  <si>
    <t>+mid-to-high 20s</t>
  </si>
  <si>
    <t>By default, this downloaded page includes data from 1QFY-2025 (1QFY-2025) to FY-2035 (FY-2035)</t>
  </si>
  <si>
    <t>ML-007-MA - International</t>
  </si>
  <si>
    <t>N_15532848</t>
  </si>
  <si>
    <t>ML-007-MA - International - Unadjusted</t>
  </si>
  <si>
    <t>N_15532847</t>
  </si>
  <si>
    <t>ML-007-MA - US</t>
  </si>
  <si>
    <t>N_15532851</t>
  </si>
  <si>
    <t>ML-007-MA - US - Unadjusted</t>
  </si>
  <si>
    <t>N_15532850</t>
  </si>
  <si>
    <t>ML-007-MA - Alzheimer's disease psychosis (ADP)</t>
  </si>
  <si>
    <t>N_15532804</t>
  </si>
  <si>
    <t>POS - ML-007-MA - Alzheimer's disease psychosis (ADP)</t>
  </si>
  <si>
    <t>N_15532809</t>
  </si>
  <si>
    <t>ML-007-MA - Alzheimer's disease psychosis (ADP) - Unadjusted</t>
  </si>
  <si>
    <t>N_15532807</t>
  </si>
  <si>
    <t>ML-007-MA- Alzheimer's disease psychosis (ADP) - International</t>
  </si>
  <si>
    <t>N_15532786</t>
  </si>
  <si>
    <t>POS - ML-007-MA - Alzheimer's disease psychosis (ADP) - International</t>
  </si>
  <si>
    <t>N_15532787</t>
  </si>
  <si>
    <t>ML-007-MA - Alzheimer's disease psychosis (ADP) - International - Unadjusted</t>
  </si>
  <si>
    <t>N_15532785</t>
  </si>
  <si>
    <t>ML-007-MA- Alzheimer's disease psychosis (ADP) - US</t>
  </si>
  <si>
    <t>N_15532781</t>
  </si>
  <si>
    <t>POS - ML-007-MA - Alzheimer's disease psychosis (ADP) -US</t>
  </si>
  <si>
    <t>N_15532782</t>
  </si>
  <si>
    <t>ML-007-MA - Alzheimer's disease psychosis (ADP) - US - Unadjusted</t>
  </si>
  <si>
    <t>N_15532784</t>
  </si>
  <si>
    <t>$Abs</t>
  </si>
  <si>
    <t>Revenue per treatment - ML-007-MA - Alzheimer's disease psychosis (ADP) - US</t>
  </si>
  <si>
    <t>N_15532779</t>
  </si>
  <si>
    <t>Gross-to-net adjustment rate - ML-007-MA - Alzheimer's disease psychosis (ADP) - US</t>
  </si>
  <si>
    <t>N_15532780</t>
  </si>
  <si>
    <t>Gross revenue per treatment - ML-007-MA - Alzheimer's disease psychosis (ADP) - US</t>
  </si>
  <si>
    <t>N_15532778</t>
  </si>
  <si>
    <t>#</t>
  </si>
  <si>
    <t>Number of patients - ML-007-MA - Alzheimer's disease psychosis (ADP) - US</t>
  </si>
  <si>
    <t>N_15532776</t>
  </si>
  <si>
    <t>Penetration rate - ML-007-MA - Alzheimer's disease psychosis (ADP) - US</t>
  </si>
  <si>
    <t>N_15532777</t>
  </si>
  <si>
    <t>Eligible patients - ML-007-MA - Alzheimer's disease psychosis (ADP) - US</t>
  </si>
  <si>
    <t>N_15532774</t>
  </si>
  <si>
    <t>Prevalence rate - ML-007-MA - Alzheimer's disease psychosis (ADP) - US</t>
  </si>
  <si>
    <t>N_15532775</t>
  </si>
  <si>
    <t>Gross number of patients - ML-007-MA - Alzheimer's disease psychosis (ADP) - US</t>
  </si>
  <si>
    <t>N_15532801</t>
  </si>
  <si>
    <t>ML 007-MA Alzheimer's disease psychosis</t>
  </si>
  <si>
    <t>ML-007-MA - Schizophrenia</t>
  </si>
  <si>
    <t>N_15532805</t>
  </si>
  <si>
    <t>POS - ML-007-MA - Schizophrenia</t>
  </si>
  <si>
    <t>N_15532810</t>
  </si>
  <si>
    <t>ML-007-MA - Schizophrenia - Unadjusted</t>
  </si>
  <si>
    <t>N_15532806</t>
  </si>
  <si>
    <t>ML 007-MA - Schizophrenia - International</t>
  </si>
  <si>
    <t>N_15532771</t>
  </si>
  <si>
    <t>POS - ML 007 MA - Schizophrenia - International</t>
  </si>
  <si>
    <t>N_15532772</t>
  </si>
  <si>
    <t>ML-007-MA - Schizophrenia - International - Unadjusted</t>
  </si>
  <si>
    <t>N_15532802</t>
  </si>
  <si>
    <t>ML 007-MA - Schizophrenia - US</t>
  </si>
  <si>
    <t>N_15532768</t>
  </si>
  <si>
    <t>POS - ML 007 MA - Schizophrenia - US</t>
  </si>
  <si>
    <t>N_15532770</t>
  </si>
  <si>
    <t>ML 007-MA - Schizophrenia - US - Unadjusted</t>
  </si>
  <si>
    <t>N_15532769</t>
  </si>
  <si>
    <t>Revenue per treatment - ML-007-MA - Schizophrenia - US</t>
  </si>
  <si>
    <t>N_15532766</t>
  </si>
  <si>
    <t>Gross-to-net adjustment rate - ML-007-MA - Schizophrenia - US</t>
  </si>
  <si>
    <t>N_15532767</t>
  </si>
  <si>
    <t>Gross revenue per treatment - ML-007-MA - Schizophrenia - US</t>
  </si>
  <si>
    <t>N_15532765</t>
  </si>
  <si>
    <t>Number of patients - ML 00-MA - Schizophrenia - US</t>
  </si>
  <si>
    <t>N_15532763</t>
  </si>
  <si>
    <t>Penetration - ML-007-MA - Schizophrenia -US</t>
  </si>
  <si>
    <t>N_15532764</t>
  </si>
  <si>
    <t>Eligible patients - ML-007-MA - Schizophrenia - US</t>
  </si>
  <si>
    <t>N_15532762</t>
  </si>
  <si>
    <t>ML-007-MA Schizophrenia</t>
  </si>
  <si>
    <t>ML 007-MA</t>
  </si>
  <si>
    <t>4QFY-2027</t>
  </si>
  <si>
    <t>3QFY-2027</t>
  </si>
  <si>
    <t>2QFY-2027</t>
  </si>
  <si>
    <t>1QFY-2027</t>
  </si>
  <si>
    <t>ME</t>
  </si>
  <si>
    <t>VA Cons. (Unadj)</t>
  </si>
  <si>
    <t>VA Cons. (Adj)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</si>
</sst>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"/>
    <numFmt numFmtId="166" formatCode="#,##0.000"/>
    <numFmt numFmtId="167" formatCode="0.0%"/>
    <numFmt numFmtId="168" formatCode="&quot;$&quot;#,##0.00"/>
    <numFmt numFmtId="169" formatCode="0.000000"/>
    <numFmt numFmtId="170" formatCode="0.000"/>
    <numFmt numFmtId="171" formatCode="&quot;$&quot;#,##0.0"/>
    <numFmt numFmtId="172" formatCode="&quot;$&quot;#,##0"/>
    <numFmt numFmtId="173" formatCode="General&quot;E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_(* #,##0.0_);_(* \(#,##0.0\);_(* &quot;-&quot;??_);_(@_)"/>
    <numFmt numFmtId="177" formatCode="#,##0.00000"/>
    <numFmt numFmtId="178" formatCode="&quot;$&quot;#,##0.000"/>
    <numFmt numFmtId="179" formatCode="&quot;Ticker&quot;"/>
    <numFmt numFmtId="180" formatCode="#,##0.00;[Red]\(#,##0.00\)"/>
    <numFmt numFmtId="181" formatCode="&quot;$&quot;#,##0.00000"/>
    <numFmt numFmtId="182" formatCode="_(* #,##0.000_);_(* \(#,##0.000\);_(* &quot;-&quot;??_);_(@_)"/>
    <numFmt numFmtId="183" formatCode="0E+00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99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i/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b/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A010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3"/>
      <name val="Calibri"/>
      <family val="2"/>
      <scheme val="minor"/>
    </font>
    <font>
      <i/>
      <sz val="10"/>
      <color theme="3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rgb="FF0099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23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0"/>
      <color rgb="FF003366"/>
      <name val="Arial"/>
      <family val="2"/>
    </font>
    <font>
      <sz val="11"/>
      <color indexed="8"/>
      <name val="Calibri"/>
      <family val="2"/>
    </font>
    <font>
      <sz val="8"/>
      <color indexed="12"/>
      <name val="Tms Rmn"/>
    </font>
    <font>
      <b/>
      <sz val="10"/>
      <name val="Arial"/>
      <family val="2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2" fillId="0" borderId="39" applyNumberFormat="0" applyFill="0" applyAlignment="0" applyProtection="0"/>
    <xf numFmtId="0" fontId="43" fillId="0" borderId="0" applyNumberFormat="0" applyFill="0" applyBorder="0" applyAlignment="0" applyProtection="0"/>
    <xf numFmtId="0" fontId="1" fillId="0" borderId="0"/>
    <xf numFmtId="0" fontId="54" fillId="0" borderId="0" applyNumberFormat="0" applyFill="0" applyBorder="0" applyAlignment="0" applyProtection="0"/>
  </cellStyleXfs>
  <cellXfs count="1084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Border="1"/>
    <xf numFmtId="0" fontId="3" fillId="0" borderId="0" xfId="1" applyFont="1"/>
    <xf numFmtId="0" fontId="2" fillId="0" borderId="2" xfId="1" applyFont="1" applyBorder="1"/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2" fillId="0" borderId="4" xfId="1" applyFont="1" applyBorder="1" applyAlignment="1">
      <alignment horizontal="right"/>
    </xf>
    <xf numFmtId="0" fontId="2" fillId="0" borderId="4" xfId="1" applyFont="1" applyFill="1" applyBorder="1" applyAlignment="1">
      <alignment horizontal="right"/>
    </xf>
    <xf numFmtId="0" fontId="2" fillId="0" borderId="1" xfId="1" applyFont="1" applyBorder="1" applyAlignment="1">
      <alignment horizontal="right"/>
    </xf>
    <xf numFmtId="0" fontId="1" fillId="0" borderId="5" xfId="1" applyBorder="1"/>
    <xf numFmtId="0" fontId="1" fillId="0" borderId="6" xfId="1" applyBorder="1"/>
    <xf numFmtId="0" fontId="1" fillId="0" borderId="6" xfId="1" applyBorder="1" applyAlignment="1">
      <alignment horizontal="right"/>
    </xf>
    <xf numFmtId="164" fontId="4" fillId="0" borderId="6" xfId="1" applyNumberFormat="1" applyFont="1" applyBorder="1"/>
    <xf numFmtId="164" fontId="4" fillId="0" borderId="0" xfId="1" applyNumberFormat="1" applyFont="1" applyBorder="1"/>
    <xf numFmtId="164" fontId="5" fillId="0" borderId="6" xfId="1" applyNumberFormat="1" applyFont="1" applyBorder="1"/>
    <xf numFmtId="164" fontId="5" fillId="0" borderId="0" xfId="1" applyNumberFormat="1" applyFont="1" applyBorder="1"/>
    <xf numFmtId="164" fontId="6" fillId="0" borderId="0" xfId="1" applyNumberFormat="1" applyFont="1" applyBorder="1"/>
    <xf numFmtId="164" fontId="4" fillId="0" borderId="5" xfId="1" applyNumberFormat="1" applyFont="1" applyBorder="1"/>
    <xf numFmtId="164" fontId="1" fillId="0" borderId="6" xfId="1" applyNumberFormat="1" applyBorder="1"/>
    <xf numFmtId="164" fontId="1" fillId="0" borderId="5" xfId="1" applyNumberFormat="1" applyBorder="1"/>
    <xf numFmtId="164" fontId="7" fillId="0" borderId="10" xfId="1" applyNumberFormat="1" applyFont="1" applyBorder="1"/>
    <xf numFmtId="164" fontId="7" fillId="0" borderId="11" xfId="1" applyNumberFormat="1" applyFont="1" applyBorder="1"/>
    <xf numFmtId="164" fontId="7" fillId="0" borderId="9" xfId="1" applyNumberFormat="1" applyFont="1" applyBorder="1"/>
    <xf numFmtId="164" fontId="1" fillId="0" borderId="0" xfId="1" applyNumberFormat="1" applyBorder="1"/>
    <xf numFmtId="164" fontId="6" fillId="0" borderId="5" xfId="1" applyNumberFormat="1" applyFont="1" applyBorder="1"/>
    <xf numFmtId="164" fontId="6" fillId="0" borderId="0" xfId="1" applyNumberFormat="1" applyFont="1" applyFill="1" applyBorder="1"/>
    <xf numFmtId="164" fontId="7" fillId="0" borderId="6" xfId="1" applyNumberFormat="1" applyFont="1" applyBorder="1"/>
    <xf numFmtId="164" fontId="7" fillId="0" borderId="0" xfId="1" applyNumberFormat="1" applyFont="1" applyBorder="1"/>
    <xf numFmtId="164" fontId="7" fillId="0" borderId="5" xfId="1" applyNumberFormat="1" applyFont="1" applyBorder="1"/>
    <xf numFmtId="165" fontId="1" fillId="0" borderId="6" xfId="1" applyNumberFormat="1" applyBorder="1"/>
    <xf numFmtId="167" fontId="0" fillId="0" borderId="0" xfId="2" applyNumberFormat="1" applyFont="1" applyBorder="1"/>
    <xf numFmtId="167" fontId="1" fillId="0" borderId="0" xfId="1" applyNumberFormat="1" applyBorder="1"/>
    <xf numFmtId="167" fontId="1" fillId="0" borderId="6" xfId="2" applyNumberFormat="1" applyFont="1" applyBorder="1"/>
    <xf numFmtId="167" fontId="4" fillId="0" borderId="6" xfId="2" applyNumberFormat="1" applyFont="1" applyBorder="1"/>
    <xf numFmtId="167" fontId="4" fillId="0" borderId="5" xfId="2" applyNumberFormat="1" applyFont="1" applyBorder="1"/>
    <xf numFmtId="168" fontId="2" fillId="0" borderId="0" xfId="1" applyNumberFormat="1" applyFont="1" applyFill="1" applyBorder="1"/>
    <xf numFmtId="168" fontId="2" fillId="0" borderId="6" xfId="1" applyNumberFormat="1" applyFont="1" applyFill="1" applyBorder="1"/>
    <xf numFmtId="169" fontId="1" fillId="0" borderId="0" xfId="1" applyNumberFormat="1"/>
    <xf numFmtId="169" fontId="1" fillId="0" borderId="0" xfId="1" applyNumberFormat="1" applyBorder="1"/>
    <xf numFmtId="0" fontId="9" fillId="0" borderId="0" xfId="1" applyFont="1"/>
    <xf numFmtId="0" fontId="2" fillId="0" borderId="1" xfId="1" applyFont="1" applyBorder="1"/>
    <xf numFmtId="0" fontId="2" fillId="0" borderId="16" xfId="1" applyFont="1" applyBorder="1" applyAlignment="1">
      <alignment horizontal="right"/>
    </xf>
    <xf numFmtId="0" fontId="1" fillId="0" borderId="12" xfId="1" applyBorder="1"/>
    <xf numFmtId="167" fontId="1" fillId="0" borderId="6" xfId="1" applyNumberFormat="1" applyBorder="1"/>
    <xf numFmtId="167" fontId="4" fillId="0" borderId="0" xfId="2" applyNumberFormat="1" applyFont="1" applyBorder="1"/>
    <xf numFmtId="167" fontId="4" fillId="0" borderId="12" xfId="2" applyNumberFormat="1" applyFont="1" applyBorder="1"/>
    <xf numFmtId="167" fontId="1" fillId="0" borderId="5" xfId="1" applyNumberFormat="1" applyBorder="1"/>
    <xf numFmtId="167" fontId="1" fillId="0" borderId="12" xfId="1" applyNumberFormat="1" applyBorder="1"/>
    <xf numFmtId="167" fontId="5" fillId="0" borderId="6" xfId="2" applyNumberFormat="1" applyFont="1" applyBorder="1"/>
    <xf numFmtId="167" fontId="5" fillId="0" borderId="0" xfId="2" applyNumberFormat="1" applyFont="1" applyBorder="1"/>
    <xf numFmtId="167" fontId="5" fillId="0" borderId="12" xfId="2" applyNumberFormat="1" applyFont="1" applyBorder="1"/>
    <xf numFmtId="167" fontId="5" fillId="0" borderId="5" xfId="2" applyNumberFormat="1" applyFont="1" applyBorder="1"/>
    <xf numFmtId="0" fontId="1" fillId="0" borderId="5" xfId="1" applyFill="1" applyBorder="1"/>
    <xf numFmtId="0" fontId="1" fillId="0" borderId="13" xfId="1" applyFill="1" applyBorder="1"/>
    <xf numFmtId="167" fontId="5" fillId="0" borderId="15" xfId="2" applyNumberFormat="1" applyFont="1" applyBorder="1"/>
    <xf numFmtId="167" fontId="5" fillId="0" borderId="14" xfId="2" applyNumberFormat="1" applyFont="1" applyBorder="1"/>
    <xf numFmtId="167" fontId="5" fillId="0" borderId="13" xfId="2" applyNumberFormat="1" applyFont="1" applyBorder="1"/>
    <xf numFmtId="167" fontId="5" fillId="0" borderId="17" xfId="2" applyNumberFormat="1" applyFont="1" applyBorder="1"/>
    <xf numFmtId="0" fontId="1" fillId="0" borderId="2" xfId="1" applyBorder="1"/>
    <xf numFmtId="0" fontId="2" fillId="0" borderId="10" xfId="1" applyFont="1" applyBorder="1"/>
    <xf numFmtId="0" fontId="2" fillId="0" borderId="6" xfId="1" applyFont="1" applyBorder="1"/>
    <xf numFmtId="0" fontId="0" fillId="0" borderId="0" xfId="0" applyFill="1"/>
    <xf numFmtId="164" fontId="1" fillId="0" borderId="6" xfId="1" applyNumberFormat="1" applyFont="1" applyBorder="1"/>
    <xf numFmtId="0" fontId="1" fillId="0" borderId="0" xfId="0" applyFont="1"/>
    <xf numFmtId="0" fontId="0" fillId="0" borderId="6" xfId="1" applyFont="1" applyBorder="1"/>
    <xf numFmtId="0" fontId="2" fillId="0" borderId="3" xfId="1" applyFont="1" applyFill="1" applyBorder="1" applyAlignment="1">
      <alignment horizontal="right"/>
    </xf>
    <xf numFmtId="164" fontId="11" fillId="0" borderId="0" xfId="1" applyNumberFormat="1" applyFont="1" applyBorder="1"/>
    <xf numFmtId="0" fontId="12" fillId="0" borderId="0" xfId="4"/>
    <xf numFmtId="0" fontId="1" fillId="0" borderId="8" xfId="1" applyBorder="1"/>
    <xf numFmtId="0" fontId="0" fillId="0" borderId="0" xfId="0" applyFill="1" applyBorder="1"/>
    <xf numFmtId="0" fontId="0" fillId="0" borderId="6" xfId="0" applyBorder="1"/>
    <xf numFmtId="164" fontId="4" fillId="0" borderId="6" xfId="0" applyNumberFormat="1" applyFont="1" applyBorder="1" applyAlignment="1">
      <alignment horizontal="right"/>
    </xf>
    <xf numFmtId="0" fontId="13" fillId="0" borderId="6" xfId="0" applyFont="1" applyBorder="1"/>
    <xf numFmtId="164" fontId="0" fillId="0" borderId="6" xfId="0" applyNumberFormat="1" applyBorder="1" applyAlignment="1">
      <alignment horizontal="right"/>
    </xf>
    <xf numFmtId="164" fontId="0" fillId="0" borderId="6" xfId="0" applyNumberFormat="1" applyFont="1" applyBorder="1" applyAlignment="1">
      <alignment horizontal="right"/>
    </xf>
    <xf numFmtId="0" fontId="14" fillId="0" borderId="6" xfId="0" applyFont="1" applyBorder="1"/>
    <xf numFmtId="0" fontId="0" fillId="0" borderId="6" xfId="0" applyFill="1" applyBorder="1"/>
    <xf numFmtId="0" fontId="13" fillId="0" borderId="2" xfId="0" applyFont="1" applyBorder="1"/>
    <xf numFmtId="164" fontId="0" fillId="0" borderId="2" xfId="0" applyNumberFormat="1" applyBorder="1" applyAlignment="1">
      <alignment horizontal="right"/>
    </xf>
    <xf numFmtId="0" fontId="13" fillId="0" borderId="6" xfId="0" applyFont="1" applyBorder="1" applyAlignment="1">
      <alignment horizontal="left"/>
    </xf>
    <xf numFmtId="0" fontId="15" fillId="0" borderId="14" xfId="0" applyFont="1" applyBorder="1"/>
    <xf numFmtId="164" fontId="2" fillId="0" borderId="14" xfId="0" applyNumberFormat="1" applyFont="1" applyBorder="1" applyAlignment="1"/>
    <xf numFmtId="0" fontId="15" fillId="0" borderId="2" xfId="0" applyFont="1" applyBorder="1"/>
    <xf numFmtId="164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/>
    <xf numFmtId="164" fontId="0" fillId="0" borderId="0" xfId="0" applyNumberFormat="1"/>
    <xf numFmtId="164" fontId="13" fillId="0" borderId="2" xfId="0" applyNumberFormat="1" applyFont="1" applyBorder="1" applyAlignment="1">
      <alignment horizontal="right"/>
    </xf>
    <xf numFmtId="0" fontId="2" fillId="0" borderId="2" xfId="0" applyFont="1" applyBorder="1"/>
    <xf numFmtId="164" fontId="15" fillId="0" borderId="2" xfId="0" applyNumberFormat="1" applyFont="1" applyBorder="1" applyAlignment="1"/>
    <xf numFmtId="0" fontId="2" fillId="0" borderId="0" xfId="0" applyFont="1"/>
    <xf numFmtId="164" fontId="0" fillId="0" borderId="6" xfId="0" applyNumberFormat="1" applyBorder="1"/>
    <xf numFmtId="0" fontId="9" fillId="4" borderId="0" xfId="4" applyFont="1" applyFill="1"/>
    <xf numFmtId="0" fontId="0" fillId="0" borderId="0" xfId="0" applyBorder="1"/>
    <xf numFmtId="0" fontId="9" fillId="0" borderId="0" xfId="4" applyFont="1" applyFill="1"/>
    <xf numFmtId="0" fontId="1" fillId="0" borderId="0" xfId="1" applyFill="1"/>
    <xf numFmtId="0" fontId="1" fillId="0" borderId="4" xfId="1" applyBorder="1"/>
    <xf numFmtId="0" fontId="1" fillId="0" borderId="18" xfId="1" applyBorder="1"/>
    <xf numFmtId="0" fontId="0" fillId="0" borderId="0" xfId="0" applyAlignment="1">
      <alignment vertical="top"/>
    </xf>
    <xf numFmtId="0" fontId="2" fillId="0" borderId="0" xfId="5" applyFont="1"/>
    <xf numFmtId="0" fontId="1" fillId="0" borderId="0" xfId="5"/>
    <xf numFmtId="0" fontId="1" fillId="0" borderId="0" xfId="5" applyBorder="1"/>
    <xf numFmtId="0" fontId="3" fillId="0" borderId="0" xfId="5" applyFont="1"/>
    <xf numFmtId="0" fontId="1" fillId="0" borderId="7" xfId="5" applyBorder="1"/>
    <xf numFmtId="0" fontId="2" fillId="0" borderId="3" xfId="5" applyFont="1" applyBorder="1" applyAlignment="1">
      <alignment horizontal="right"/>
    </xf>
    <xf numFmtId="0" fontId="2" fillId="0" borderId="2" xfId="5" applyFont="1" applyBorder="1" applyAlignment="1">
      <alignment horizontal="right"/>
    </xf>
    <xf numFmtId="0" fontId="2" fillId="0" borderId="1" xfId="5" applyFont="1" applyBorder="1" applyAlignment="1">
      <alignment horizontal="right"/>
    </xf>
    <xf numFmtId="0" fontId="2" fillId="0" borderId="16" xfId="5" applyFont="1" applyBorder="1" applyAlignment="1">
      <alignment horizontal="right"/>
    </xf>
    <xf numFmtId="0" fontId="2" fillId="0" borderId="6" xfId="5" applyFont="1" applyBorder="1"/>
    <xf numFmtId="0" fontId="1" fillId="0" borderId="8" xfId="5" applyBorder="1"/>
    <xf numFmtId="0" fontId="1" fillId="0" borderId="4" xfId="5" applyBorder="1"/>
    <xf numFmtId="0" fontId="1" fillId="0" borderId="18" xfId="5" applyBorder="1"/>
    <xf numFmtId="0" fontId="1" fillId="0" borderId="6" xfId="5" applyBorder="1"/>
    <xf numFmtId="0" fontId="1" fillId="0" borderId="8" xfId="5" applyFont="1" applyBorder="1"/>
    <xf numFmtId="0" fontId="1" fillId="0" borderId="6" xfId="5" applyFont="1" applyBorder="1"/>
    <xf numFmtId="0" fontId="2" fillId="5" borderId="6" xfId="5" applyFont="1" applyFill="1" applyBorder="1"/>
    <xf numFmtId="0" fontId="1" fillId="0" borderId="5" xfId="5" applyBorder="1"/>
    <xf numFmtId="0" fontId="1" fillId="0" borderId="12" xfId="5" applyBorder="1"/>
    <xf numFmtId="0" fontId="1" fillId="0" borderId="5" xfId="5" applyFont="1" applyBorder="1"/>
    <xf numFmtId="0" fontId="0" fillId="0" borderId="6" xfId="5" applyFont="1" applyBorder="1" applyAlignment="1">
      <alignment horizontal="left" indent="1"/>
    </xf>
    <xf numFmtId="0" fontId="0" fillId="0" borderId="5" xfId="0" applyBorder="1"/>
    <xf numFmtId="0" fontId="0" fillId="0" borderId="12" xfId="0" applyBorder="1"/>
    <xf numFmtId="164" fontId="16" fillId="0" borderId="5" xfId="5" applyNumberFormat="1" applyFont="1" applyBorder="1"/>
    <xf numFmtId="164" fontId="16" fillId="0" borderId="0" xfId="5" applyNumberFormat="1" applyFont="1" applyBorder="1"/>
    <xf numFmtId="164" fontId="16" fillId="0" borderId="0" xfId="5" applyNumberFormat="1" applyFont="1" applyFill="1" applyBorder="1"/>
    <xf numFmtId="164" fontId="16" fillId="0" borderId="12" xfId="5" applyNumberFormat="1" applyFont="1" applyFill="1" applyBorder="1"/>
    <xf numFmtId="165" fontId="2" fillId="0" borderId="6" xfId="5" applyNumberFormat="1" applyFont="1" applyFill="1" applyBorder="1"/>
    <xf numFmtId="165" fontId="2" fillId="0" borderId="5" xfId="5" applyNumberFormat="1" applyFont="1" applyFill="1" applyBorder="1"/>
    <xf numFmtId="164" fontId="16" fillId="0" borderId="5" xfId="5" applyNumberFormat="1" applyFont="1" applyFill="1" applyBorder="1"/>
    <xf numFmtId="164" fontId="7" fillId="0" borderId="0" xfId="5" applyNumberFormat="1" applyFont="1" applyFill="1" applyBorder="1"/>
    <xf numFmtId="164" fontId="7" fillId="0" borderId="12" xfId="5" applyNumberFormat="1" applyFont="1" applyFill="1" applyBorder="1"/>
    <xf numFmtId="164" fontId="7" fillId="0" borderId="6" xfId="5" applyNumberFormat="1" applyFont="1" applyFill="1" applyBorder="1"/>
    <xf numFmtId="167" fontId="5" fillId="0" borderId="6" xfId="5" applyNumberFormat="1" applyFont="1" applyFill="1" applyBorder="1"/>
    <xf numFmtId="0" fontId="2" fillId="0" borderId="10" xfId="5" applyFont="1" applyBorder="1"/>
    <xf numFmtId="164" fontId="16" fillId="0" borderId="9" xfId="5" applyNumberFormat="1" applyFont="1" applyBorder="1"/>
    <xf numFmtId="164" fontId="16" fillId="0" borderId="11" xfId="5" applyNumberFormat="1" applyFont="1" applyBorder="1"/>
    <xf numFmtId="164" fontId="16" fillId="0" borderId="11" xfId="5" applyNumberFormat="1" applyFont="1" applyFill="1" applyBorder="1"/>
    <xf numFmtId="164" fontId="16" fillId="0" borderId="20" xfId="5" applyNumberFormat="1" applyFont="1" applyFill="1" applyBorder="1"/>
    <xf numFmtId="165" fontId="2" fillId="0" borderId="10" xfId="5" applyNumberFormat="1" applyFont="1" applyFill="1" applyBorder="1"/>
    <xf numFmtId="165" fontId="2" fillId="0" borderId="9" xfId="5" applyNumberFormat="1" applyFont="1" applyFill="1" applyBorder="1"/>
    <xf numFmtId="164" fontId="16" fillId="0" borderId="9" xfId="5" applyNumberFormat="1" applyFont="1" applyFill="1" applyBorder="1"/>
    <xf numFmtId="164" fontId="7" fillId="0" borderId="11" xfId="5" applyNumberFormat="1" applyFont="1" applyFill="1" applyBorder="1"/>
    <xf numFmtId="164" fontId="7" fillId="0" borderId="20" xfId="5" applyNumberFormat="1" applyFont="1" applyFill="1" applyBorder="1"/>
    <xf numFmtId="164" fontId="7" fillId="0" borderId="10" xfId="5" applyNumberFormat="1" applyFont="1" applyFill="1" applyBorder="1"/>
    <xf numFmtId="0" fontId="9" fillId="0" borderId="6" xfId="5" applyFont="1" applyBorder="1"/>
    <xf numFmtId="164" fontId="4" fillId="0" borderId="5" xfId="5" applyNumberFormat="1" applyFont="1" applyBorder="1"/>
    <xf numFmtId="164" fontId="4" fillId="0" borderId="0" xfId="5" applyNumberFormat="1" applyFont="1" applyBorder="1"/>
    <xf numFmtId="164" fontId="4" fillId="0" borderId="0" xfId="5" applyNumberFormat="1" applyFont="1" applyFill="1" applyBorder="1"/>
    <xf numFmtId="164" fontId="4" fillId="0" borderId="12" xfId="5" applyNumberFormat="1" applyFont="1" applyFill="1" applyBorder="1"/>
    <xf numFmtId="167" fontId="1" fillId="0" borderId="6" xfId="5" applyNumberFormat="1" applyFont="1" applyFill="1" applyBorder="1"/>
    <xf numFmtId="167" fontId="4" fillId="0" borderId="5" xfId="5" applyNumberFormat="1" applyFont="1" applyBorder="1"/>
    <xf numFmtId="167" fontId="17" fillId="0" borderId="0" xfId="5" applyNumberFormat="1" applyFont="1" applyBorder="1"/>
    <xf numFmtId="167" fontId="4" fillId="0" borderId="0" xfId="5" applyNumberFormat="1" applyFont="1" applyFill="1" applyBorder="1"/>
    <xf numFmtId="167" fontId="4" fillId="0" borderId="12" xfId="5" applyNumberFormat="1" applyFont="1" applyFill="1" applyBorder="1"/>
    <xf numFmtId="167" fontId="1" fillId="0" borderId="5" xfId="5" applyNumberFormat="1" applyFont="1" applyFill="1" applyBorder="1"/>
    <xf numFmtId="167" fontId="5" fillId="0" borderId="5" xfId="5" applyNumberFormat="1" applyFont="1" applyFill="1" applyBorder="1"/>
    <xf numFmtId="167" fontId="5" fillId="0" borderId="0" xfId="5" applyNumberFormat="1" applyFont="1" applyFill="1" applyBorder="1"/>
    <xf numFmtId="167" fontId="5" fillId="0" borderId="12" xfId="5" applyNumberFormat="1" applyFont="1" applyFill="1" applyBorder="1"/>
    <xf numFmtId="164" fontId="4" fillId="0" borderId="12" xfId="5" applyNumberFormat="1" applyFont="1" applyBorder="1"/>
    <xf numFmtId="164" fontId="1" fillId="0" borderId="6" xfId="5" applyNumberFormat="1" applyFont="1" applyFill="1" applyBorder="1"/>
    <xf numFmtId="164" fontId="1" fillId="0" borderId="5" xfId="5" applyNumberFormat="1" applyFont="1" applyFill="1" applyBorder="1"/>
    <xf numFmtId="0" fontId="0" fillId="0" borderId="6" xfId="5" applyFont="1" applyBorder="1"/>
    <xf numFmtId="164" fontId="1" fillId="0" borderId="6" xfId="5" applyNumberFormat="1" applyBorder="1"/>
    <xf numFmtId="164" fontId="1" fillId="0" borderId="6" xfId="5" applyNumberFormat="1" applyFont="1" applyBorder="1"/>
    <xf numFmtId="164" fontId="5" fillId="0" borderId="6" xfId="5" applyNumberFormat="1" applyFont="1" applyBorder="1"/>
    <xf numFmtId="164" fontId="1" fillId="0" borderId="5" xfId="5" applyNumberFormat="1" applyFont="1" applyBorder="1"/>
    <xf numFmtId="164" fontId="1" fillId="0" borderId="5" xfId="5" applyNumberFormat="1" applyBorder="1"/>
    <xf numFmtId="164" fontId="1" fillId="0" borderId="0" xfId="5" applyNumberFormat="1" applyBorder="1"/>
    <xf numFmtId="164" fontId="1" fillId="0" borderId="12" xfId="5" applyNumberFormat="1" applyBorder="1"/>
    <xf numFmtId="0" fontId="2" fillId="0" borderId="14" xfId="5" applyFont="1" applyFill="1" applyBorder="1"/>
    <xf numFmtId="164" fontId="2" fillId="0" borderId="14" xfId="0" applyNumberFormat="1" applyFont="1" applyBorder="1"/>
    <xf numFmtId="0" fontId="9" fillId="0" borderId="0" xfId="4" applyFont="1"/>
    <xf numFmtId="0" fontId="0" fillId="0" borderId="0" xfId="0" applyAlignment="1">
      <alignment horizontal="right"/>
    </xf>
    <xf numFmtId="9" fontId="0" fillId="0" borderId="2" xfId="0" applyNumberFormat="1" applyBorder="1"/>
    <xf numFmtId="164" fontId="1" fillId="0" borderId="0" xfId="5" applyNumberFormat="1"/>
    <xf numFmtId="0" fontId="2" fillId="0" borderId="1" xfId="5" applyFont="1" applyFill="1" applyBorder="1" applyAlignment="1">
      <alignment horizontal="right"/>
    </xf>
    <xf numFmtId="0" fontId="2" fillId="0" borderId="3" xfId="5" applyFont="1" applyFill="1" applyBorder="1" applyAlignment="1">
      <alignment horizontal="right"/>
    </xf>
    <xf numFmtId="0" fontId="2" fillId="0" borderId="16" xfId="5" applyFont="1" applyFill="1" applyBorder="1" applyAlignment="1">
      <alignment horizontal="right"/>
    </xf>
    <xf numFmtId="0" fontId="1" fillId="0" borderId="0" xfId="5" applyBorder="1" applyAlignment="1">
      <alignment horizontal="right"/>
    </xf>
    <xf numFmtId="0" fontId="1" fillId="0" borderId="7" xfId="5" applyBorder="1" applyAlignment="1">
      <alignment horizontal="right"/>
    </xf>
    <xf numFmtId="0" fontId="2" fillId="0" borderId="1" xfId="5" applyFont="1" applyBorder="1"/>
    <xf numFmtId="164" fontId="1" fillId="0" borderId="5" xfId="5" applyNumberFormat="1" applyBorder="1" applyAlignment="1">
      <alignment horizontal="right"/>
    </xf>
    <xf numFmtId="0" fontId="1" fillId="0" borderId="12" xfId="5" applyBorder="1" applyAlignment="1">
      <alignment horizontal="right"/>
    </xf>
    <xf numFmtId="0" fontId="1" fillId="0" borderId="6" xfId="5" applyBorder="1" applyAlignment="1">
      <alignment horizontal="right"/>
    </xf>
    <xf numFmtId="0" fontId="0" fillId="0" borderId="5" xfId="5" applyFont="1" applyBorder="1"/>
    <xf numFmtId="164" fontId="17" fillId="0" borderId="12" xfId="5" applyNumberFormat="1" applyFont="1" applyBorder="1"/>
    <xf numFmtId="164" fontId="4" fillId="0" borderId="6" xfId="5" applyNumberFormat="1" applyFont="1" applyBorder="1"/>
    <xf numFmtId="0" fontId="0" fillId="0" borderId="5" xfId="5" applyFont="1" applyBorder="1" applyAlignment="1">
      <alignment horizontal="left"/>
    </xf>
    <xf numFmtId="164" fontId="18" fillId="0" borderId="0" xfId="5" applyNumberFormat="1" applyFont="1" applyBorder="1"/>
    <xf numFmtId="164" fontId="18" fillId="0" borderId="12" xfId="5" applyNumberFormat="1" applyFont="1" applyBorder="1"/>
    <xf numFmtId="164" fontId="5" fillId="0" borderId="0" xfId="5" applyNumberFormat="1" applyFont="1" applyBorder="1"/>
    <xf numFmtId="164" fontId="18" fillId="0" borderId="5" xfId="5" applyNumberFormat="1" applyFont="1" applyBorder="1"/>
    <xf numFmtId="164" fontId="11" fillId="0" borderId="0" xfId="5" applyNumberFormat="1" applyFont="1" applyBorder="1"/>
    <xf numFmtId="164" fontId="11" fillId="0" borderId="12" xfId="5" applyNumberFormat="1" applyFont="1" applyBorder="1"/>
    <xf numFmtId="164" fontId="11" fillId="0" borderId="5" xfId="5" applyNumberFormat="1" applyFont="1" applyBorder="1"/>
    <xf numFmtId="0" fontId="2" fillId="6" borderId="13" xfId="5" applyFont="1" applyFill="1" applyBorder="1"/>
    <xf numFmtId="164" fontId="17" fillId="6" borderId="13" xfId="4" applyNumberFormat="1" applyFont="1" applyFill="1" applyBorder="1"/>
    <xf numFmtId="164" fontId="17" fillId="6" borderId="15" xfId="4" applyNumberFormat="1" applyFont="1" applyFill="1" applyBorder="1"/>
    <xf numFmtId="164" fontId="17" fillId="6" borderId="17" xfId="4" applyNumberFormat="1" applyFont="1" applyFill="1" applyBorder="1"/>
    <xf numFmtId="164" fontId="17" fillId="6" borderId="15" xfId="4" applyNumberFormat="1" applyFont="1" applyFill="1" applyBorder="1" applyAlignment="1"/>
    <xf numFmtId="164" fontId="2" fillId="6" borderId="14" xfId="5" applyNumberFormat="1" applyFont="1" applyFill="1" applyBorder="1"/>
    <xf numFmtId="0" fontId="1" fillId="3" borderId="0" xfId="5" applyFont="1" applyFill="1"/>
    <xf numFmtId="0" fontId="1" fillId="3" borderId="0" xfId="5" applyFill="1"/>
    <xf numFmtId="165" fontId="1" fillId="3" borderId="0" xfId="5" applyNumberFormat="1" applyFill="1" applyBorder="1"/>
    <xf numFmtId="165" fontId="1" fillId="3" borderId="0" xfId="5" applyNumberFormat="1" applyFill="1"/>
    <xf numFmtId="0" fontId="1" fillId="0" borderId="0" xfId="5" applyFont="1" applyBorder="1"/>
    <xf numFmtId="0" fontId="0" fillId="0" borderId="0" xfId="0" applyFont="1"/>
    <xf numFmtId="164" fontId="2" fillId="0" borderId="0" xfId="5" applyNumberFormat="1" applyFont="1" applyBorder="1"/>
    <xf numFmtId="0" fontId="2" fillId="0" borderId="8" xfId="5" applyFont="1" applyBorder="1" applyAlignment="1">
      <alignment horizontal="right"/>
    </xf>
    <xf numFmtId="0" fontId="2" fillId="0" borderId="4" xfId="5" applyFont="1" applyBorder="1" applyAlignment="1">
      <alignment horizontal="right"/>
    </xf>
    <xf numFmtId="0" fontId="1" fillId="0" borderId="8" xfId="5" applyBorder="1" applyAlignment="1">
      <alignment horizontal="right"/>
    </xf>
    <xf numFmtId="0" fontId="1" fillId="0" borderId="4" xfId="5" applyBorder="1" applyAlignment="1">
      <alignment horizontal="right"/>
    </xf>
    <xf numFmtId="0" fontId="2" fillId="6" borderId="6" xfId="5" applyFont="1" applyFill="1" applyBorder="1"/>
    <xf numFmtId="164" fontId="19" fillId="6" borderId="0" xfId="4" applyNumberFormat="1" applyFont="1" applyFill="1" applyBorder="1"/>
    <xf numFmtId="164" fontId="19" fillId="6" borderId="0" xfId="4" applyNumberFormat="1" applyFont="1" applyFill="1" applyBorder="1" applyAlignment="1"/>
    <xf numFmtId="164" fontId="19" fillId="6" borderId="6" xfId="4" applyNumberFormat="1" applyFont="1" applyFill="1" applyBorder="1"/>
    <xf numFmtId="164" fontId="19" fillId="6" borderId="0" xfId="5" applyNumberFormat="1" applyFont="1" applyFill="1" applyBorder="1"/>
    <xf numFmtId="164" fontId="2" fillId="6" borderId="0" xfId="5" applyNumberFormat="1" applyFont="1" applyFill="1" applyBorder="1"/>
    <xf numFmtId="164" fontId="2" fillId="6" borderId="6" xfId="5" applyNumberFormat="1" applyFont="1" applyFill="1" applyBorder="1"/>
    <xf numFmtId="0" fontId="2" fillId="0" borderId="14" xfId="5" applyFont="1" applyBorder="1"/>
    <xf numFmtId="164" fontId="16" fillId="0" borderId="6" xfId="5" applyNumberFormat="1" applyFont="1" applyBorder="1"/>
    <xf numFmtId="0" fontId="1" fillId="0" borderId="5" xfId="5" applyBorder="1" applyAlignment="1">
      <alignment horizontal="right"/>
    </xf>
    <xf numFmtId="0" fontId="2" fillId="0" borderId="5" xfId="5" applyFont="1" applyBorder="1"/>
    <xf numFmtId="164" fontId="2" fillId="0" borderId="5" xfId="5" applyNumberFormat="1" applyFont="1" applyBorder="1"/>
    <xf numFmtId="164" fontId="2" fillId="0" borderId="6" xfId="5" applyNumberFormat="1" applyFont="1" applyBorder="1"/>
    <xf numFmtId="3" fontId="4" fillId="0" borderId="5" xfId="5" applyNumberFormat="1" applyFont="1" applyBorder="1"/>
    <xf numFmtId="3" fontId="4" fillId="0" borderId="0" xfId="5" applyNumberFormat="1" applyFont="1" applyBorder="1"/>
    <xf numFmtId="3" fontId="5" fillId="0" borderId="0" xfId="5" applyNumberFormat="1" applyFont="1" applyBorder="1"/>
    <xf numFmtId="3" fontId="5" fillId="0" borderId="6" xfId="5" applyNumberFormat="1" applyFont="1" applyBorder="1"/>
    <xf numFmtId="3" fontId="1" fillId="0" borderId="6" xfId="5" applyNumberFormat="1" applyFont="1" applyBorder="1"/>
    <xf numFmtId="3" fontId="4" fillId="0" borderId="6" xfId="5" applyNumberFormat="1" applyFont="1" applyBorder="1"/>
    <xf numFmtId="3" fontId="5" fillId="0" borderId="5" xfId="5" applyNumberFormat="1" applyFont="1" applyBorder="1"/>
    <xf numFmtId="164" fontId="1" fillId="0" borderId="0" xfId="5" applyNumberFormat="1" applyFont="1" applyBorder="1"/>
    <xf numFmtId="164" fontId="5" fillId="0" borderId="5" xfId="5" applyNumberFormat="1" applyFont="1" applyBorder="1"/>
    <xf numFmtId="0" fontId="0" fillId="0" borderId="0" xfId="5" applyFont="1" applyBorder="1"/>
    <xf numFmtId="164" fontId="7" fillId="0" borderId="5" xfId="5" applyNumberFormat="1" applyFont="1" applyBorder="1"/>
    <xf numFmtId="164" fontId="7" fillId="0" borderId="0" xfId="5" applyNumberFormat="1" applyFont="1" applyBorder="1"/>
    <xf numFmtId="164" fontId="7" fillId="0" borderId="6" xfId="5" applyNumberFormat="1" applyFont="1" applyBorder="1"/>
    <xf numFmtId="164" fontId="6" fillId="0" borderId="5" xfId="5" applyNumberFormat="1" applyFont="1" applyBorder="1"/>
    <xf numFmtId="164" fontId="6" fillId="0" borderId="0" xfId="5" applyNumberFormat="1" applyFont="1" applyBorder="1"/>
    <xf numFmtId="164" fontId="17" fillId="0" borderId="0" xfId="5" applyNumberFormat="1" applyFont="1" applyBorder="1"/>
    <xf numFmtId="164" fontId="20" fillId="0" borderId="5" xfId="5" applyNumberFormat="1" applyFont="1" applyBorder="1"/>
    <xf numFmtId="164" fontId="20" fillId="0" borderId="0" xfId="5" applyNumberFormat="1" applyFont="1" applyBorder="1"/>
    <xf numFmtId="164" fontId="19" fillId="0" borderId="0" xfId="5" applyNumberFormat="1" applyFont="1" applyBorder="1"/>
    <xf numFmtId="164" fontId="19" fillId="0" borderId="6" xfId="5" applyNumberFormat="1" applyFont="1" applyBorder="1"/>
    <xf numFmtId="164" fontId="21" fillId="0" borderId="5" xfId="5" applyNumberFormat="1" applyFont="1" applyBorder="1"/>
    <xf numFmtId="164" fontId="21" fillId="0" borderId="0" xfId="5" applyNumberFormat="1" applyFont="1" applyBorder="1"/>
    <xf numFmtId="164" fontId="21" fillId="0" borderId="0" xfId="5" applyNumberFormat="1" applyFont="1" applyFill="1" applyBorder="1"/>
    <xf numFmtId="0" fontId="2" fillId="6" borderId="5" xfId="5" applyFont="1" applyFill="1" applyBorder="1"/>
    <xf numFmtId="164" fontId="16" fillId="6" borderId="5" xfId="4" applyNumberFormat="1" applyFont="1" applyFill="1" applyBorder="1"/>
    <xf numFmtId="164" fontId="16" fillId="6" borderId="0" xfId="4" applyNumberFormat="1" applyFont="1" applyFill="1" applyBorder="1"/>
    <xf numFmtId="0" fontId="2" fillId="0" borderId="13" xfId="5" applyFont="1" applyFill="1" applyBorder="1"/>
    <xf numFmtId="164" fontId="20" fillId="0" borderId="13" xfId="5" applyNumberFormat="1" applyFont="1" applyFill="1" applyBorder="1"/>
    <xf numFmtId="164" fontId="20" fillId="0" borderId="15" xfId="5" applyNumberFormat="1" applyFont="1" applyFill="1" applyBorder="1"/>
    <xf numFmtId="164" fontId="2" fillId="0" borderId="14" xfId="5" applyNumberFormat="1" applyFont="1" applyFill="1" applyBorder="1"/>
    <xf numFmtId="0" fontId="1" fillId="0" borderId="18" xfId="5" applyBorder="1" applyAlignment="1">
      <alignment horizontal="right"/>
    </xf>
    <xf numFmtId="167" fontId="5" fillId="0" borderId="0" xfId="5" applyNumberFormat="1" applyFont="1" applyBorder="1"/>
    <xf numFmtId="167" fontId="5" fillId="0" borderId="12" xfId="5" applyNumberFormat="1" applyFont="1" applyBorder="1"/>
    <xf numFmtId="167" fontId="5" fillId="0" borderId="6" xfId="5" applyNumberFormat="1" applyFont="1" applyBorder="1"/>
    <xf numFmtId="164" fontId="6" fillId="0" borderId="12" xfId="5" applyNumberFormat="1" applyFont="1" applyBorder="1"/>
    <xf numFmtId="167" fontId="4" fillId="0" borderId="0" xfId="5" applyNumberFormat="1" applyFont="1" applyBorder="1"/>
    <xf numFmtId="0" fontId="7" fillId="0" borderId="5" xfId="5" applyFont="1" applyBorder="1"/>
    <xf numFmtId="164" fontId="7" fillId="0" borderId="12" xfId="5" applyNumberFormat="1" applyFont="1" applyBorder="1"/>
    <xf numFmtId="164" fontId="17" fillId="0" borderId="5" xfId="5" applyNumberFormat="1" applyFont="1" applyBorder="1"/>
    <xf numFmtId="164" fontId="19" fillId="6" borderId="12" xfId="5" applyNumberFormat="1" applyFont="1" applyFill="1" applyBorder="1"/>
    <xf numFmtId="164" fontId="5" fillId="0" borderId="12" xfId="5" applyNumberFormat="1" applyFont="1" applyBorder="1"/>
    <xf numFmtId="165" fontId="5" fillId="0" borderId="0" xfId="5" applyNumberFormat="1" applyFont="1" applyBorder="1"/>
    <xf numFmtId="164" fontId="7" fillId="6" borderId="0" xfId="5" applyNumberFormat="1" applyFont="1" applyFill="1" applyBorder="1"/>
    <xf numFmtId="164" fontId="7" fillId="6" borderId="12" xfId="5" applyNumberFormat="1" applyFont="1" applyFill="1" applyBorder="1"/>
    <xf numFmtId="0" fontId="2" fillId="0" borderId="13" xfId="5" applyFont="1" applyBorder="1"/>
    <xf numFmtId="164" fontId="2" fillId="0" borderId="13" xfId="5" applyNumberFormat="1" applyFont="1" applyBorder="1"/>
    <xf numFmtId="164" fontId="2" fillId="0" borderId="15" xfId="5" applyNumberFormat="1" applyFont="1" applyBorder="1"/>
    <xf numFmtId="164" fontId="7" fillId="0" borderId="15" xfId="5" applyNumberFormat="1" applyFont="1" applyBorder="1"/>
    <xf numFmtId="164" fontId="7" fillId="0" borderId="17" xfId="5" applyNumberFormat="1" applyFont="1" applyBorder="1"/>
    <xf numFmtId="164" fontId="18" fillId="0" borderId="6" xfId="5" applyNumberFormat="1" applyFont="1" applyFill="1" applyBorder="1"/>
    <xf numFmtId="0" fontId="1" fillId="0" borderId="6" xfId="5" applyFill="1" applyBorder="1" applyAlignment="1">
      <alignment horizontal="right"/>
    </xf>
    <xf numFmtId="0" fontId="2" fillId="0" borderId="0" xfId="5" applyFont="1" applyFill="1" applyBorder="1" applyAlignment="1">
      <alignment horizontal="right"/>
    </xf>
    <xf numFmtId="0" fontId="2" fillId="0" borderId="0" xfId="5" applyFont="1" applyBorder="1" applyAlignment="1">
      <alignment horizontal="right"/>
    </xf>
    <xf numFmtId="0" fontId="2" fillId="0" borderId="0" xfId="5" quotePrefix="1" applyFont="1" applyBorder="1" applyAlignment="1">
      <alignment horizontal="right"/>
    </xf>
    <xf numFmtId="0" fontId="2" fillId="0" borderId="0" xfId="5" applyFont="1" applyBorder="1" applyAlignment="1">
      <alignment vertical="center" wrapText="1"/>
    </xf>
    <xf numFmtId="0" fontId="1" fillId="0" borderId="0" xfId="5" applyFill="1"/>
    <xf numFmtId="0" fontId="0" fillId="0" borderId="0" xfId="0" applyAlignment="1">
      <alignment wrapText="1"/>
    </xf>
    <xf numFmtId="0" fontId="0" fillId="0" borderId="0" xfId="5" applyFont="1" applyBorder="1" applyAlignment="1">
      <alignment wrapText="1"/>
    </xf>
    <xf numFmtId="0" fontId="0" fillId="0" borderId="0" xfId="5" applyFont="1" applyAlignment="1">
      <alignment wrapText="1"/>
    </xf>
    <xf numFmtId="0" fontId="1" fillId="0" borderId="0" xfId="5" applyAlignment="1">
      <alignment wrapText="1"/>
    </xf>
    <xf numFmtId="164" fontId="1" fillId="0" borderId="0" xfId="5" applyNumberFormat="1" applyFill="1" applyBorder="1" applyAlignment="1">
      <alignment wrapText="1"/>
    </xf>
    <xf numFmtId="164" fontId="1" fillId="0" borderId="0" xfId="5" applyNumberFormat="1" applyBorder="1" applyAlignment="1">
      <alignment wrapText="1"/>
    </xf>
    <xf numFmtId="168" fontId="1" fillId="0" borderId="0" xfId="5" applyNumberFormat="1" applyBorder="1" applyAlignment="1">
      <alignment wrapText="1"/>
    </xf>
    <xf numFmtId="171" fontId="1" fillId="0" borderId="0" xfId="5" applyNumberFormat="1" applyBorder="1" applyAlignment="1">
      <alignment wrapText="1"/>
    </xf>
    <xf numFmtId="167" fontId="0" fillId="0" borderId="0" xfId="2" applyNumberFormat="1" applyFont="1" applyBorder="1" applyAlignment="1">
      <alignment wrapText="1"/>
    </xf>
    <xf numFmtId="0" fontId="0" fillId="0" borderId="0" xfId="5" applyFont="1"/>
    <xf numFmtId="164" fontId="1" fillId="0" borderId="0" xfId="5" applyNumberFormat="1" applyFill="1" applyBorder="1"/>
    <xf numFmtId="9" fontId="5" fillId="0" borderId="0" xfId="5" applyNumberFormat="1" applyFont="1" applyBorder="1"/>
    <xf numFmtId="171" fontId="1" fillId="0" borderId="0" xfId="5" applyNumberFormat="1" applyBorder="1"/>
    <xf numFmtId="0" fontId="2" fillId="0" borderId="0" xfId="5" applyFont="1" applyBorder="1"/>
    <xf numFmtId="171" fontId="2" fillId="0" borderId="0" xfId="5" applyNumberFormat="1" applyFont="1" applyBorder="1"/>
    <xf numFmtId="9" fontId="1" fillId="0" borderId="0" xfId="5" applyNumberFormat="1" applyBorder="1"/>
    <xf numFmtId="167" fontId="2" fillId="0" borderId="0" xfId="2" applyNumberFormat="1" applyFont="1" applyBorder="1"/>
    <xf numFmtId="0" fontId="5" fillId="0" borderId="0" xfId="5" applyFont="1" applyBorder="1"/>
    <xf numFmtId="9" fontId="1" fillId="0" borderId="0" xfId="5" quotePrefix="1" applyNumberFormat="1" applyBorder="1" applyAlignment="1">
      <alignment horizontal="center"/>
    </xf>
    <xf numFmtId="0" fontId="1" fillId="0" borderId="0" xfId="5" applyFont="1"/>
    <xf numFmtId="9" fontId="5" fillId="0" borderId="0" xfId="5" quotePrefix="1" applyNumberFormat="1" applyFont="1" applyBorder="1" applyAlignment="1">
      <alignment horizontal="center"/>
    </xf>
    <xf numFmtId="3" fontId="2" fillId="0" borderId="0" xfId="5" applyNumberFormat="1" applyFont="1" applyBorder="1"/>
    <xf numFmtId="0" fontId="1" fillId="0" borderId="0" xfId="5" quotePrefix="1" applyBorder="1" applyAlignment="1">
      <alignment horizontal="center"/>
    </xf>
    <xf numFmtId="172" fontId="2" fillId="0" borderId="2" xfId="5" applyNumberFormat="1" applyFont="1" applyFill="1" applyBorder="1"/>
    <xf numFmtId="172" fontId="1" fillId="0" borderId="0" xfId="5" applyNumberFormat="1"/>
    <xf numFmtId="172" fontId="1" fillId="0" borderId="0" xfId="5" applyNumberFormat="1" applyFont="1" applyBorder="1"/>
    <xf numFmtId="172" fontId="16" fillId="0" borderId="2" xfId="5" applyNumberFormat="1" applyFont="1" applyFill="1" applyBorder="1"/>
    <xf numFmtId="167" fontId="1" fillId="0" borderId="0" xfId="5" applyNumberFormat="1"/>
    <xf numFmtId="0" fontId="1" fillId="7" borderId="0" xfId="5" applyFont="1" applyFill="1" applyBorder="1"/>
    <xf numFmtId="0" fontId="1" fillId="7" borderId="0" xfId="5" applyFill="1" applyBorder="1"/>
    <xf numFmtId="3" fontId="1" fillId="7" borderId="0" xfId="5" applyNumberFormat="1" applyFont="1" applyFill="1" applyBorder="1"/>
    <xf numFmtId="0" fontId="1" fillId="7" borderId="0" xfId="5" applyFill="1"/>
    <xf numFmtId="0" fontId="1" fillId="7" borderId="0" xfId="5" applyFont="1" applyFill="1"/>
    <xf numFmtId="165" fontId="1" fillId="7" borderId="0" xfId="5" applyNumberFormat="1" applyFill="1" applyBorder="1"/>
    <xf numFmtId="0" fontId="2" fillId="0" borderId="0" xfId="5" applyFont="1" applyAlignment="1">
      <alignment horizontal="right"/>
    </xf>
    <xf numFmtId="9" fontId="0" fillId="0" borderId="0" xfId="2" applyFont="1"/>
    <xf numFmtId="0" fontId="9" fillId="0" borderId="0" xfId="5" applyFont="1"/>
    <xf numFmtId="0" fontId="22" fillId="0" borderId="0" xfId="5" applyFont="1"/>
    <xf numFmtId="0" fontId="7" fillId="8" borderId="19" xfId="5" applyFont="1" applyFill="1" applyBorder="1"/>
    <xf numFmtId="173" fontId="7" fillId="0" borderId="19" xfId="5" applyNumberFormat="1" applyFont="1" applyFill="1" applyBorder="1" applyAlignment="1">
      <alignment horizontal="right"/>
    </xf>
    <xf numFmtId="173" fontId="7" fillId="0" borderId="21" xfId="5" applyNumberFormat="1" applyFont="1" applyFill="1" applyBorder="1" applyAlignment="1">
      <alignment horizontal="right"/>
    </xf>
    <xf numFmtId="0" fontId="2" fillId="0" borderId="22" xfId="5" applyFont="1" applyBorder="1"/>
    <xf numFmtId="165" fontId="1" fillId="0" borderId="22" xfId="5" applyNumberFormat="1" applyBorder="1"/>
    <xf numFmtId="165" fontId="1" fillId="0" borderId="23" xfId="5" applyNumberFormat="1" applyBorder="1"/>
    <xf numFmtId="165" fontId="1" fillId="0" borderId="24" xfId="5" applyNumberFormat="1" applyBorder="1"/>
    <xf numFmtId="0" fontId="9" fillId="0" borderId="25" xfId="5" applyFont="1" applyBorder="1"/>
    <xf numFmtId="165" fontId="1" fillId="0" borderId="25" xfId="5" applyNumberFormat="1" applyBorder="1"/>
    <xf numFmtId="165" fontId="1" fillId="0" borderId="26" xfId="5" applyNumberFormat="1" applyBorder="1"/>
    <xf numFmtId="165" fontId="1" fillId="0" borderId="27" xfId="5" applyNumberFormat="1" applyBorder="1"/>
    <xf numFmtId="164" fontId="1" fillId="0" borderId="25" xfId="5" applyNumberFormat="1" applyBorder="1"/>
    <xf numFmtId="164" fontId="1" fillId="0" borderId="26" xfId="5" applyNumberFormat="1" applyBorder="1"/>
    <xf numFmtId="164" fontId="1" fillId="0" borderId="27" xfId="5" applyNumberFormat="1" applyBorder="1"/>
    <xf numFmtId="0" fontId="9" fillId="0" borderId="28" xfId="5" applyFont="1" applyBorder="1"/>
    <xf numFmtId="164" fontId="1" fillId="0" borderId="28" xfId="5" applyNumberFormat="1" applyBorder="1"/>
    <xf numFmtId="164" fontId="1" fillId="0" borderId="22" xfId="5" applyNumberFormat="1" applyBorder="1"/>
    <xf numFmtId="164" fontId="1" fillId="0" borderId="23" xfId="5" applyNumberFormat="1" applyBorder="1"/>
    <xf numFmtId="0" fontId="1" fillId="0" borderId="28" xfId="5" applyBorder="1"/>
    <xf numFmtId="164" fontId="2" fillId="0" borderId="22" xfId="5" applyNumberFormat="1" applyFont="1" applyBorder="1"/>
    <xf numFmtId="164" fontId="2" fillId="0" borderId="23" xfId="5" applyNumberFormat="1" applyFont="1" applyBorder="1"/>
    <xf numFmtId="164" fontId="2" fillId="0" borderId="27" xfId="5" applyNumberFormat="1" applyFont="1" applyFill="1" applyBorder="1"/>
    <xf numFmtId="0" fontId="1" fillId="0" borderId="25" xfId="5" applyFont="1" applyBorder="1"/>
    <xf numFmtId="165" fontId="1" fillId="0" borderId="29" xfId="2" applyNumberFormat="1" applyFont="1" applyBorder="1"/>
    <xf numFmtId="165" fontId="4" fillId="0" borderId="31" xfId="5" applyNumberFormat="1" applyFont="1" applyBorder="1"/>
    <xf numFmtId="0" fontId="1" fillId="0" borderId="19" xfId="5" applyFont="1" applyBorder="1"/>
    <xf numFmtId="164" fontId="2" fillId="0" borderId="19" xfId="5" applyNumberFormat="1" applyFont="1" applyFill="1" applyBorder="1"/>
    <xf numFmtId="0" fontId="9" fillId="0" borderId="19" xfId="5" applyFont="1" applyBorder="1"/>
    <xf numFmtId="167" fontId="9" fillId="0" borderId="29" xfId="2" applyNumberFormat="1" applyFont="1" applyBorder="1"/>
    <xf numFmtId="167" fontId="9" fillId="0" borderId="19" xfId="2" applyNumberFormat="1" applyFont="1" applyBorder="1"/>
    <xf numFmtId="9" fontId="4" fillId="0" borderId="19" xfId="5" applyNumberFormat="1" applyFont="1" applyBorder="1"/>
    <xf numFmtId="0" fontId="23" fillId="0" borderId="19" xfId="5" applyFont="1" applyBorder="1"/>
    <xf numFmtId="164" fontId="2" fillId="0" borderId="30" xfId="5" applyNumberFormat="1" applyFont="1" applyBorder="1"/>
    <xf numFmtId="164" fontId="2" fillId="0" borderId="28" xfId="5" applyNumberFormat="1" applyFont="1" applyBorder="1"/>
    <xf numFmtId="0" fontId="1" fillId="0" borderId="23" xfId="5" applyBorder="1"/>
    <xf numFmtId="167" fontId="4" fillId="0" borderId="22" xfId="5" applyNumberFormat="1" applyFont="1" applyBorder="1"/>
    <xf numFmtId="167" fontId="4" fillId="0" borderId="26" xfId="5" applyNumberFormat="1" applyFont="1" applyBorder="1"/>
    <xf numFmtId="0" fontId="1" fillId="0" borderId="26" xfId="5" applyBorder="1"/>
    <xf numFmtId="167" fontId="5" fillId="0" borderId="25" xfId="5" applyNumberFormat="1" applyFont="1" applyBorder="1" applyAlignment="1">
      <alignment horizontal="right"/>
    </xf>
    <xf numFmtId="167" fontId="5" fillId="0" borderId="25" xfId="5" applyNumberFormat="1" applyFont="1" applyBorder="1"/>
    <xf numFmtId="167" fontId="5" fillId="0" borderId="26" xfId="5" applyNumberFormat="1" applyFont="1" applyBorder="1"/>
    <xf numFmtId="167" fontId="24" fillId="0" borderId="25" xfId="5" applyNumberFormat="1" applyFont="1" applyBorder="1" applyAlignment="1">
      <alignment horizontal="right"/>
    </xf>
    <xf numFmtId="167" fontId="24" fillId="0" borderId="25" xfId="5" applyNumberFormat="1" applyFont="1" applyBorder="1"/>
    <xf numFmtId="167" fontId="24" fillId="0" borderId="26" xfId="5" applyNumberFormat="1" applyFont="1" applyBorder="1"/>
    <xf numFmtId="167" fontId="24" fillId="0" borderId="0" xfId="5" applyNumberFormat="1" applyFont="1" applyBorder="1"/>
    <xf numFmtId="0" fontId="1" fillId="0" borderId="26" xfId="5" applyFill="1" applyBorder="1"/>
    <xf numFmtId="167" fontId="1" fillId="0" borderId="25" xfId="5" applyNumberFormat="1" applyBorder="1" applyAlignment="1">
      <alignment horizontal="right"/>
    </xf>
    <xf numFmtId="167" fontId="1" fillId="0" borderId="25" xfId="5" applyNumberFormat="1" applyBorder="1"/>
    <xf numFmtId="167" fontId="1" fillId="0" borderId="26" xfId="5" applyNumberFormat="1" applyBorder="1"/>
    <xf numFmtId="167" fontId="1" fillId="0" borderId="0" xfId="5" applyNumberFormat="1" applyBorder="1"/>
    <xf numFmtId="0" fontId="1" fillId="0" borderId="30" xfId="5" applyFill="1" applyBorder="1"/>
    <xf numFmtId="167" fontId="1" fillId="0" borderId="28" xfId="5" applyNumberFormat="1" applyBorder="1" applyAlignment="1">
      <alignment horizontal="right"/>
    </xf>
    <xf numFmtId="167" fontId="1" fillId="0" borderId="28" xfId="5" applyNumberFormat="1" applyBorder="1"/>
    <xf numFmtId="164" fontId="1" fillId="0" borderId="18" xfId="5" applyNumberFormat="1" applyBorder="1"/>
    <xf numFmtId="9" fontId="4" fillId="0" borderId="0" xfId="5" applyNumberFormat="1" applyFont="1" applyBorder="1"/>
    <xf numFmtId="171" fontId="2" fillId="0" borderId="2" xfId="5" applyNumberFormat="1" applyFont="1" applyBorder="1"/>
    <xf numFmtId="165" fontId="18" fillId="0" borderId="0" xfId="5" applyNumberFormat="1" applyFont="1"/>
    <xf numFmtId="165" fontId="1" fillId="0" borderId="28" xfId="2" applyNumberFormat="1" applyFont="1" applyBorder="1"/>
    <xf numFmtId="167" fontId="9" fillId="0" borderId="28" xfId="2" applyNumberFormat="1" applyFont="1" applyBorder="1"/>
    <xf numFmtId="0" fontId="2" fillId="0" borderId="0" xfId="3" applyFont="1"/>
    <xf numFmtId="0" fontId="2" fillId="0" borderId="0" xfId="3" applyFont="1" applyBorder="1"/>
    <xf numFmtId="171" fontId="2" fillId="0" borderId="0" xfId="3" applyNumberFormat="1" applyFont="1" applyBorder="1"/>
    <xf numFmtId="0" fontId="8" fillId="0" borderId="0" xfId="3"/>
    <xf numFmtId="0" fontId="2" fillId="8" borderId="19" xfId="3" applyFont="1" applyFill="1" applyBorder="1"/>
    <xf numFmtId="0" fontId="9" fillId="0" borderId="22" xfId="3" applyFont="1" applyFill="1" applyBorder="1"/>
    <xf numFmtId="165" fontId="8" fillId="0" borderId="22" xfId="3" applyNumberFormat="1" applyBorder="1"/>
    <xf numFmtId="0" fontId="9" fillId="0" borderId="25" xfId="3" applyFont="1" applyFill="1" applyBorder="1"/>
    <xf numFmtId="165" fontId="8" fillId="0" borderId="25" xfId="3" applyNumberFormat="1" applyBorder="1"/>
    <xf numFmtId="0" fontId="9" fillId="0" borderId="25" xfId="3" applyFont="1" applyBorder="1"/>
    <xf numFmtId="165" fontId="9" fillId="0" borderId="28" xfId="6" applyNumberFormat="1" applyFont="1" applyBorder="1"/>
    <xf numFmtId="0" fontId="2" fillId="0" borderId="19" xfId="3" applyFont="1" applyBorder="1"/>
    <xf numFmtId="0" fontId="9" fillId="0" borderId="19" xfId="3" applyFont="1" applyBorder="1"/>
    <xf numFmtId="167" fontId="9" fillId="0" borderId="19" xfId="6" applyNumberFormat="1" applyFont="1" applyBorder="1"/>
    <xf numFmtId="167" fontId="25" fillId="0" borderId="19" xfId="6" applyNumberFormat="1" applyFont="1" applyBorder="1"/>
    <xf numFmtId="0" fontId="9" fillId="0" borderId="19" xfId="3" applyFont="1" applyFill="1" applyBorder="1"/>
    <xf numFmtId="0" fontId="8" fillId="0" borderId="0" xfId="3" applyBorder="1"/>
    <xf numFmtId="3" fontId="8" fillId="0" borderId="0" xfId="3" applyNumberFormat="1" applyBorder="1"/>
    <xf numFmtId="0" fontId="8" fillId="0" borderId="8" xfId="3" applyBorder="1"/>
    <xf numFmtId="164" fontId="8" fillId="0" borderId="18" xfId="3" applyNumberFormat="1" applyBorder="1"/>
    <xf numFmtId="165" fontId="5" fillId="0" borderId="0" xfId="3" applyNumberFormat="1" applyFont="1" applyBorder="1"/>
    <xf numFmtId="0" fontId="8" fillId="0" borderId="5" xfId="3" applyBorder="1"/>
    <xf numFmtId="164" fontId="8" fillId="0" borderId="12" xfId="3" applyNumberFormat="1" applyBorder="1"/>
    <xf numFmtId="9" fontId="4" fillId="0" borderId="0" xfId="3" applyNumberFormat="1" applyFont="1" applyBorder="1"/>
    <xf numFmtId="9" fontId="1" fillId="0" borderId="0" xfId="3" applyNumberFormat="1" applyFont="1" applyBorder="1"/>
    <xf numFmtId="0" fontId="2" fillId="0" borderId="13" xfId="3" applyFont="1" applyBorder="1"/>
    <xf numFmtId="171" fontId="2" fillId="0" borderId="2" xfId="3" applyNumberFormat="1" applyFont="1" applyBorder="1"/>
    <xf numFmtId="0" fontId="2" fillId="8" borderId="21" xfId="5" applyFont="1" applyFill="1" applyBorder="1"/>
    <xf numFmtId="0" fontId="7" fillId="0" borderId="19" xfId="5" applyFont="1" applyFill="1" applyBorder="1" applyAlignment="1">
      <alignment horizontal="right"/>
    </xf>
    <xf numFmtId="0" fontId="7" fillId="0" borderId="22" xfId="5" applyFont="1" applyFill="1" applyBorder="1" applyAlignment="1">
      <alignment horizontal="right"/>
    </xf>
    <xf numFmtId="0" fontId="9" fillId="0" borderId="23" xfId="5" applyFont="1" applyFill="1" applyBorder="1"/>
    <xf numFmtId="165" fontId="1" fillId="0" borderId="25" xfId="5" quotePrefix="1" applyNumberFormat="1" applyBorder="1" applyAlignment="1">
      <alignment horizontal="center"/>
    </xf>
    <xf numFmtId="0" fontId="9" fillId="0" borderId="26" xfId="5" applyFont="1" applyFill="1" applyBorder="1"/>
    <xf numFmtId="165" fontId="1" fillId="0" borderId="28" xfId="5" quotePrefix="1" applyNumberFormat="1" applyBorder="1" applyAlignment="1">
      <alignment horizontal="center"/>
    </xf>
    <xf numFmtId="0" fontId="9" fillId="0" borderId="30" xfId="5" applyFont="1" applyBorder="1"/>
    <xf numFmtId="3" fontId="1" fillId="0" borderId="28" xfId="5" applyNumberFormat="1" applyBorder="1"/>
    <xf numFmtId="0" fontId="9" fillId="0" borderId="30" xfId="5" applyFont="1" applyFill="1" applyBorder="1"/>
    <xf numFmtId="165" fontId="2" fillId="0" borderId="28" xfId="5" applyNumberFormat="1" applyFont="1" applyBorder="1"/>
    <xf numFmtId="0" fontId="9" fillId="0" borderId="0" xfId="5" applyFont="1" applyFill="1" applyBorder="1"/>
    <xf numFmtId="165" fontId="2" fillId="0" borderId="0" xfId="5" applyNumberFormat="1" applyFont="1" applyBorder="1"/>
    <xf numFmtId="165" fontId="1" fillId="0" borderId="0" xfId="5" applyNumberFormat="1"/>
    <xf numFmtId="0" fontId="2" fillId="0" borderId="11" xfId="5" applyFont="1" applyBorder="1"/>
    <xf numFmtId="165" fontId="2" fillId="0" borderId="11" xfId="5" applyNumberFormat="1" applyFont="1" applyBorder="1"/>
    <xf numFmtId="0" fontId="26" fillId="0" borderId="0" xfId="5" applyFont="1"/>
    <xf numFmtId="165" fontId="26" fillId="0" borderId="0" xfId="5" applyNumberFormat="1" applyFont="1"/>
    <xf numFmtId="164" fontId="2" fillId="0" borderId="11" xfId="5" applyNumberFormat="1" applyFont="1" applyBorder="1"/>
    <xf numFmtId="170" fontId="26" fillId="0" borderId="0" xfId="5" applyNumberFormat="1" applyFont="1"/>
    <xf numFmtId="170" fontId="1" fillId="0" borderId="0" xfId="5" applyNumberFormat="1"/>
    <xf numFmtId="0" fontId="0" fillId="0" borderId="0" xfId="5" applyFont="1" applyBorder="1" applyAlignment="1">
      <alignment horizontal="left"/>
    </xf>
    <xf numFmtId="167" fontId="5" fillId="0" borderId="0" xfId="2" applyNumberFormat="1" applyFont="1" applyFill="1" applyBorder="1"/>
    <xf numFmtId="0" fontId="18" fillId="0" borderId="0" xfId="1" applyFont="1"/>
    <xf numFmtId="166" fontId="18" fillId="0" borderId="0" xfId="1" applyNumberFormat="1" applyFont="1"/>
    <xf numFmtId="0" fontId="18" fillId="0" borderId="0" xfId="0" applyFont="1"/>
    <xf numFmtId="0" fontId="2" fillId="4" borderId="0" xfId="10" applyFont="1" applyFill="1" applyAlignment="1">
      <alignment horizontal="center"/>
    </xf>
    <xf numFmtId="0" fontId="1" fillId="4" borderId="0" xfId="10" applyFill="1"/>
    <xf numFmtId="0" fontId="1" fillId="4" borderId="0" xfId="10" applyFill="1" applyAlignment="1">
      <alignment horizontal="left"/>
    </xf>
    <xf numFmtId="0" fontId="27" fillId="6" borderId="8" xfId="10" applyFont="1" applyFill="1" applyBorder="1" applyAlignment="1">
      <alignment horizontal="left" wrapText="1"/>
    </xf>
    <xf numFmtId="0" fontId="27" fillId="6" borderId="4" xfId="10" applyFont="1" applyFill="1" applyBorder="1" applyAlignment="1">
      <alignment horizontal="left" wrapText="1"/>
    </xf>
    <xf numFmtId="0" fontId="27" fillId="6" borderId="1" xfId="10" applyFont="1" applyFill="1" applyBorder="1" applyAlignment="1">
      <alignment horizontal="left"/>
    </xf>
    <xf numFmtId="0" fontId="27" fillId="6" borderId="3" xfId="10" applyFont="1" applyFill="1" applyBorder="1" applyAlignment="1">
      <alignment horizontal="right" wrapText="1"/>
    </xf>
    <xf numFmtId="0" fontId="27" fillId="6" borderId="16" xfId="10" applyFont="1" applyFill="1" applyBorder="1" applyAlignment="1">
      <alignment horizontal="right" wrapText="1"/>
    </xf>
    <xf numFmtId="0" fontId="27" fillId="6" borderId="4" xfId="10" applyFont="1" applyFill="1" applyBorder="1" applyAlignment="1">
      <alignment horizontal="right" wrapText="1"/>
    </xf>
    <xf numFmtId="0" fontId="27" fillId="6" borderId="13" xfId="10" applyFont="1" applyFill="1" applyBorder="1" applyAlignment="1">
      <alignment horizontal="left" wrapText="1"/>
    </xf>
    <xf numFmtId="0" fontId="27" fillId="6" borderId="15" xfId="10" applyFont="1" applyFill="1" applyBorder="1" applyAlignment="1">
      <alignment horizontal="left" wrapText="1"/>
    </xf>
    <xf numFmtId="0" fontId="27" fillId="6" borderId="13" xfId="10" applyFont="1" applyFill="1" applyBorder="1" applyAlignment="1">
      <alignment horizontal="right" wrapText="1"/>
    </xf>
    <xf numFmtId="0" fontId="27" fillId="6" borderId="15" xfId="10" applyFont="1" applyFill="1" applyBorder="1" applyAlignment="1">
      <alignment horizontal="right" wrapText="1"/>
    </xf>
    <xf numFmtId="0" fontId="27" fillId="6" borderId="17" xfId="10" applyFont="1" applyFill="1" applyBorder="1" applyAlignment="1">
      <alignment horizontal="right" wrapText="1"/>
    </xf>
    <xf numFmtId="0" fontId="28" fillId="4" borderId="5" xfId="10" applyFont="1" applyFill="1" applyBorder="1"/>
    <xf numFmtId="0" fontId="28" fillId="4" borderId="0" xfId="10" applyFont="1" applyFill="1" applyBorder="1" applyAlignment="1">
      <alignment horizontal="left"/>
    </xf>
    <xf numFmtId="0" fontId="1" fillId="4" borderId="0" xfId="10" applyFill="1" applyBorder="1" applyAlignment="1">
      <alignment horizontal="left"/>
    </xf>
    <xf numFmtId="172" fontId="2" fillId="4" borderId="5" xfId="10" applyNumberFormat="1" applyFont="1" applyFill="1" applyBorder="1" applyAlignment="1">
      <alignment horizontal="right" vertical="center"/>
    </xf>
    <xf numFmtId="172" fontId="2" fillId="4" borderId="0" xfId="10" applyNumberFormat="1" applyFont="1" applyFill="1" applyBorder="1" applyAlignment="1">
      <alignment horizontal="right" vertical="center"/>
    </xf>
    <xf numFmtId="0" fontId="2" fillId="4" borderId="0" xfId="10" applyFont="1" applyFill="1" applyBorder="1"/>
    <xf numFmtId="171" fontId="2" fillId="4" borderId="12" xfId="10" applyNumberFormat="1" applyFont="1" applyFill="1" applyBorder="1" applyAlignment="1">
      <alignment horizontal="right" vertical="center"/>
    </xf>
    <xf numFmtId="172" fontId="2" fillId="4" borderId="12" xfId="10" applyNumberFormat="1" applyFont="1" applyFill="1" applyBorder="1" applyAlignment="1">
      <alignment horizontal="right" vertical="center"/>
    </xf>
    <xf numFmtId="0" fontId="1" fillId="4" borderId="0" xfId="10" applyFont="1" applyFill="1" applyBorder="1" applyAlignment="1">
      <alignment vertical="center" wrapText="1"/>
    </xf>
    <xf numFmtId="0" fontId="1" fillId="4" borderId="5" xfId="10" applyFont="1" applyFill="1" applyBorder="1" applyAlignment="1">
      <alignment horizontal="left" vertical="center" wrapText="1" indent="1"/>
    </xf>
    <xf numFmtId="0" fontId="1" fillId="4" borderId="0" xfId="10" applyFont="1" applyFill="1" applyBorder="1" applyAlignment="1">
      <alignment horizontal="left" vertical="center" wrapText="1"/>
    </xf>
    <xf numFmtId="9" fontId="1" fillId="4" borderId="0" xfId="10" applyNumberFormat="1" applyFont="1" applyFill="1" applyBorder="1" applyAlignment="1">
      <alignment horizontal="left"/>
    </xf>
    <xf numFmtId="0" fontId="1" fillId="4" borderId="0" xfId="10" applyFont="1" applyFill="1" applyBorder="1" applyAlignment="1">
      <alignment horizontal="left"/>
    </xf>
    <xf numFmtId="172" fontId="1" fillId="4" borderId="5" xfId="10" applyNumberFormat="1" applyFont="1" applyFill="1" applyBorder="1" applyAlignment="1">
      <alignment horizontal="right" vertical="center"/>
    </xf>
    <xf numFmtId="172" fontId="1" fillId="4" borderId="0" xfId="10" applyNumberFormat="1" applyFont="1" applyFill="1" applyBorder="1" applyAlignment="1">
      <alignment horizontal="right" vertical="center"/>
    </xf>
    <xf numFmtId="172" fontId="1" fillId="4" borderId="12" xfId="10" applyNumberFormat="1" applyFont="1" applyFill="1" applyBorder="1" applyAlignment="1">
      <alignment horizontal="right" vertical="center"/>
    </xf>
    <xf numFmtId="9" fontId="1" fillId="4" borderId="0" xfId="10" applyNumberFormat="1" applyFont="1" applyFill="1" applyBorder="1"/>
    <xf numFmtId="0" fontId="2" fillId="4" borderId="5" xfId="10" applyFont="1" applyFill="1" applyBorder="1"/>
    <xf numFmtId="0" fontId="2" fillId="4" borderId="0" xfId="10" applyFont="1" applyFill="1" applyBorder="1" applyAlignment="1">
      <alignment horizontal="left"/>
    </xf>
    <xf numFmtId="0" fontId="1" fillId="4" borderId="0" xfId="10" quotePrefix="1" applyFill="1" applyBorder="1" applyAlignment="1">
      <alignment horizontal="left"/>
    </xf>
    <xf numFmtId="0" fontId="1" fillId="4" borderId="0" xfId="10" quotePrefix="1" applyFill="1" applyBorder="1" applyAlignment="1">
      <alignment horizontal="right"/>
    </xf>
    <xf numFmtId="0" fontId="1" fillId="4" borderId="5" xfId="10" applyFill="1" applyBorder="1"/>
    <xf numFmtId="172" fontId="1" fillId="4" borderId="0" xfId="10" applyNumberFormat="1" applyFill="1" applyBorder="1"/>
    <xf numFmtId="172" fontId="1" fillId="4" borderId="12" xfId="10" applyNumberFormat="1" applyFill="1" applyBorder="1"/>
    <xf numFmtId="0" fontId="1" fillId="4" borderId="0" xfId="10" applyFill="1" applyBorder="1"/>
    <xf numFmtId="172" fontId="1" fillId="4" borderId="5" xfId="10" applyNumberFormat="1" applyFill="1" applyBorder="1"/>
    <xf numFmtId="171" fontId="2" fillId="4" borderId="5" xfId="10" applyNumberFormat="1" applyFont="1" applyFill="1" applyBorder="1" applyAlignment="1">
      <alignment horizontal="center" vertical="center"/>
    </xf>
    <xf numFmtId="0" fontId="2" fillId="4" borderId="5" xfId="10" applyFont="1" applyFill="1" applyBorder="1" applyAlignment="1">
      <alignment horizontal="left" indent="1"/>
    </xf>
    <xf numFmtId="0" fontId="2" fillId="4" borderId="0" xfId="10" applyFont="1" applyFill="1" applyBorder="1" applyAlignment="1">
      <alignment horizontal="left" indent="1"/>
    </xf>
    <xf numFmtId="171" fontId="2" fillId="4" borderId="5" xfId="10" quotePrefix="1" applyNumberFormat="1" applyFont="1" applyFill="1" applyBorder="1" applyAlignment="1">
      <alignment horizontal="right" vertical="center"/>
    </xf>
    <xf numFmtId="171" fontId="2" fillId="4" borderId="0" xfId="10" quotePrefix="1" applyNumberFormat="1" applyFont="1" applyFill="1" applyBorder="1" applyAlignment="1">
      <alignment horizontal="right" vertical="center"/>
    </xf>
    <xf numFmtId="0" fontId="7" fillId="4" borderId="5" xfId="10" applyFont="1" applyFill="1" applyBorder="1" applyAlignment="1">
      <alignment horizontal="left" indent="1"/>
    </xf>
    <xf numFmtId="0" fontId="7" fillId="4" borderId="0" xfId="10" applyFont="1" applyFill="1" applyBorder="1" applyAlignment="1">
      <alignment horizontal="left" indent="1"/>
    </xf>
    <xf numFmtId="0" fontId="7" fillId="4" borderId="0" xfId="10" applyFont="1" applyFill="1" applyBorder="1" applyAlignment="1">
      <alignment horizontal="left"/>
    </xf>
    <xf numFmtId="0" fontId="2" fillId="9" borderId="1" xfId="10" applyFont="1" applyFill="1" applyBorder="1"/>
    <xf numFmtId="0" fontId="2" fillId="9" borderId="3" xfId="10" applyFont="1" applyFill="1" applyBorder="1" applyAlignment="1">
      <alignment horizontal="left"/>
    </xf>
    <xf numFmtId="171" fontId="2" fillId="9" borderId="1" xfId="10" quotePrefix="1" applyNumberFormat="1" applyFont="1" applyFill="1" applyBorder="1" applyAlignment="1">
      <alignment horizontal="right" vertical="center"/>
    </xf>
    <xf numFmtId="172" fontId="2" fillId="9" borderId="3" xfId="10" applyNumberFormat="1" applyFont="1" applyFill="1" applyBorder="1"/>
    <xf numFmtId="172" fontId="2" fillId="9" borderId="16" xfId="10" applyNumberFormat="1" applyFont="1" applyFill="1" applyBorder="1"/>
    <xf numFmtId="171" fontId="2" fillId="9" borderId="3" xfId="10" quotePrefix="1" applyNumberFormat="1" applyFont="1" applyFill="1" applyBorder="1" applyAlignment="1">
      <alignment horizontal="right" vertical="center"/>
    </xf>
    <xf numFmtId="172" fontId="2" fillId="9" borderId="1" xfId="10" applyNumberFormat="1" applyFont="1" applyFill="1" applyBorder="1"/>
    <xf numFmtId="172" fontId="2" fillId="9" borderId="16" xfId="10" quotePrefix="1" applyNumberFormat="1" applyFont="1" applyFill="1" applyBorder="1" applyAlignment="1">
      <alignment horizontal="right" vertical="center"/>
    </xf>
    <xf numFmtId="0" fontId="29" fillId="4" borderId="0" xfId="10" applyFont="1" applyFill="1" applyAlignment="1">
      <alignment horizontal="left"/>
    </xf>
    <xf numFmtId="0" fontId="30" fillId="4" borderId="0" xfId="10" applyFont="1" applyFill="1" applyAlignment="1">
      <alignment horizontal="left"/>
    </xf>
    <xf numFmtId="0" fontId="3" fillId="4" borderId="0" xfId="10" applyFont="1" applyFill="1"/>
    <xf numFmtId="0" fontId="1" fillId="4" borderId="0" xfId="10" applyFont="1" applyFill="1"/>
    <xf numFmtId="0" fontId="1" fillId="4" borderId="0" xfId="1" applyFill="1"/>
    <xf numFmtId="0" fontId="1" fillId="4" borderId="0" xfId="1" applyFont="1" applyFill="1"/>
    <xf numFmtId="174" fontId="1" fillId="4" borderId="0" xfId="10" applyNumberFormat="1" applyFill="1"/>
    <xf numFmtId="0" fontId="1" fillId="4" borderId="0" xfId="10" applyFont="1" applyFill="1" applyAlignment="1">
      <alignment wrapText="1"/>
    </xf>
    <xf numFmtId="175" fontId="1" fillId="10" borderId="0" xfId="7" applyNumberFormat="1" applyFont="1" applyFill="1"/>
    <xf numFmtId="175" fontId="1" fillId="4" borderId="0" xfId="7" applyNumberFormat="1" applyFont="1" applyFill="1"/>
    <xf numFmtId="0" fontId="0" fillId="4" borderId="0" xfId="10" applyFont="1" applyFill="1" applyBorder="1" applyAlignment="1">
      <alignment vertical="center" wrapText="1"/>
    </xf>
    <xf numFmtId="0" fontId="0" fillId="4" borderId="0" xfId="10" applyFont="1" applyFill="1"/>
    <xf numFmtId="174" fontId="1" fillId="4" borderId="0" xfId="8" applyNumberFormat="1" applyFill="1"/>
    <xf numFmtId="0" fontId="32" fillId="0" borderId="0" xfId="4" applyFont="1"/>
    <xf numFmtId="0" fontId="32" fillId="0" borderId="0" xfId="4" applyFont="1" applyAlignment="1">
      <alignment horizontal="left"/>
    </xf>
    <xf numFmtId="0" fontId="33" fillId="11" borderId="0" xfId="4" applyFont="1" applyFill="1" applyAlignment="1">
      <alignment horizontal="left"/>
    </xf>
    <xf numFmtId="0" fontId="32" fillId="12" borderId="0" xfId="4" applyFont="1" applyFill="1" applyAlignment="1">
      <alignment horizontal="right"/>
    </xf>
    <xf numFmtId="0" fontId="32" fillId="0" borderId="0" xfId="4" applyFont="1" applyAlignment="1">
      <alignment horizontal="right"/>
    </xf>
    <xf numFmtId="167" fontId="5" fillId="0" borderId="5" xfId="5" applyNumberFormat="1" applyFont="1" applyBorder="1"/>
    <xf numFmtId="0" fontId="2" fillId="4" borderId="2" xfId="5" applyFont="1" applyFill="1" applyBorder="1" applyAlignment="1">
      <alignment horizontal="right"/>
    </xf>
    <xf numFmtId="0" fontId="1" fillId="4" borderId="6" xfId="5" applyFill="1" applyBorder="1"/>
    <xf numFmtId="0" fontId="2" fillId="4" borderId="6" xfId="5" applyFont="1" applyFill="1" applyBorder="1" applyAlignment="1">
      <alignment horizontal="right"/>
    </xf>
    <xf numFmtId="3" fontId="1" fillId="4" borderId="6" xfId="5" applyNumberFormat="1" applyFill="1" applyBorder="1"/>
    <xf numFmtId="0" fontId="9" fillId="4" borderId="6" xfId="5" applyFont="1" applyFill="1" applyBorder="1"/>
    <xf numFmtId="3" fontId="1" fillId="13" borderId="6" xfId="5" applyNumberFormat="1" applyFill="1" applyBorder="1"/>
    <xf numFmtId="0" fontId="9" fillId="4" borderId="6" xfId="3" applyFont="1" applyFill="1" applyBorder="1"/>
    <xf numFmtId="168" fontId="1" fillId="4" borderId="6" xfId="5" applyNumberFormat="1" applyFill="1" applyBorder="1"/>
    <xf numFmtId="168" fontId="1" fillId="13" borderId="6" xfId="5" applyNumberFormat="1" applyFill="1" applyBorder="1"/>
    <xf numFmtId="0" fontId="9" fillId="4" borderId="14" xfId="3" applyFont="1" applyFill="1" applyBorder="1"/>
    <xf numFmtId="0" fontId="1" fillId="0" borderId="0" xfId="5" applyFill="1" applyAlignment="1">
      <alignment horizontal="right"/>
    </xf>
    <xf numFmtId="0" fontId="2" fillId="4" borderId="23" xfId="5" applyFont="1" applyFill="1" applyBorder="1"/>
    <xf numFmtId="0" fontId="2" fillId="4" borderId="11" xfId="5" applyFont="1" applyFill="1" applyBorder="1"/>
    <xf numFmtId="0" fontId="2" fillId="4" borderId="24" xfId="5" applyFont="1" applyFill="1" applyBorder="1"/>
    <xf numFmtId="168" fontId="1" fillId="4" borderId="26" xfId="5" applyNumberFormat="1" applyFill="1" applyBorder="1"/>
    <xf numFmtId="168" fontId="1" fillId="4" borderId="0" xfId="5" applyNumberFormat="1" applyFill="1" applyBorder="1"/>
    <xf numFmtId="164" fontId="1" fillId="4" borderId="27" xfId="5" applyNumberFormat="1" applyFill="1" applyBorder="1"/>
    <xf numFmtId="0" fontId="1" fillId="4" borderId="26" xfId="5" applyFill="1" applyBorder="1"/>
    <xf numFmtId="0" fontId="2" fillId="4" borderId="0" xfId="5" applyFont="1" applyFill="1" applyBorder="1"/>
    <xf numFmtId="0" fontId="2" fillId="4" borderId="27" xfId="5" applyFont="1" applyFill="1" applyBorder="1"/>
    <xf numFmtId="0" fontId="1" fillId="4" borderId="30" xfId="5" applyFill="1" applyBorder="1" applyAlignment="1">
      <alignment horizontal="right"/>
    </xf>
    <xf numFmtId="168" fontId="1" fillId="4" borderId="29" xfId="5" applyNumberFormat="1" applyFill="1" applyBorder="1" applyAlignment="1">
      <alignment horizontal="right"/>
    </xf>
    <xf numFmtId="164" fontId="1" fillId="4" borderId="31" xfId="5" applyNumberFormat="1" applyFont="1" applyFill="1" applyBorder="1" applyAlignment="1">
      <alignment horizontal="right"/>
    </xf>
    <xf numFmtId="0" fontId="2" fillId="0" borderId="23" xfId="5" applyFont="1" applyBorder="1"/>
    <xf numFmtId="0" fontId="2" fillId="0" borderId="24" xfId="5" applyFont="1" applyBorder="1"/>
    <xf numFmtId="165" fontId="1" fillId="0" borderId="30" xfId="5" applyNumberFormat="1" applyFill="1" applyBorder="1"/>
    <xf numFmtId="165" fontId="1" fillId="0" borderId="29" xfId="5" applyNumberFormat="1" applyFill="1" applyBorder="1"/>
    <xf numFmtId="165" fontId="1" fillId="0" borderId="31" xfId="5" applyNumberFormat="1" applyBorder="1"/>
    <xf numFmtId="164" fontId="4" fillId="0" borderId="6" xfId="0" applyNumberFormat="1" applyFont="1" applyBorder="1"/>
    <xf numFmtId="164" fontId="1" fillId="0" borderId="7" xfId="5" applyNumberFormat="1" applyBorder="1"/>
    <xf numFmtId="0" fontId="1" fillId="0" borderId="13" xfId="5" applyBorder="1"/>
    <xf numFmtId="164" fontId="1" fillId="0" borderId="14" xfId="5" applyNumberFormat="1" applyBorder="1"/>
    <xf numFmtId="0" fontId="0" fillId="0" borderId="13" xfId="5" applyFont="1" applyBorder="1"/>
    <xf numFmtId="164" fontId="0" fillId="0" borderId="6" xfId="0" applyNumberFormat="1" applyFill="1" applyBorder="1"/>
    <xf numFmtId="164" fontId="1" fillId="0" borderId="6" xfId="1" applyNumberFormat="1" applyFill="1" applyBorder="1"/>
    <xf numFmtId="0" fontId="34" fillId="4" borderId="23" xfId="3" applyFont="1" applyFill="1" applyBorder="1"/>
    <xf numFmtId="0" fontId="35" fillId="4" borderId="11" xfId="3" applyFont="1" applyFill="1" applyBorder="1"/>
    <xf numFmtId="38" fontId="36" fillId="4" borderId="11" xfId="11" applyNumberFormat="1" applyFont="1" applyFill="1" applyBorder="1" applyAlignment="1">
      <alignment horizontal="right"/>
    </xf>
    <xf numFmtId="38" fontId="36" fillId="4" borderId="24" xfId="11" applyNumberFormat="1" applyFont="1" applyFill="1" applyBorder="1" applyAlignment="1">
      <alignment horizontal="right"/>
    </xf>
    <xf numFmtId="0" fontId="35" fillId="4" borderId="0" xfId="3" applyFont="1" applyFill="1" applyBorder="1"/>
    <xf numFmtId="38" fontId="38" fillId="4" borderId="0" xfId="11" applyNumberFormat="1" applyFont="1" applyFill="1" applyBorder="1" applyAlignment="1">
      <alignment horizontal="right"/>
    </xf>
    <xf numFmtId="0" fontId="35" fillId="4" borderId="27" xfId="3" applyFont="1" applyFill="1" applyBorder="1"/>
    <xf numFmtId="0" fontId="37" fillId="3" borderId="33" xfId="3" applyFont="1" applyFill="1" applyBorder="1" applyAlignment="1">
      <alignment horizontal="right"/>
    </xf>
    <xf numFmtId="0" fontId="35" fillId="3" borderId="33" xfId="3" applyFont="1" applyFill="1" applyBorder="1"/>
    <xf numFmtId="0" fontId="35" fillId="4" borderId="0" xfId="3" applyFont="1" applyFill="1" applyBorder="1" applyAlignment="1">
      <alignment horizontal="right"/>
    </xf>
    <xf numFmtId="165" fontId="35" fillId="4" borderId="0" xfId="3" applyNumberFormat="1" applyFont="1" applyFill="1" applyBorder="1" applyAlignment="1">
      <alignment horizontal="right"/>
    </xf>
    <xf numFmtId="165" fontId="39" fillId="4" borderId="0" xfId="3" applyNumberFormat="1" applyFont="1" applyFill="1" applyBorder="1" applyAlignment="1">
      <alignment horizontal="right"/>
    </xf>
    <xf numFmtId="167" fontId="35" fillId="4" borderId="0" xfId="12" applyNumberFormat="1" applyFont="1" applyFill="1" applyBorder="1" applyAlignment="1">
      <alignment horizontal="right"/>
    </xf>
    <xf numFmtId="164" fontId="39" fillId="4" borderId="0" xfId="3" applyNumberFormat="1" applyFont="1" applyFill="1" applyBorder="1" applyAlignment="1">
      <alignment horizontal="right"/>
    </xf>
    <xf numFmtId="165" fontId="35" fillId="4" borderId="0" xfId="3" applyNumberFormat="1" applyFont="1" applyFill="1" applyBorder="1"/>
    <xf numFmtId="165" fontId="37" fillId="4" borderId="0" xfId="3" applyNumberFormat="1" applyFont="1" applyFill="1" applyBorder="1" applyAlignment="1">
      <alignment horizontal="right"/>
    </xf>
    <xf numFmtId="0" fontId="37" fillId="4" borderId="0" xfId="3" applyFont="1" applyFill="1" applyBorder="1"/>
    <xf numFmtId="167" fontId="37" fillId="4" borderId="0" xfId="12" applyNumberFormat="1" applyFont="1" applyFill="1" applyBorder="1" applyAlignment="1">
      <alignment horizontal="right"/>
    </xf>
    <xf numFmtId="165" fontId="37" fillId="4" borderId="0" xfId="3" applyNumberFormat="1" applyFont="1" applyFill="1" applyBorder="1"/>
    <xf numFmtId="1" fontId="35" fillId="4" borderId="0" xfId="3" applyNumberFormat="1" applyFont="1" applyFill="1" applyBorder="1" applyAlignment="1">
      <alignment horizontal="right"/>
    </xf>
    <xf numFmtId="0" fontId="0" fillId="4" borderId="0" xfId="3" applyFont="1" applyFill="1" applyBorder="1" applyAlignment="1">
      <alignment horizontal="right"/>
    </xf>
    <xf numFmtId="164" fontId="35" fillId="4" borderId="0" xfId="3" applyNumberFormat="1" applyFont="1" applyFill="1" applyBorder="1" applyAlignment="1">
      <alignment horizontal="right"/>
    </xf>
    <xf numFmtId="165" fontId="35" fillId="0" borderId="0" xfId="3" applyNumberFormat="1" applyFont="1" applyFill="1" applyBorder="1" applyAlignment="1">
      <alignment horizontal="right"/>
    </xf>
    <xf numFmtId="165" fontId="38" fillId="4" borderId="0" xfId="3" applyNumberFormat="1" applyFont="1" applyFill="1" applyBorder="1" applyAlignment="1">
      <alignment horizontal="right"/>
    </xf>
    <xf numFmtId="0" fontId="37" fillId="4" borderId="26" xfId="3" applyFont="1" applyFill="1" applyBorder="1"/>
    <xf numFmtId="0" fontId="9" fillId="4" borderId="0" xfId="3" applyFont="1" applyFill="1" applyBorder="1"/>
    <xf numFmtId="0" fontId="8" fillId="0" borderId="0" xfId="3" applyFill="1"/>
    <xf numFmtId="0" fontId="35" fillId="0" borderId="0" xfId="3" applyFont="1" applyFill="1"/>
    <xf numFmtId="0" fontId="35" fillId="3" borderId="34" xfId="3" applyFont="1" applyFill="1" applyBorder="1"/>
    <xf numFmtId="0" fontId="37" fillId="3" borderId="32" xfId="3" applyFont="1" applyFill="1" applyBorder="1" applyAlignment="1">
      <alignment horizontal="right"/>
    </xf>
    <xf numFmtId="0" fontId="35" fillId="3" borderId="32" xfId="3" applyFont="1" applyFill="1" applyBorder="1"/>
    <xf numFmtId="0" fontId="35" fillId="3" borderId="4" xfId="3" applyFont="1" applyFill="1" applyBorder="1"/>
    <xf numFmtId="0" fontId="35" fillId="3" borderId="18" xfId="3" applyFont="1" applyFill="1" applyBorder="1"/>
    <xf numFmtId="0" fontId="35" fillId="3" borderId="35" xfId="3" applyFont="1" applyFill="1" applyBorder="1"/>
    <xf numFmtId="0" fontId="37" fillId="14" borderId="37" xfId="3" applyFont="1" applyFill="1" applyBorder="1"/>
    <xf numFmtId="0" fontId="35" fillId="4" borderId="12" xfId="3" applyFont="1" applyFill="1" applyBorder="1"/>
    <xf numFmtId="0" fontId="35" fillId="4" borderId="5" xfId="3" applyFont="1" applyFill="1" applyBorder="1" applyAlignment="1">
      <alignment horizontal="left" indent="1"/>
    </xf>
    <xf numFmtId="165" fontId="35" fillId="4" borderId="12" xfId="3" applyNumberFormat="1" applyFont="1" applyFill="1" applyBorder="1" applyAlignment="1">
      <alignment horizontal="right"/>
    </xf>
    <xf numFmtId="0" fontId="37" fillId="4" borderId="5" xfId="3" applyFont="1" applyFill="1" applyBorder="1" applyAlignment="1">
      <alignment horizontal="left"/>
    </xf>
    <xf numFmtId="165" fontId="37" fillId="4" borderId="12" xfId="3" applyNumberFormat="1" applyFont="1" applyFill="1" applyBorder="1"/>
    <xf numFmtId="0" fontId="35" fillId="4" borderId="5" xfId="3" applyFont="1" applyFill="1" applyBorder="1"/>
    <xf numFmtId="165" fontId="35" fillId="4" borderId="12" xfId="3" applyNumberFormat="1" applyFont="1" applyFill="1" applyBorder="1"/>
    <xf numFmtId="0" fontId="35" fillId="0" borderId="5" xfId="0" applyFont="1" applyBorder="1"/>
    <xf numFmtId="0" fontId="37" fillId="4" borderId="13" xfId="3" applyFont="1" applyFill="1" applyBorder="1"/>
    <xf numFmtId="168" fontId="37" fillId="4" borderId="15" xfId="3" applyNumberFormat="1" applyFont="1" applyFill="1" applyBorder="1" applyAlignment="1">
      <alignment horizontal="right"/>
    </xf>
    <xf numFmtId="167" fontId="37" fillId="4" borderId="15" xfId="12" applyNumberFormat="1" applyFont="1" applyFill="1" applyBorder="1" applyAlignment="1">
      <alignment horizontal="right"/>
    </xf>
    <xf numFmtId="0" fontId="37" fillId="4" borderId="15" xfId="3" applyFont="1" applyFill="1" applyBorder="1"/>
    <xf numFmtId="168" fontId="37" fillId="4" borderId="17" xfId="3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16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5" xfId="0" applyFill="1" applyBorder="1"/>
    <xf numFmtId="0" fontId="0" fillId="0" borderId="12" xfId="0" applyFill="1" applyBorder="1"/>
    <xf numFmtId="171" fontId="0" fillId="0" borderId="0" xfId="0" applyNumberFormat="1" applyFill="1" applyBorder="1"/>
    <xf numFmtId="171" fontId="0" fillId="0" borderId="12" xfId="0" applyNumberFormat="1" applyFill="1" applyBorder="1"/>
    <xf numFmtId="171" fontId="0" fillId="0" borderId="6" xfId="0" applyNumberFormat="1" applyFill="1" applyBorder="1"/>
    <xf numFmtId="171" fontId="1" fillId="0" borderId="6" xfId="13" applyNumberFormat="1" applyFill="1" applyBorder="1"/>
    <xf numFmtId="171" fontId="1" fillId="0" borderId="0" xfId="13" applyNumberFormat="1" applyFill="1" applyBorder="1"/>
    <xf numFmtId="171" fontId="1" fillId="0" borderId="5" xfId="13" applyNumberFormat="1" applyFill="1" applyBorder="1"/>
    <xf numFmtId="171" fontId="1" fillId="0" borderId="12" xfId="13" applyNumberFormat="1" applyFill="1" applyBorder="1"/>
    <xf numFmtId="167" fontId="0" fillId="0" borderId="0" xfId="9" applyNumberFormat="1" applyFont="1" applyFill="1" applyBorder="1"/>
    <xf numFmtId="167" fontId="0" fillId="0" borderId="6" xfId="9" applyNumberFormat="1" applyFont="1" applyFill="1" applyBorder="1"/>
    <xf numFmtId="167" fontId="1" fillId="0" borderId="6" xfId="9" applyNumberFormat="1" applyFont="1" applyFill="1" applyBorder="1"/>
    <xf numFmtId="167" fontId="1" fillId="0" borderId="0" xfId="9" applyNumberFormat="1" applyFont="1" applyFill="1" applyBorder="1"/>
    <xf numFmtId="168" fontId="0" fillId="0" borderId="0" xfId="0" applyNumberFormat="1" applyFill="1" applyBorder="1"/>
    <xf numFmtId="168" fontId="0" fillId="0" borderId="6" xfId="0" applyNumberFormat="1" applyFill="1" applyBorder="1"/>
    <xf numFmtId="168" fontId="1" fillId="0" borderId="14" xfId="13" applyNumberFormat="1" applyFill="1" applyBorder="1"/>
    <xf numFmtId="168" fontId="1" fillId="0" borderId="15" xfId="13" applyNumberFormat="1" applyFill="1" applyBorder="1"/>
    <xf numFmtId="168" fontId="1" fillId="0" borderId="13" xfId="13" applyNumberFormat="1" applyFill="1" applyBorder="1"/>
    <xf numFmtId="168" fontId="1" fillId="0" borderId="17" xfId="13" applyNumberFormat="1" applyFill="1" applyBorder="1"/>
    <xf numFmtId="9" fontId="5" fillId="0" borderId="0" xfId="5" applyNumberFormat="1" applyFont="1" applyFill="1" applyBorder="1" applyAlignment="1">
      <alignment wrapText="1"/>
    </xf>
    <xf numFmtId="9" fontId="1" fillId="0" borderId="0" xfId="5" applyNumberFormat="1" applyFont="1" applyFill="1" applyBorder="1" applyAlignment="1">
      <alignment wrapText="1"/>
    </xf>
    <xf numFmtId="9" fontId="1" fillId="0" borderId="0" xfId="5" applyNumberFormat="1" applyFill="1" applyBorder="1"/>
    <xf numFmtId="167" fontId="4" fillId="0" borderId="6" xfId="1" applyNumberFormat="1" applyFont="1" applyBorder="1"/>
    <xf numFmtId="164" fontId="5" fillId="0" borderId="6" xfId="5" applyNumberFormat="1" applyFont="1" applyFill="1" applyBorder="1"/>
    <xf numFmtId="0" fontId="5" fillId="0" borderId="0" xfId="0" applyFont="1"/>
    <xf numFmtId="164" fontId="40" fillId="0" borderId="13" xfId="0" applyNumberFormat="1" applyFont="1" applyBorder="1"/>
    <xf numFmtId="164" fontId="40" fillId="0" borderId="15" xfId="0" applyNumberFormat="1" applyFont="1" applyBorder="1"/>
    <xf numFmtId="164" fontId="40" fillId="0" borderId="17" xfId="0" applyNumberFormat="1" applyFont="1" applyBorder="1"/>
    <xf numFmtId="164" fontId="1" fillId="0" borderId="8" xfId="1" applyNumberFormat="1" applyBorder="1" applyAlignment="1">
      <alignment horizontal="right"/>
    </xf>
    <xf numFmtId="164" fontId="1" fillId="0" borderId="4" xfId="1" applyNumberFormat="1" applyBorder="1" applyAlignment="1">
      <alignment horizontal="right"/>
    </xf>
    <xf numFmtId="164" fontId="1" fillId="0" borderId="18" xfId="1" applyNumberFormat="1" applyBorder="1" applyAlignment="1">
      <alignment horizontal="right"/>
    </xf>
    <xf numFmtId="164" fontId="1" fillId="0" borderId="6" xfId="1" applyNumberFormat="1" applyBorder="1" applyAlignment="1">
      <alignment horizontal="right"/>
    </xf>
    <xf numFmtId="164" fontId="1" fillId="0" borderId="0" xfId="1" applyNumberFormat="1" applyBorder="1" applyAlignment="1">
      <alignment horizontal="right"/>
    </xf>
    <xf numFmtId="164" fontId="1" fillId="0" borderId="7" xfId="1" applyNumberFormat="1" applyBorder="1" applyAlignment="1">
      <alignment horizontal="right"/>
    </xf>
    <xf numFmtId="164" fontId="1" fillId="0" borderId="5" xfId="1" applyNumberFormat="1" applyBorder="1" applyAlignment="1">
      <alignment horizontal="right"/>
    </xf>
    <xf numFmtId="164" fontId="19" fillId="6" borderId="5" xfId="5" applyNumberFormat="1" applyFont="1" applyFill="1" applyBorder="1"/>
    <xf numFmtId="164" fontId="2" fillId="6" borderId="12" xfId="5" applyNumberFormat="1" applyFont="1" applyFill="1" applyBorder="1"/>
    <xf numFmtId="164" fontId="2" fillId="6" borderId="5" xfId="5" applyNumberFormat="1" applyFont="1" applyFill="1" applyBorder="1"/>
    <xf numFmtId="164" fontId="7" fillId="6" borderId="5" xfId="5" applyNumberFormat="1" applyFont="1" applyFill="1" applyBorder="1"/>
    <xf numFmtId="164" fontId="7" fillId="6" borderId="6" xfId="5" applyNumberFormat="1" applyFont="1" applyFill="1" applyBorder="1"/>
    <xf numFmtId="164" fontId="1" fillId="3" borderId="5" xfId="5" applyNumberFormat="1" applyFill="1" applyBorder="1"/>
    <xf numFmtId="164" fontId="1" fillId="3" borderId="0" xfId="5" applyNumberFormat="1" applyFill="1" applyBorder="1"/>
    <xf numFmtId="164" fontId="1" fillId="3" borderId="12" xfId="5" applyNumberFormat="1" applyFill="1" applyBorder="1"/>
    <xf numFmtId="164" fontId="1" fillId="3" borderId="0" xfId="5" applyNumberFormat="1" applyFill="1"/>
    <xf numFmtId="164" fontId="1" fillId="3" borderId="6" xfId="5" applyNumberFormat="1" applyFill="1" applyBorder="1"/>
    <xf numFmtId="164" fontId="7" fillId="0" borderId="13" xfId="5" applyNumberFormat="1" applyFont="1" applyBorder="1"/>
    <xf numFmtId="164" fontId="7" fillId="0" borderId="14" xfId="5" applyNumberFormat="1" applyFont="1" applyBorder="1"/>
    <xf numFmtId="0" fontId="0" fillId="0" borderId="8" xfId="5" applyFont="1" applyBorder="1"/>
    <xf numFmtId="164" fontId="0" fillId="0" borderId="4" xfId="0" applyNumberFormat="1" applyBorder="1" applyAlignment="1"/>
    <xf numFmtId="170" fontId="0" fillId="0" borderId="0" xfId="0" applyNumberFormat="1" applyFill="1"/>
    <xf numFmtId="164" fontId="0" fillId="0" borderId="0" xfId="0" applyNumberFormat="1" applyBorder="1" applyAlignment="1"/>
    <xf numFmtId="164" fontId="0" fillId="0" borderId="5" xfId="0" applyNumberFormat="1" applyBorder="1" applyAlignment="1"/>
    <xf numFmtId="0" fontId="1" fillId="3" borderId="0" xfId="5" applyFont="1" applyFill="1" applyBorder="1"/>
    <xf numFmtId="164" fontId="0" fillId="3" borderId="0" xfId="0" applyNumberFormat="1" applyFont="1" applyFill="1" applyBorder="1"/>
    <xf numFmtId="164" fontId="5" fillId="0" borderId="5" xfId="1" applyNumberFormat="1" applyFont="1" applyBorder="1"/>
    <xf numFmtId="168" fontId="2" fillId="0" borderId="5" xfId="1" applyNumberFormat="1" applyFont="1" applyFill="1" applyBorder="1"/>
    <xf numFmtId="164" fontId="1" fillId="0" borderId="12" xfId="1" applyNumberFormat="1" applyBorder="1" applyAlignment="1">
      <alignment horizontal="right"/>
    </xf>
    <xf numFmtId="164" fontId="5" fillId="0" borderId="12" xfId="1" applyNumberFormat="1" applyFont="1" applyBorder="1"/>
    <xf numFmtId="164" fontId="1" fillId="0" borderId="12" xfId="1" applyNumberFormat="1" applyBorder="1"/>
    <xf numFmtId="168" fontId="2" fillId="0" borderId="12" xfId="1" applyNumberFormat="1" applyFont="1" applyFill="1" applyBorder="1"/>
    <xf numFmtId="0" fontId="1" fillId="0" borderId="12" xfId="5" applyFont="1" applyBorder="1"/>
    <xf numFmtId="165" fontId="2" fillId="0" borderId="12" xfId="5" applyNumberFormat="1" applyFont="1" applyFill="1" applyBorder="1"/>
    <xf numFmtId="165" fontId="2" fillId="0" borderId="20" xfId="5" applyNumberFormat="1" applyFont="1" applyFill="1" applyBorder="1"/>
    <xf numFmtId="167" fontId="1" fillId="0" borderId="12" xfId="5" applyNumberFormat="1" applyFont="1" applyFill="1" applyBorder="1"/>
    <xf numFmtId="164" fontId="1" fillId="0" borderId="12" xfId="5" applyNumberFormat="1" applyFont="1" applyBorder="1"/>
    <xf numFmtId="164" fontId="1" fillId="0" borderId="12" xfId="5" applyNumberFormat="1" applyFont="1" applyFill="1" applyBorder="1"/>
    <xf numFmtId="165" fontId="2" fillId="0" borderId="0" xfId="5" applyNumberFormat="1" applyFont="1" applyFill="1" applyBorder="1"/>
    <xf numFmtId="165" fontId="2" fillId="0" borderId="11" xfId="5" applyNumberFormat="1" applyFont="1" applyFill="1" applyBorder="1"/>
    <xf numFmtId="167" fontId="1" fillId="0" borderId="0" xfId="5" applyNumberFormat="1" applyFont="1" applyFill="1" applyBorder="1"/>
    <xf numFmtId="164" fontId="2" fillId="0" borderId="15" xfId="0" applyNumberFormat="1" applyFont="1" applyBorder="1"/>
    <xf numFmtId="164" fontId="4" fillId="0" borderId="5" xfId="5" applyNumberFormat="1" applyFont="1" applyFill="1" applyBorder="1"/>
    <xf numFmtId="164" fontId="2" fillId="6" borderId="17" xfId="5" applyNumberFormat="1" applyFont="1" applyFill="1" applyBorder="1"/>
    <xf numFmtId="164" fontId="16" fillId="0" borderId="12" xfId="5" applyNumberFormat="1" applyFont="1" applyBorder="1"/>
    <xf numFmtId="164" fontId="2" fillId="0" borderId="12" xfId="5" applyNumberFormat="1" applyFont="1" applyBorder="1"/>
    <xf numFmtId="3" fontId="5" fillId="0" borderId="12" xfId="5" applyNumberFormat="1" applyFont="1" applyBorder="1"/>
    <xf numFmtId="3" fontId="4" fillId="0" borderId="12" xfId="5" applyNumberFormat="1" applyFont="1" applyBorder="1"/>
    <xf numFmtId="164" fontId="2" fillId="0" borderId="17" xfId="5" applyNumberFormat="1" applyFont="1" applyFill="1" applyBorder="1"/>
    <xf numFmtId="164" fontId="1" fillId="0" borderId="30" xfId="5" applyNumberFormat="1" applyBorder="1"/>
    <xf numFmtId="164" fontId="40" fillId="0" borderId="0" xfId="5" applyNumberFormat="1" applyFont="1" applyBorder="1"/>
    <xf numFmtId="0" fontId="7" fillId="0" borderId="7" xfId="5" applyFont="1" applyBorder="1"/>
    <xf numFmtId="164" fontId="7" fillId="0" borderId="4" xfId="5" applyNumberFormat="1" applyFont="1" applyBorder="1"/>
    <xf numFmtId="164" fontId="7" fillId="0" borderId="7" xfId="5" applyNumberFormat="1" applyFont="1" applyBorder="1"/>
    <xf numFmtId="164" fontId="4" fillId="0" borderId="6" xfId="5" applyNumberFormat="1" applyFont="1" applyFill="1" applyBorder="1"/>
    <xf numFmtId="165" fontId="1" fillId="2" borderId="6" xfId="1" applyNumberFormat="1" applyFont="1" applyFill="1" applyBorder="1"/>
    <xf numFmtId="164" fontId="5" fillId="2" borderId="5" xfId="1" applyNumberFormat="1" applyFont="1" applyFill="1" applyBorder="1" applyAlignment="1"/>
    <xf numFmtId="164" fontId="5" fillId="2" borderId="0" xfId="1" applyNumberFormat="1" applyFont="1" applyFill="1" applyBorder="1" applyAlignment="1"/>
    <xf numFmtId="164" fontId="5" fillId="2" borderId="0" xfId="1" applyNumberFormat="1" applyFont="1" applyFill="1" applyBorder="1"/>
    <xf numFmtId="164" fontId="5" fillId="2" borderId="6" xfId="1" applyNumberFormat="1" applyFont="1" applyFill="1" applyBorder="1"/>
    <xf numFmtId="164" fontId="5" fillId="2" borderId="0" xfId="1" applyNumberFormat="1" applyFont="1" applyFill="1" applyBorder="1" applyAlignment="1">
      <alignment horizontal="right"/>
    </xf>
    <xf numFmtId="164" fontId="5" fillId="2" borderId="6" xfId="1" applyNumberFormat="1" applyFont="1" applyFill="1" applyBorder="1" applyAlignment="1">
      <alignment horizontal="right"/>
    </xf>
    <xf numFmtId="168" fontId="1" fillId="3" borderId="14" xfId="1" applyNumberFormat="1" applyFont="1" applyFill="1" applyBorder="1"/>
    <xf numFmtId="168" fontId="5" fillId="3" borderId="13" xfId="1" applyNumberFormat="1" applyFont="1" applyFill="1" applyBorder="1"/>
    <xf numFmtId="168" fontId="5" fillId="3" borderId="15" xfId="1" applyNumberFormat="1" applyFont="1" applyFill="1" applyBorder="1"/>
    <xf numFmtId="168" fontId="5" fillId="3" borderId="14" xfId="1" applyNumberFormat="1" applyFont="1" applyFill="1" applyBorder="1"/>
    <xf numFmtId="168" fontId="5" fillId="3" borderId="17" xfId="1" applyNumberFormat="1" applyFont="1" applyFill="1" applyBorder="1"/>
    <xf numFmtId="170" fontId="26" fillId="0" borderId="0" xfId="5" applyNumberFormat="1" applyFont="1" applyFill="1"/>
    <xf numFmtId="164" fontId="2" fillId="0" borderId="25" xfId="5" applyNumberFormat="1" applyFont="1" applyFill="1" applyBorder="1"/>
    <xf numFmtId="165" fontId="4" fillId="0" borderId="28" xfId="5" applyNumberFormat="1" applyFont="1" applyBorder="1"/>
    <xf numFmtId="164" fontId="5" fillId="0" borderId="6" xfId="1" applyNumberFormat="1" applyFont="1" applyFill="1" applyBorder="1"/>
    <xf numFmtId="164" fontId="8" fillId="0" borderId="22" xfId="3" applyNumberFormat="1" applyBorder="1"/>
    <xf numFmtId="164" fontId="8" fillId="0" borderId="25" xfId="3" applyNumberFormat="1" applyBorder="1"/>
    <xf numFmtId="164" fontId="9" fillId="0" borderId="28" xfId="6" applyNumberFormat="1" applyFont="1" applyBorder="1"/>
    <xf numFmtId="164" fontId="1" fillId="0" borderId="6" xfId="5" applyNumberFormat="1" applyFill="1" applyBorder="1"/>
    <xf numFmtId="164" fontId="40" fillId="0" borderId="5" xfId="5" applyNumberFormat="1" applyFont="1" applyBorder="1"/>
    <xf numFmtId="164" fontId="40" fillId="0" borderId="12" xfId="5" applyNumberFormat="1" applyFont="1" applyBorder="1"/>
    <xf numFmtId="0" fontId="2" fillId="0" borderId="6" xfId="5" applyFont="1" applyBorder="1" applyAlignment="1">
      <alignment horizontal="left"/>
    </xf>
    <xf numFmtId="167" fontId="0" fillId="0" borderId="0" xfId="2" applyNumberFormat="1" applyFont="1" applyFill="1" applyBorder="1" applyAlignment="1">
      <alignment wrapText="1"/>
    </xf>
    <xf numFmtId="167" fontId="0" fillId="0" borderId="0" xfId="2" applyNumberFormat="1" applyFont="1" applyFill="1" applyBorder="1"/>
    <xf numFmtId="3" fontId="0" fillId="0" borderId="0" xfId="0" applyNumberFormat="1"/>
    <xf numFmtId="0" fontId="2" fillId="0" borderId="2" xfId="0" applyFont="1" applyBorder="1" applyAlignment="1">
      <alignment horizontal="right"/>
    </xf>
    <xf numFmtId="177" fontId="0" fillId="0" borderId="0" xfId="0" applyNumberFormat="1"/>
    <xf numFmtId="2" fontId="1" fillId="0" borderId="0" xfId="1" applyNumberFormat="1"/>
    <xf numFmtId="2" fontId="1" fillId="0" borderId="0" xfId="1" applyNumberFormat="1" applyBorder="1"/>
    <xf numFmtId="178" fontId="1" fillId="0" borderId="0" xfId="1" applyNumberFormat="1"/>
    <xf numFmtId="0" fontId="0" fillId="7" borderId="0" xfId="5" applyFont="1" applyFill="1" applyAlignment="1">
      <alignment horizontal="left" indent="1"/>
    </xf>
    <xf numFmtId="164" fontId="1" fillId="7" borderId="0" xfId="5" applyNumberFormat="1" applyFill="1"/>
    <xf numFmtId="167" fontId="25" fillId="0" borderId="19" xfId="5" applyNumberFormat="1" applyFont="1" applyBorder="1"/>
    <xf numFmtId="0" fontId="27" fillId="6" borderId="15" xfId="10" applyFont="1" applyFill="1" applyBorder="1" applyAlignment="1">
      <alignment wrapText="1"/>
    </xf>
    <xf numFmtId="4" fontId="1" fillId="0" borderId="0" xfId="1" applyNumberFormat="1"/>
    <xf numFmtId="0" fontId="37" fillId="3" borderId="36" xfId="3" applyFont="1" applyFill="1" applyBorder="1" applyAlignment="1">
      <alignment horizontal="right"/>
    </xf>
    <xf numFmtId="164" fontId="4" fillId="0" borderId="5" xfId="1" applyNumberFormat="1" applyFont="1" applyFill="1" applyBorder="1"/>
    <xf numFmtId="165" fontId="4" fillId="0" borderId="6" xfId="1" applyNumberFormat="1" applyFont="1" applyBorder="1"/>
    <xf numFmtId="164" fontId="1" fillId="0" borderId="0" xfId="1" applyNumberFormat="1"/>
    <xf numFmtId="0" fontId="0" fillId="0" borderId="6" xfId="0" applyBorder="1" applyAlignment="1">
      <alignment horizontal="left" indent="1"/>
    </xf>
    <xf numFmtId="164" fontId="5" fillId="0" borderId="6" xfId="0" applyNumberFormat="1" applyFont="1" applyBorder="1"/>
    <xf numFmtId="171" fontId="4" fillId="0" borderId="6" xfId="0" applyNumberFormat="1" applyFont="1" applyFill="1" applyBorder="1"/>
    <xf numFmtId="171" fontId="4" fillId="0" borderId="5" xfId="0" applyNumberFormat="1" applyFont="1" applyFill="1" applyBorder="1"/>
    <xf numFmtId="171" fontId="4" fillId="0" borderId="0" xfId="0" applyNumberFormat="1" applyFont="1" applyFill="1" applyBorder="1"/>
    <xf numFmtId="171" fontId="4" fillId="0" borderId="12" xfId="0" applyNumberFormat="1" applyFont="1" applyFill="1" applyBorder="1"/>
    <xf numFmtId="167" fontId="4" fillId="0" borderId="5" xfId="9" applyNumberFormat="1" applyFont="1" applyFill="1" applyBorder="1"/>
    <xf numFmtId="167" fontId="4" fillId="0" borderId="0" xfId="9" applyNumberFormat="1" applyFont="1" applyFill="1" applyBorder="1"/>
    <xf numFmtId="167" fontId="4" fillId="0" borderId="12" xfId="9" applyNumberFormat="1" applyFont="1" applyFill="1" applyBorder="1"/>
    <xf numFmtId="167" fontId="4" fillId="0" borderId="6" xfId="9" applyNumberFormat="1" applyFont="1" applyFill="1" applyBorder="1"/>
    <xf numFmtId="168" fontId="4" fillId="0" borderId="0" xfId="0" applyNumberFormat="1" applyFont="1" applyFill="1" applyBorder="1"/>
    <xf numFmtId="168" fontId="4" fillId="0" borderId="12" xfId="0" applyNumberFormat="1" applyFont="1" applyFill="1" applyBorder="1"/>
    <xf numFmtId="14" fontId="0" fillId="0" borderId="0" xfId="0" applyNumberFormat="1"/>
    <xf numFmtId="164" fontId="7" fillId="0" borderId="20" xfId="1" applyNumberFormat="1" applyFont="1" applyBorder="1"/>
    <xf numFmtId="164" fontId="4" fillId="0" borderId="6" xfId="1" applyNumberFormat="1" applyFont="1" applyBorder="1" applyAlignment="1">
      <alignment horizontal="right"/>
    </xf>
    <xf numFmtId="165" fontId="1" fillId="0" borderId="6" xfId="1" applyNumberFormat="1" applyFont="1" applyFill="1" applyBorder="1"/>
    <xf numFmtId="164" fontId="5" fillId="0" borderId="5" xfId="1" applyNumberFormat="1" applyFont="1" applyFill="1" applyBorder="1" applyAlignment="1"/>
    <xf numFmtId="164" fontId="5" fillId="0" borderId="0" xfId="1" applyNumberFormat="1" applyFont="1" applyFill="1" applyBorder="1" applyAlignment="1"/>
    <xf numFmtId="164" fontId="5" fillId="0" borderId="0" xfId="1" applyNumberFormat="1" applyFont="1" applyFill="1" applyBorder="1"/>
    <xf numFmtId="0" fontId="0" fillId="0" borderId="0" xfId="0" applyFont="1" applyFill="1"/>
    <xf numFmtId="164" fontId="4" fillId="0" borderId="6" xfId="1" applyNumberFormat="1" applyFont="1" applyFill="1" applyBorder="1"/>
    <xf numFmtId="164" fontId="7" fillId="0" borderId="12" xfId="1" applyNumberFormat="1" applyFont="1" applyBorder="1"/>
    <xf numFmtId="164" fontId="4" fillId="0" borderId="0" xfId="1" applyNumberFormat="1" applyFont="1" applyBorder="1" applyAlignment="1">
      <alignment horizontal="right"/>
    </xf>
    <xf numFmtId="164" fontId="4" fillId="0" borderId="0" xfId="1" applyNumberFormat="1" applyFont="1" applyFill="1" applyBorder="1"/>
    <xf numFmtId="164" fontId="4" fillId="2" borderId="0" xfId="1" applyNumberFormat="1" applyFont="1" applyFill="1" applyBorder="1"/>
    <xf numFmtId="164" fontId="11" fillId="0" borderId="0" xfId="1" applyNumberFormat="1" applyFont="1" applyBorder="1" applyAlignment="1">
      <alignment horizontal="right"/>
    </xf>
    <xf numFmtId="164" fontId="4" fillId="0" borderId="5" xfId="1" applyNumberFormat="1" applyFont="1" applyBorder="1" applyAlignment="1">
      <alignment horizontal="right"/>
    </xf>
    <xf numFmtId="0" fontId="0" fillId="0" borderId="7" xfId="0" applyBorder="1"/>
    <xf numFmtId="0" fontId="0" fillId="0" borderId="14" xfId="0" applyBorder="1"/>
    <xf numFmtId="0" fontId="2" fillId="0" borderId="7" xfId="0" applyFont="1" applyBorder="1"/>
    <xf numFmtId="164" fontId="40" fillId="0" borderId="7" xfId="5" applyNumberFormat="1" applyFont="1" applyFill="1" applyBorder="1"/>
    <xf numFmtId="164" fontId="40" fillId="0" borderId="8" xfId="5" applyNumberFormat="1" applyFont="1" applyFill="1" applyBorder="1"/>
    <xf numFmtId="164" fontId="40" fillId="0" borderId="18" xfId="5" applyNumberFormat="1" applyFont="1" applyFill="1" applyBorder="1"/>
    <xf numFmtId="164" fontId="40" fillId="0" borderId="4" xfId="5" applyNumberFormat="1" applyFont="1" applyFill="1" applyBorder="1"/>
    <xf numFmtId="164" fontId="40" fillId="0" borderId="14" xfId="0" applyNumberFormat="1" applyFont="1" applyBorder="1"/>
    <xf numFmtId="0" fontId="0" fillId="0" borderId="5" xfId="5" applyFont="1" applyBorder="1" applyAlignment="1">
      <alignment horizontal="left" indent="1"/>
    </xf>
    <xf numFmtId="0" fontId="18" fillId="0" borderId="0" xfId="5" applyFont="1" applyBorder="1"/>
    <xf numFmtId="166" fontId="18" fillId="0" borderId="0" xfId="5" applyNumberFormat="1" applyFont="1" applyBorder="1"/>
    <xf numFmtId="164" fontId="18" fillId="0" borderId="6" xfId="5" applyNumberFormat="1" applyFont="1" applyBorder="1"/>
    <xf numFmtId="164" fontId="41" fillId="0" borderId="6" xfId="5" applyNumberFormat="1" applyFont="1" applyBorder="1"/>
    <xf numFmtId="164" fontId="41" fillId="0" borderId="12" xfId="5" applyNumberFormat="1" applyFont="1" applyBorder="1"/>
    <xf numFmtId="0" fontId="2" fillId="0" borderId="6" xfId="5" applyFont="1" applyBorder="1" applyAlignment="1">
      <alignment horizontal="left" indent="1"/>
    </xf>
    <xf numFmtId="0" fontId="45" fillId="17" borderId="27" xfId="0" applyNumberFormat="1" applyFont="1" applyFill="1" applyBorder="1"/>
    <xf numFmtId="14" fontId="45" fillId="17" borderId="0" xfId="0" applyNumberFormat="1" applyFont="1" applyFill="1" applyBorder="1" applyAlignment="1">
      <alignment horizontal="left"/>
    </xf>
    <xf numFmtId="0" fontId="46" fillId="17" borderId="40" xfId="14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180" fontId="3" fillId="0" borderId="0" xfId="0" applyNumberFormat="1" applyFont="1"/>
    <xf numFmtId="0" fontId="47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0" fontId="0" fillId="18" borderId="0" xfId="0" applyFill="1"/>
    <xf numFmtId="0" fontId="47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48" fillId="0" borderId="0" xfId="0" applyFont="1" applyFill="1" applyBorder="1"/>
    <xf numFmtId="0" fontId="1" fillId="0" borderId="6" xfId="5" applyFont="1" applyFill="1" applyBorder="1" applyAlignment="1">
      <alignment horizontal="left" indent="1"/>
    </xf>
    <xf numFmtId="9" fontId="4" fillId="0" borderId="0" xfId="0" applyNumberFormat="1" applyFont="1" applyFill="1" applyBorder="1"/>
    <xf numFmtId="9" fontId="4" fillId="0" borderId="4" xfId="0" applyNumberFormat="1" applyFont="1" applyFill="1" applyBorder="1"/>
    <xf numFmtId="9" fontId="4" fillId="0" borderId="15" xfId="0" applyNumberFormat="1" applyFont="1" applyFill="1" applyBorder="1"/>
    <xf numFmtId="164" fontId="11" fillId="0" borderId="6" xfId="5" applyNumberFormat="1" applyFont="1" applyBorder="1"/>
    <xf numFmtId="164" fontId="4" fillId="0" borderId="0" xfId="0" applyNumberFormat="1" applyFont="1" applyBorder="1" applyAlignment="1"/>
    <xf numFmtId="168" fontId="4" fillId="0" borderId="15" xfId="0" applyNumberFormat="1" applyFont="1" applyBorder="1" applyAlignment="1"/>
    <xf numFmtId="168" fontId="5" fillId="0" borderId="15" xfId="0" applyNumberFormat="1" applyFont="1" applyBorder="1" applyAlignment="1"/>
    <xf numFmtId="164" fontId="5" fillId="0" borderId="4" xfId="0" applyNumberFormat="1" applyFont="1" applyBorder="1" applyAlignment="1"/>
    <xf numFmtId="168" fontId="0" fillId="0" borderId="15" xfId="0" applyNumberFormat="1" applyBorder="1" applyAlignment="1"/>
    <xf numFmtId="0" fontId="1" fillId="0" borderId="6" xfId="1" applyFont="1" applyBorder="1"/>
    <xf numFmtId="167" fontId="1" fillId="0" borderId="5" xfId="2" applyNumberFormat="1" applyFont="1" applyBorder="1"/>
    <xf numFmtId="167" fontId="1" fillId="0" borderId="0" xfId="2" applyNumberFormat="1" applyFont="1" applyBorder="1"/>
    <xf numFmtId="167" fontId="1" fillId="0" borderId="12" xfId="2" applyNumberFormat="1" applyFont="1" applyBorder="1"/>
    <xf numFmtId="0" fontId="8" fillId="0" borderId="25" xfId="3" applyBorder="1"/>
    <xf numFmtId="0" fontId="8" fillId="0" borderId="28" xfId="3" applyBorder="1"/>
    <xf numFmtId="167" fontId="4" fillId="0" borderId="19" xfId="0" applyNumberFormat="1" applyFont="1" applyBorder="1"/>
    <xf numFmtId="0" fontId="8" fillId="0" borderId="22" xfId="3" applyBorder="1"/>
    <xf numFmtId="167" fontId="4" fillId="16" borderId="19" xfId="0" applyNumberFormat="1" applyFont="1" applyFill="1" applyBorder="1"/>
    <xf numFmtId="165" fontId="1" fillId="0" borderId="19" xfId="2" applyNumberFormat="1" applyFont="1" applyBorder="1"/>
    <xf numFmtId="0" fontId="1" fillId="3" borderId="6" xfId="5" applyFont="1" applyFill="1" applyBorder="1" applyAlignment="1">
      <alignment horizontal="left" indent="1"/>
    </xf>
    <xf numFmtId="0" fontId="0" fillId="3" borderId="5" xfId="0" applyFont="1" applyFill="1" applyBorder="1"/>
    <xf numFmtId="0" fontId="0" fillId="3" borderId="0" xfId="0" applyFont="1" applyFill="1" applyBorder="1"/>
    <xf numFmtId="0" fontId="0" fillId="3" borderId="12" xfId="0" applyFont="1" applyFill="1" applyBorder="1"/>
    <xf numFmtId="0" fontId="0" fillId="3" borderId="6" xfId="0" applyFont="1" applyFill="1" applyBorder="1"/>
    <xf numFmtId="164" fontId="0" fillId="3" borderId="0" xfId="0" applyNumberFormat="1" applyFont="1" applyFill="1" applyBorder="1" applyAlignment="1">
      <alignment horizontal="right"/>
    </xf>
    <xf numFmtId="14" fontId="2" fillId="0" borderId="0" xfId="5" applyNumberFormat="1" applyFont="1" applyFill="1" applyBorder="1" applyAlignment="1">
      <alignment horizontal="right"/>
    </xf>
    <xf numFmtId="167" fontId="0" fillId="0" borderId="0" xfId="0" applyNumberFormat="1"/>
    <xf numFmtId="168" fontId="18" fillId="0" borderId="0" xfId="0" applyNumberFormat="1" applyFont="1"/>
    <xf numFmtId="9" fontId="4" fillId="7" borderId="2" xfId="0" applyNumberFormat="1" applyFont="1" applyFill="1" applyBorder="1"/>
    <xf numFmtId="9" fontId="5" fillId="7" borderId="2" xfId="0" applyNumberFormat="1" applyFont="1" applyFill="1" applyBorder="1"/>
    <xf numFmtId="9" fontId="18" fillId="7" borderId="2" xfId="0" applyNumberFormat="1" applyFont="1" applyFill="1" applyBorder="1"/>
    <xf numFmtId="164" fontId="0" fillId="3" borderId="6" xfId="0" applyNumberFormat="1" applyFont="1" applyFill="1" applyBorder="1" applyAlignment="1">
      <alignment horizontal="right"/>
    </xf>
    <xf numFmtId="164" fontId="4" fillId="0" borderId="12" xfId="1" applyNumberFormat="1" applyFont="1" applyBorder="1"/>
    <xf numFmtId="165" fontId="0" fillId="0" borderId="0" xfId="0" applyNumberFormat="1" applyAlignment="1">
      <alignment wrapText="1"/>
    </xf>
    <xf numFmtId="167" fontId="0" fillId="0" borderId="0" xfId="9" applyNumberFormat="1" applyFont="1"/>
    <xf numFmtId="0" fontId="1" fillId="0" borderId="19" xfId="5" applyBorder="1"/>
    <xf numFmtId="0" fontId="0" fillId="0" borderId="19" xfId="5" applyFont="1" applyBorder="1"/>
    <xf numFmtId="0" fontId="2" fillId="0" borderId="38" xfId="5" applyFont="1" applyBorder="1"/>
    <xf numFmtId="165" fontId="1" fillId="0" borderId="19" xfId="5" applyNumberFormat="1" applyBorder="1"/>
    <xf numFmtId="165" fontId="2" fillId="0" borderId="19" xfId="5" applyNumberFormat="1" applyFont="1" applyBorder="1"/>
    <xf numFmtId="164" fontId="11" fillId="0" borderId="12" xfId="1" applyNumberFormat="1" applyFont="1" applyBorder="1"/>
    <xf numFmtId="9" fontId="1" fillId="0" borderId="0" xfId="9" applyFont="1" applyBorder="1"/>
    <xf numFmtId="168" fontId="1" fillId="0" borderId="0" xfId="5" applyNumberFormat="1"/>
    <xf numFmtId="171" fontId="1" fillId="0" borderId="0" xfId="5" applyNumberFormat="1" applyFont="1" applyBorder="1"/>
    <xf numFmtId="0" fontId="0" fillId="0" borderId="6" xfId="5" applyFont="1" applyFill="1" applyBorder="1" applyAlignment="1">
      <alignment horizontal="left" indent="1"/>
    </xf>
    <xf numFmtId="181" fontId="2" fillId="0" borderId="0" xfId="5" applyNumberFormat="1" applyFont="1" applyBorder="1"/>
    <xf numFmtId="9" fontId="4" fillId="0" borderId="0" xfId="5" applyNumberFormat="1" applyFont="1" applyFill="1" applyBorder="1"/>
    <xf numFmtId="0" fontId="8" fillId="2" borderId="2" xfId="3" applyFill="1" applyBorder="1"/>
    <xf numFmtId="0" fontId="8" fillId="4" borderId="6" xfId="3" applyFill="1" applyBorder="1"/>
    <xf numFmtId="0" fontId="2" fillId="14" borderId="6" xfId="3" applyFont="1" applyFill="1" applyBorder="1"/>
    <xf numFmtId="0" fontId="8" fillId="4" borderId="14" xfId="3" applyFill="1" applyBorder="1"/>
    <xf numFmtId="0" fontId="24" fillId="4" borderId="7" xfId="5" applyFont="1" applyFill="1" applyBorder="1"/>
    <xf numFmtId="0" fontId="50" fillId="4" borderId="2" xfId="5" applyFont="1" applyFill="1" applyBorder="1" applyAlignment="1">
      <alignment horizontal="right"/>
    </xf>
    <xf numFmtId="0" fontId="24" fillId="4" borderId="6" xfId="5" applyFont="1" applyFill="1" applyBorder="1"/>
    <xf numFmtId="0" fontId="50" fillId="4" borderId="6" xfId="5" applyFont="1" applyFill="1" applyBorder="1" applyAlignment="1">
      <alignment horizontal="right"/>
    </xf>
    <xf numFmtId="0" fontId="50" fillId="4" borderId="7" xfId="5" applyFont="1" applyFill="1" applyBorder="1" applyAlignment="1">
      <alignment horizontal="right"/>
    </xf>
    <xf numFmtId="3" fontId="24" fillId="4" borderId="6" xfId="5" applyNumberFormat="1" applyFont="1" applyFill="1" applyBorder="1"/>
    <xf numFmtId="0" fontId="51" fillId="4" borderId="6" xfId="5" applyFont="1" applyFill="1" applyBorder="1"/>
    <xf numFmtId="167" fontId="51" fillId="4" borderId="6" xfId="2" applyNumberFormat="1" applyFont="1" applyFill="1" applyBorder="1"/>
    <xf numFmtId="167" fontId="51" fillId="4" borderId="6" xfId="2" applyNumberFormat="1" applyFont="1" applyFill="1" applyBorder="1" applyAlignment="1">
      <alignment horizontal="right"/>
    </xf>
    <xf numFmtId="0" fontId="24" fillId="13" borderId="6" xfId="5" applyFont="1" applyFill="1" applyBorder="1"/>
    <xf numFmtId="3" fontId="24" fillId="13" borderId="6" xfId="5" applyNumberFormat="1" applyFont="1" applyFill="1" applyBorder="1"/>
    <xf numFmtId="0" fontId="51" fillId="4" borderId="5" xfId="3" applyFont="1" applyFill="1" applyBorder="1"/>
    <xf numFmtId="167" fontId="51" fillId="4" borderId="6" xfId="6" applyNumberFormat="1" applyFont="1" applyFill="1" applyBorder="1" applyAlignment="1">
      <alignment horizontal="right"/>
    </xf>
    <xf numFmtId="168" fontId="24" fillId="4" borderId="6" xfId="5" applyNumberFormat="1" applyFont="1" applyFill="1" applyBorder="1"/>
    <xf numFmtId="168" fontId="24" fillId="13" borderId="6" xfId="5" applyNumberFormat="1" applyFont="1" applyFill="1" applyBorder="1"/>
    <xf numFmtId="0" fontId="51" fillId="4" borderId="13" xfId="3" applyFont="1" applyFill="1" applyBorder="1"/>
    <xf numFmtId="167" fontId="51" fillId="4" borderId="14" xfId="6" applyNumberFormat="1" applyFont="1" applyFill="1" applyBorder="1" applyAlignment="1">
      <alignment horizontal="right"/>
    </xf>
    <xf numFmtId="167" fontId="51" fillId="4" borderId="14" xfId="6" applyNumberFormat="1" applyFont="1" applyFill="1" applyBorder="1"/>
    <xf numFmtId="0" fontId="24" fillId="3" borderId="8" xfId="5" applyFont="1" applyFill="1" applyBorder="1"/>
    <xf numFmtId="0" fontId="50" fillId="3" borderId="4" xfId="5" applyFont="1" applyFill="1" applyBorder="1" applyAlignment="1">
      <alignment horizontal="center"/>
    </xf>
    <xf numFmtId="0" fontId="50" fillId="3" borderId="4" xfId="5" applyFont="1" applyFill="1" applyBorder="1" applyAlignment="1"/>
    <xf numFmtId="0" fontId="24" fillId="3" borderId="4" xfId="5" applyFont="1" applyFill="1" applyBorder="1" applyAlignment="1">
      <alignment horizontal="center"/>
    </xf>
    <xf numFmtId="0" fontId="50" fillId="3" borderId="4" xfId="5" applyFont="1" applyFill="1" applyBorder="1" applyAlignment="1">
      <alignment horizontal="right"/>
    </xf>
    <xf numFmtId="0" fontId="50" fillId="3" borderId="4" xfId="5" applyNumberFormat="1" applyFont="1" applyFill="1" applyBorder="1" applyAlignment="1">
      <alignment horizontal="right" vertical="center"/>
    </xf>
    <xf numFmtId="0" fontId="50" fillId="3" borderId="18" xfId="5" applyFont="1" applyFill="1" applyBorder="1" applyAlignment="1">
      <alignment horizontal="right"/>
    </xf>
    <xf numFmtId="0" fontId="50" fillId="3" borderId="5" xfId="5" applyFont="1" applyFill="1" applyBorder="1"/>
    <xf numFmtId="0" fontId="50" fillId="3" borderId="0" xfId="5" applyFont="1" applyFill="1" applyBorder="1" applyAlignment="1">
      <alignment horizontal="center" wrapText="1"/>
    </xf>
    <xf numFmtId="0" fontId="50" fillId="3" borderId="0" xfId="5" applyFont="1" applyFill="1" applyBorder="1" applyAlignment="1">
      <alignment horizontal="right"/>
    </xf>
    <xf numFmtId="0" fontId="50" fillId="3" borderId="12" xfId="5" applyFont="1" applyFill="1" applyBorder="1" applyAlignment="1">
      <alignment horizontal="right"/>
    </xf>
    <xf numFmtId="0" fontId="50" fillId="4" borderId="13" xfId="5" applyFont="1" applyFill="1" applyBorder="1"/>
    <xf numFmtId="0" fontId="50" fillId="15" borderId="15" xfId="5" applyFont="1" applyFill="1" applyBorder="1" applyAlignment="1">
      <alignment horizontal="center"/>
    </xf>
    <xf numFmtId="172" fontId="50" fillId="15" borderId="15" xfId="5" applyNumberFormat="1" applyFont="1" applyFill="1" applyBorder="1" applyAlignment="1">
      <alignment horizontal="center"/>
    </xf>
    <xf numFmtId="14" fontId="24" fillId="4" borderId="15" xfId="5" applyNumberFormat="1" applyFont="1" applyFill="1" applyBorder="1" applyAlignment="1">
      <alignment horizontal="right"/>
    </xf>
    <xf numFmtId="168" fontId="24" fillId="4" borderId="15" xfId="5" applyNumberFormat="1" applyFont="1" applyFill="1" applyBorder="1" applyAlignment="1">
      <alignment horizontal="right"/>
    </xf>
    <xf numFmtId="172" fontId="24" fillId="4" borderId="15" xfId="5" applyNumberFormat="1" applyFont="1" applyFill="1" applyBorder="1" applyAlignment="1">
      <alignment horizontal="right"/>
    </xf>
    <xf numFmtId="176" fontId="24" fillId="4" borderId="15" xfId="7" applyNumberFormat="1" applyFont="1" applyFill="1" applyBorder="1" applyAlignment="1">
      <alignment horizontal="right"/>
    </xf>
    <xf numFmtId="167" fontId="24" fillId="4" borderId="15" xfId="9" applyNumberFormat="1" applyFont="1" applyFill="1" applyBorder="1" applyAlignment="1">
      <alignment horizontal="right"/>
    </xf>
    <xf numFmtId="165" fontId="24" fillId="4" borderId="17" xfId="5" applyNumberFormat="1" applyFont="1" applyFill="1" applyBorder="1" applyAlignment="1">
      <alignment horizontal="right"/>
    </xf>
    <xf numFmtId="164" fontId="4" fillId="0" borderId="12" xfId="1" applyNumberFormat="1" applyFont="1" applyBorder="1" applyAlignment="1">
      <alignment horizontal="right"/>
    </xf>
    <xf numFmtId="164" fontId="4" fillId="0" borderId="6" xfId="0" applyNumberFormat="1" applyFont="1" applyFill="1" applyBorder="1"/>
    <xf numFmtId="164" fontId="18" fillId="0" borderId="5" xfId="5" applyNumberFormat="1" applyFont="1" applyFill="1" applyBorder="1"/>
    <xf numFmtId="166" fontId="8" fillId="0" borderId="0" xfId="3" applyNumberFormat="1" applyFill="1"/>
    <xf numFmtId="168" fontId="0" fillId="0" borderId="0" xfId="0" applyNumberFormat="1"/>
    <xf numFmtId="167" fontId="0" fillId="0" borderId="5" xfId="9" applyNumberFormat="1" applyFont="1" applyFill="1" applyBorder="1"/>
    <xf numFmtId="167" fontId="0" fillId="0" borderId="12" xfId="9" applyNumberFormat="1" applyFont="1" applyFill="1" applyBorder="1"/>
    <xf numFmtId="167" fontId="1" fillId="0" borderId="5" xfId="9" applyNumberFormat="1" applyFont="1" applyFill="1" applyBorder="1"/>
    <xf numFmtId="167" fontId="1" fillId="0" borderId="12" xfId="9" applyNumberFormat="1" applyFont="1" applyFill="1" applyBorder="1"/>
    <xf numFmtId="171" fontId="0" fillId="0" borderId="5" xfId="0" applyNumberFormat="1" applyFill="1" applyBorder="1"/>
    <xf numFmtId="168" fontId="0" fillId="0" borderId="5" xfId="0" applyNumberFormat="1" applyFill="1" applyBorder="1"/>
    <xf numFmtId="168" fontId="0" fillId="0" borderId="12" xfId="0" applyNumberFormat="1" applyFill="1" applyBorder="1"/>
    <xf numFmtId="164" fontId="5" fillId="2" borderId="5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1" fillId="0" borderId="5" xfId="1" applyNumberFormat="1" applyFill="1" applyBorder="1"/>
    <xf numFmtId="164" fontId="1" fillId="0" borderId="0" xfId="1" applyNumberFormat="1" applyFill="1" applyBorder="1"/>
    <xf numFmtId="164" fontId="1" fillId="0" borderId="12" xfId="1" applyNumberFormat="1" applyFill="1" applyBorder="1"/>
    <xf numFmtId="164" fontId="5" fillId="0" borderId="5" xfId="1" applyNumberFormat="1" applyFont="1" applyFill="1" applyBorder="1"/>
    <xf numFmtId="164" fontId="5" fillId="0" borderId="12" xfId="1" applyNumberFormat="1" applyFont="1" applyFill="1" applyBorder="1"/>
    <xf numFmtId="164" fontId="5" fillId="2" borderId="5" xfId="1" applyNumberFormat="1" applyFont="1" applyFill="1" applyBorder="1"/>
    <xf numFmtId="0" fontId="1" fillId="0" borderId="5" xfId="5" applyFill="1" applyBorder="1" applyAlignment="1">
      <alignment horizontal="right"/>
    </xf>
    <xf numFmtId="0" fontId="1" fillId="0" borderId="0" xfId="5" applyFill="1" applyBorder="1" applyAlignment="1">
      <alignment horizontal="right"/>
    </xf>
    <xf numFmtId="0" fontId="1" fillId="0" borderId="12" xfId="5" applyFill="1" applyBorder="1" applyAlignment="1">
      <alignment horizontal="right"/>
    </xf>
    <xf numFmtId="164" fontId="7" fillId="0" borderId="5" xfId="5" applyNumberFormat="1" applyFont="1" applyFill="1" applyBorder="1"/>
    <xf numFmtId="164" fontId="18" fillId="0" borderId="0" xfId="5" applyNumberFormat="1" applyFont="1" applyFill="1" applyBorder="1"/>
    <xf numFmtId="164" fontId="18" fillId="0" borderId="12" xfId="5" applyNumberFormat="1" applyFont="1" applyFill="1" applyBorder="1"/>
    <xf numFmtId="164" fontId="0" fillId="0" borderId="5" xfId="0" applyNumberFormat="1" applyBorder="1"/>
    <xf numFmtId="164" fontId="0" fillId="0" borderId="0" xfId="0" applyNumberFormat="1" applyBorder="1"/>
    <xf numFmtId="164" fontId="0" fillId="0" borderId="12" xfId="0" applyNumberFormat="1" applyBorder="1"/>
    <xf numFmtId="164" fontId="0" fillId="3" borderId="5" xfId="0" applyNumberFormat="1" applyFont="1" applyFill="1" applyBorder="1" applyAlignment="1">
      <alignment horizontal="right"/>
    </xf>
    <xf numFmtId="164" fontId="0" fillId="3" borderId="12" xfId="0" applyNumberFormat="1" applyFont="1" applyFill="1" applyBorder="1" applyAlignment="1">
      <alignment horizontal="right"/>
    </xf>
    <xf numFmtId="164" fontId="7" fillId="0" borderId="9" xfId="5" applyNumberFormat="1" applyFont="1" applyFill="1" applyBorder="1"/>
    <xf numFmtId="164" fontId="7" fillId="0" borderId="8" xfId="5" applyNumberFormat="1" applyFont="1" applyBorder="1"/>
    <xf numFmtId="164" fontId="7" fillId="0" borderId="18" xfId="5" applyNumberFormat="1" applyFont="1" applyBorder="1"/>
    <xf numFmtId="164" fontId="1" fillId="0" borderId="5" xfId="5" applyNumberFormat="1" applyFill="1" applyBorder="1"/>
    <xf numFmtId="164" fontId="1" fillId="0" borderId="12" xfId="5" applyNumberFormat="1" applyFill="1" applyBorder="1"/>
    <xf numFmtId="164" fontId="2" fillId="0" borderId="13" xfId="0" applyNumberFormat="1" applyFont="1" applyBorder="1"/>
    <xf numFmtId="164" fontId="2" fillId="0" borderId="17" xfId="0" applyNumberFormat="1" applyFont="1" applyBorder="1"/>
    <xf numFmtId="164" fontId="0" fillId="0" borderId="0" xfId="0" applyNumberFormat="1" applyFont="1"/>
    <xf numFmtId="0" fontId="0" fillId="7" borderId="0" xfId="5" applyFont="1" applyFill="1" applyBorder="1" applyAlignment="1">
      <alignment horizontal="left"/>
    </xf>
    <xf numFmtId="164" fontId="1" fillId="0" borderId="0" xfId="1" applyNumberFormat="1" applyFont="1" applyBorder="1"/>
    <xf numFmtId="3" fontId="1" fillId="0" borderId="5" xfId="5" applyNumberFormat="1" applyFont="1" applyBorder="1"/>
    <xf numFmtId="3" fontId="1" fillId="0" borderId="0" xfId="5" applyNumberFormat="1" applyFont="1" applyBorder="1"/>
    <xf numFmtId="3" fontId="1" fillId="0" borderId="12" xfId="5" applyNumberFormat="1" applyFont="1" applyBorder="1"/>
    <xf numFmtId="167" fontId="5" fillId="0" borderId="5" xfId="5" applyNumberFormat="1" applyFont="1" applyFill="1" applyBorder="1" applyAlignment="1">
      <alignment horizontal="right"/>
    </xf>
    <xf numFmtId="167" fontId="5" fillId="0" borderId="0" xfId="5" applyNumberFormat="1" applyFont="1" applyFill="1" applyBorder="1" applyAlignment="1">
      <alignment horizontal="right"/>
    </xf>
    <xf numFmtId="167" fontId="5" fillId="0" borderId="12" xfId="5" applyNumberFormat="1" applyFont="1" applyFill="1" applyBorder="1" applyAlignment="1">
      <alignment horizontal="right"/>
    </xf>
    <xf numFmtId="0" fontId="0" fillId="0" borderId="8" xfId="0" applyFill="1" applyBorder="1"/>
    <xf numFmtId="0" fontId="0" fillId="0" borderId="4" xfId="0" applyFill="1" applyBorder="1"/>
    <xf numFmtId="0" fontId="0" fillId="0" borderId="18" xfId="0" applyFill="1" applyBorder="1"/>
    <xf numFmtId="0" fontId="35" fillId="4" borderId="13" xfId="3" applyFont="1" applyFill="1" applyBorder="1"/>
    <xf numFmtId="0" fontId="35" fillId="4" borderId="15" xfId="3" applyFont="1" applyFill="1" applyBorder="1" applyAlignment="1">
      <alignment horizontal="right"/>
    </xf>
    <xf numFmtId="1" fontId="35" fillId="4" borderId="15" xfId="3" applyNumberFormat="1" applyFont="1" applyFill="1" applyBorder="1" applyAlignment="1">
      <alignment horizontal="right"/>
    </xf>
    <xf numFmtId="165" fontId="35" fillId="4" borderId="15" xfId="3" applyNumberFormat="1" applyFont="1" applyFill="1" applyBorder="1"/>
    <xf numFmtId="0" fontId="35" fillId="4" borderId="15" xfId="3" applyFont="1" applyFill="1" applyBorder="1"/>
    <xf numFmtId="165" fontId="35" fillId="4" borderId="15" xfId="3" applyNumberFormat="1" applyFont="1" applyFill="1" applyBorder="1" applyAlignment="1">
      <alignment horizontal="right"/>
    </xf>
    <xf numFmtId="0" fontId="35" fillId="4" borderId="17" xfId="3" applyFont="1" applyFill="1" applyBorder="1"/>
    <xf numFmtId="175" fontId="0" fillId="0" borderId="0" xfId="7" applyNumberFormat="1" applyFont="1"/>
    <xf numFmtId="182" fontId="0" fillId="0" borderId="0" xfId="7" applyNumberFormat="1" applyFont="1"/>
    <xf numFmtId="167" fontId="4" fillId="7" borderId="0" xfId="5" applyNumberFormat="1" applyFont="1" applyFill="1" applyBorder="1"/>
    <xf numFmtId="0" fontId="0" fillId="4" borderId="0" xfId="0" applyFill="1" applyBorder="1"/>
    <xf numFmtId="0" fontId="0" fillId="4" borderId="12" xfId="0" applyFill="1" applyBorder="1"/>
    <xf numFmtId="0" fontId="0" fillId="4" borderId="5" xfId="0" applyFill="1" applyBorder="1"/>
    <xf numFmtId="0" fontId="26" fillId="0" borderId="0" xfId="1" applyFont="1" applyFill="1" applyBorder="1" applyAlignment="1">
      <alignment horizontal="right"/>
    </xf>
    <xf numFmtId="164" fontId="26" fillId="0" borderId="0" xfId="0" applyNumberFormat="1" applyFont="1"/>
    <xf numFmtId="171" fontId="4" fillId="0" borderId="6" xfId="0" applyNumberFormat="1" applyFont="1" applyFill="1" applyBorder="1"/>
    <xf numFmtId="171" fontId="4" fillId="0" borderId="5" xfId="0" applyNumberFormat="1" applyFont="1" applyFill="1" applyBorder="1"/>
    <xf numFmtId="171" fontId="4" fillId="0" borderId="0" xfId="0" applyNumberFormat="1" applyFont="1" applyFill="1" applyBorder="1"/>
    <xf numFmtId="171" fontId="4" fillId="0" borderId="12" xfId="0" applyNumberFormat="1" applyFont="1" applyFill="1" applyBorder="1"/>
    <xf numFmtId="171" fontId="4" fillId="0" borderId="6" xfId="0" applyNumberFormat="1" applyFont="1" applyFill="1" applyBorder="1"/>
    <xf numFmtId="171" fontId="4" fillId="0" borderId="5" xfId="0" applyNumberFormat="1" applyFont="1" applyFill="1" applyBorder="1"/>
    <xf numFmtId="171" fontId="4" fillId="0" borderId="0" xfId="0" applyNumberFormat="1" applyFont="1" applyFill="1" applyBorder="1"/>
    <xf numFmtId="171" fontId="4" fillId="0" borderId="12" xfId="0" applyNumberFormat="1" applyFont="1" applyFill="1" applyBorder="1"/>
    <xf numFmtId="171" fontId="4" fillId="0" borderId="6" xfId="0" applyNumberFormat="1" applyFont="1" applyFill="1" applyBorder="1"/>
    <xf numFmtId="171" fontId="4" fillId="0" borderId="5" xfId="0" applyNumberFormat="1" applyFont="1" applyFill="1" applyBorder="1"/>
    <xf numFmtId="171" fontId="4" fillId="0" borderId="0" xfId="0" applyNumberFormat="1" applyFont="1" applyFill="1" applyBorder="1"/>
    <xf numFmtId="171" fontId="4" fillId="0" borderId="12" xfId="0" applyNumberFormat="1" applyFont="1" applyFill="1" applyBorder="1"/>
    <xf numFmtId="167" fontId="4" fillId="0" borderId="6" xfId="9" applyNumberFormat="1" applyFont="1" applyFill="1" applyBorder="1"/>
    <xf numFmtId="0" fontId="33" fillId="0" borderId="0" xfId="4" applyFont="1"/>
    <xf numFmtId="168" fontId="4" fillId="0" borderId="6" xfId="0" applyNumberFormat="1" applyFont="1" applyFill="1" applyBorder="1"/>
    <xf numFmtId="168" fontId="4" fillId="0" borderId="0" xfId="0" applyNumberFormat="1" applyFont="1" applyFill="1" applyBorder="1"/>
    <xf numFmtId="168" fontId="4" fillId="0" borderId="5" xfId="0" applyNumberFormat="1" applyFont="1" applyFill="1" applyBorder="1"/>
    <xf numFmtId="168" fontId="4" fillId="0" borderId="12" xfId="0" applyNumberFormat="1" applyFont="1" applyFill="1" applyBorder="1"/>
    <xf numFmtId="167" fontId="4" fillId="0" borderId="19" xfId="0" applyNumberFormat="1" applyFont="1" applyBorder="1"/>
    <xf numFmtId="164" fontId="38" fillId="4" borderId="0" xfId="3" applyNumberFormat="1" applyFont="1" applyFill="1" applyBorder="1" applyAlignment="1">
      <alignment horizontal="right"/>
    </xf>
    <xf numFmtId="9" fontId="0" fillId="0" borderId="0" xfId="9" applyFont="1" applyAlignment="1">
      <alignment vertical="top"/>
    </xf>
    <xf numFmtId="2" fontId="0" fillId="0" borderId="0" xfId="0" applyNumberFormat="1"/>
    <xf numFmtId="164" fontId="1" fillId="0" borderId="5" xfId="1" applyNumberFormat="1" applyFont="1" applyBorder="1"/>
    <xf numFmtId="164" fontId="2" fillId="6" borderId="13" xfId="5" applyNumberFormat="1" applyFont="1" applyFill="1" applyBorder="1"/>
    <xf numFmtId="164" fontId="2" fillId="6" borderId="15" xfId="5" applyNumberFormat="1" applyFont="1" applyFill="1" applyBorder="1"/>
    <xf numFmtId="164" fontId="2" fillId="0" borderId="13" xfId="5" applyNumberFormat="1" applyFont="1" applyFill="1" applyBorder="1"/>
    <xf numFmtId="164" fontId="2" fillId="0" borderId="15" xfId="5" applyNumberFormat="1" applyFont="1" applyFill="1" applyBorder="1"/>
    <xf numFmtId="0" fontId="0" fillId="0" borderId="5" xfId="0" applyFont="1" applyFill="1" applyBorder="1"/>
    <xf numFmtId="0" fontId="0" fillId="0" borderId="0" xfId="0" applyFont="1" applyFill="1" applyBorder="1"/>
    <xf numFmtId="0" fontId="0" fillId="0" borderId="12" xfId="0" applyFont="1" applyFill="1" applyBorder="1"/>
    <xf numFmtId="0" fontId="0" fillId="0" borderId="6" xfId="0" applyFont="1" applyFill="1" applyBorder="1"/>
    <xf numFmtId="164" fontId="0" fillId="0" borderId="6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164" fontId="0" fillId="0" borderId="12" xfId="0" applyNumberFormat="1" applyFont="1" applyFill="1" applyBorder="1" applyAlignment="1">
      <alignment horizontal="right"/>
    </xf>
    <xf numFmtId="164" fontId="0" fillId="0" borderId="15" xfId="0" applyNumberFormat="1" applyBorder="1" applyAlignment="1">
      <alignment horizontal="right"/>
    </xf>
    <xf numFmtId="0" fontId="32" fillId="12" borderId="0" xfId="4" applyFont="1" applyFill="1" applyAlignment="1">
      <alignment horizontal="left" indent="1"/>
    </xf>
    <xf numFmtId="0" fontId="32" fillId="0" borderId="0" xfId="4" applyFont="1" applyAlignment="1">
      <alignment horizontal="left" indent="1"/>
    </xf>
    <xf numFmtId="0" fontId="52" fillId="11" borderId="0" xfId="4" applyFont="1" applyFill="1" applyAlignment="1">
      <alignment horizontal="left"/>
    </xf>
    <xf numFmtId="0" fontId="32" fillId="0" borderId="0" xfId="4" applyFont="1" applyAlignment="1">
      <alignment horizontal="left" indent="4"/>
    </xf>
    <xf numFmtId="0" fontId="52" fillId="12" borderId="0" xfId="4" applyFont="1" applyFill="1" applyAlignment="1">
      <alignment horizontal="right"/>
    </xf>
    <xf numFmtId="0" fontId="52" fillId="12" borderId="0" xfId="4" applyFont="1" applyFill="1" applyAlignment="1">
      <alignment horizontal="left" indent="3"/>
    </xf>
    <xf numFmtId="0" fontId="32" fillId="12" borderId="0" xfId="4" applyFont="1" applyFill="1" applyAlignment="1">
      <alignment horizontal="left" indent="4"/>
    </xf>
    <xf numFmtId="0" fontId="52" fillId="0" borderId="0" xfId="4" applyFont="1" applyAlignment="1">
      <alignment horizontal="right"/>
    </xf>
    <xf numFmtId="0" fontId="52" fillId="0" borderId="0" xfId="4" applyFont="1" applyAlignment="1">
      <alignment horizontal="left" indent="3"/>
    </xf>
    <xf numFmtId="0" fontId="53" fillId="0" borderId="6" xfId="0" applyFont="1" applyBorder="1"/>
    <xf numFmtId="164" fontId="55" fillId="0" borderId="27" xfId="17" quotePrefix="1" applyNumberFormat="1" applyFont="1" applyFill="1" applyBorder="1" applyAlignment="1" applyProtection="1">
      <alignment horizontal="right" vertical="center"/>
    </xf>
    <xf numFmtId="167" fontId="5" fillId="0" borderId="6" xfId="5" applyNumberFormat="1" applyFont="1" applyBorder="1" applyAlignment="1">
      <alignment horizontal="right"/>
    </xf>
    <xf numFmtId="167" fontId="11" fillId="0" borderId="0" xfId="5" applyNumberFormat="1" applyFont="1" applyBorder="1"/>
    <xf numFmtId="167" fontId="7" fillId="0" borderId="0" xfId="5" applyNumberFormat="1" applyFont="1" applyBorder="1"/>
    <xf numFmtId="164" fontId="4" fillId="0" borderId="12" xfId="1" applyNumberFormat="1" applyFont="1" applyFill="1" applyBorder="1"/>
    <xf numFmtId="167" fontId="1" fillId="0" borderId="12" xfId="2" applyNumberFormat="1" applyFont="1" applyFill="1" applyBorder="1"/>
    <xf numFmtId="164" fontId="7" fillId="0" borderId="6" xfId="1" applyNumberFormat="1" applyFont="1" applyFill="1" applyBorder="1"/>
    <xf numFmtId="164" fontId="1" fillId="0" borderId="12" xfId="1" applyNumberFormat="1" applyFill="1" applyBorder="1" applyAlignment="1">
      <alignment horizontal="right"/>
    </xf>
    <xf numFmtId="167" fontId="1" fillId="0" borderId="0" xfId="2" applyNumberFormat="1" applyFont="1" applyFill="1" applyBorder="1"/>
    <xf numFmtId="164" fontId="1" fillId="0" borderId="12" xfId="1" applyNumberFormat="1" applyFont="1" applyFill="1" applyBorder="1"/>
    <xf numFmtId="167" fontId="4" fillId="0" borderId="6" xfId="2" applyNumberFormat="1" applyFont="1" applyFill="1" applyBorder="1"/>
    <xf numFmtId="164" fontId="1" fillId="0" borderId="6" xfId="1" applyNumberFormat="1" applyFont="1" applyFill="1" applyBorder="1"/>
    <xf numFmtId="164" fontId="15" fillId="0" borderId="2" xfId="0" applyNumberFormat="1" applyFont="1" applyFill="1" applyBorder="1" applyAlignment="1"/>
    <xf numFmtId="164" fontId="4" fillId="0" borderId="4" xfId="0" applyNumberFormat="1" applyFont="1" applyFill="1" applyBorder="1" applyAlignment="1"/>
    <xf numFmtId="164" fontId="0" fillId="0" borderId="0" xfId="0" applyNumberFormat="1" applyFill="1" applyBorder="1" applyAlignment="1"/>
    <xf numFmtId="168" fontId="4" fillId="0" borderId="15" xfId="0" applyNumberFormat="1" applyFont="1" applyFill="1" applyBorder="1" applyAlignment="1"/>
    <xf numFmtId="168" fontId="5" fillId="0" borderId="15" xfId="0" applyNumberFormat="1" applyFont="1" applyFill="1" applyBorder="1" applyAlignment="1"/>
    <xf numFmtId="164" fontId="16" fillId="0" borderId="6" xfId="5" applyNumberFormat="1" applyFont="1" applyFill="1" applyBorder="1"/>
    <xf numFmtId="164" fontId="40" fillId="6" borderId="17" xfId="5" applyNumberFormat="1" applyFont="1" applyFill="1" applyBorder="1"/>
    <xf numFmtId="164" fontId="40" fillId="0" borderId="0" xfId="5" applyNumberFormat="1" applyFont="1" applyFill="1" applyBorder="1"/>
    <xf numFmtId="164" fontId="40" fillId="0" borderId="17" xfId="5" applyNumberFormat="1" applyFont="1" applyFill="1" applyBorder="1"/>
    <xf numFmtId="164" fontId="40" fillId="6" borderId="0" xfId="5" applyNumberFormat="1" applyFont="1" applyFill="1" applyBorder="1"/>
    <xf numFmtId="4" fontId="18" fillId="0" borderId="0" xfId="1" applyNumberFormat="1" applyFont="1"/>
    <xf numFmtId="165" fontId="1" fillId="0" borderId="0" xfId="1" applyNumberFormat="1" applyBorder="1"/>
    <xf numFmtId="3" fontId="4" fillId="0" borderId="6" xfId="5" applyNumberFormat="1" applyFont="1" applyFill="1" applyBorder="1"/>
    <xf numFmtId="3" fontId="1" fillId="0" borderId="6" xfId="5" applyNumberFormat="1" applyFont="1" applyFill="1" applyBorder="1"/>
    <xf numFmtId="3" fontId="5" fillId="0" borderId="6" xfId="5" applyNumberFormat="1" applyFont="1" applyFill="1" applyBorder="1"/>
    <xf numFmtId="167" fontId="5" fillId="0" borderId="6" xfId="2" applyNumberFormat="1" applyFont="1" applyBorder="1" applyAlignment="1">
      <alignment horizontal="right"/>
    </xf>
    <xf numFmtId="164" fontId="0" fillId="0" borderId="14" xfId="0" applyNumberFormat="1" applyBorder="1"/>
    <xf numFmtId="165" fontId="0" fillId="0" borderId="6" xfId="0" applyNumberFormat="1" applyBorder="1"/>
    <xf numFmtId="164" fontId="1" fillId="0" borderId="0" xfId="1" applyNumberFormat="1" applyFill="1"/>
    <xf numFmtId="167" fontId="5" fillId="0" borderId="6" xfId="2" applyNumberFormat="1" applyFont="1" applyFill="1" applyBorder="1" applyAlignment="1">
      <alignment horizontal="right"/>
    </xf>
    <xf numFmtId="0" fontId="1" fillId="0" borderId="6" xfId="1" applyFill="1" applyBorder="1"/>
    <xf numFmtId="0" fontId="1" fillId="0" borderId="12" xfId="1" applyFill="1" applyBorder="1"/>
    <xf numFmtId="167" fontId="5" fillId="0" borderId="6" xfId="2" applyNumberFormat="1" applyFont="1" applyFill="1" applyBorder="1"/>
    <xf numFmtId="167" fontId="5" fillId="0" borderId="12" xfId="2" applyNumberFormat="1" applyFont="1" applyFill="1" applyBorder="1"/>
    <xf numFmtId="167" fontId="5" fillId="0" borderId="14" xfId="2" applyNumberFormat="1" applyFont="1" applyFill="1" applyBorder="1" applyAlignment="1">
      <alignment horizontal="right"/>
    </xf>
    <xf numFmtId="0" fontId="2" fillId="0" borderId="2" xfId="1" applyFont="1" applyFill="1" applyBorder="1" applyAlignment="1">
      <alignment horizontal="right"/>
    </xf>
    <xf numFmtId="167" fontId="5" fillId="0" borderId="14" xfId="2" applyNumberFormat="1" applyFont="1" applyFill="1" applyBorder="1"/>
    <xf numFmtId="167" fontId="5" fillId="0" borderId="17" xfId="2" applyNumberFormat="1" applyFont="1" applyFill="1" applyBorder="1"/>
    <xf numFmtId="9" fontId="0" fillId="0" borderId="7" xfId="0" applyNumberFormat="1" applyFont="1" applyBorder="1"/>
    <xf numFmtId="9" fontId="0" fillId="0" borderId="2" xfId="0" applyNumberFormat="1" applyFont="1" applyBorder="1"/>
    <xf numFmtId="9" fontId="0" fillId="0" borderId="2" xfId="0" applyNumberFormat="1" applyFont="1" applyFill="1" applyBorder="1"/>
    <xf numFmtId="9" fontId="0" fillId="0" borderId="14" xfId="0" applyNumberFormat="1" applyFont="1" applyBorder="1"/>
    <xf numFmtId="164" fontId="13" fillId="0" borderId="2" xfId="0" applyNumberFormat="1" applyFont="1" applyFill="1" applyBorder="1" applyAlignment="1">
      <alignment horizontal="right"/>
    </xf>
    <xf numFmtId="164" fontId="5" fillId="0" borderId="6" xfId="0" applyNumberFormat="1" applyFont="1" applyFill="1" applyBorder="1"/>
    <xf numFmtId="165" fontId="2" fillId="0" borderId="2" xfId="0" applyNumberFormat="1" applyFont="1" applyBorder="1" applyAlignment="1">
      <alignment horizontal="right"/>
    </xf>
    <xf numFmtId="165" fontId="1" fillId="0" borderId="6" xfId="1" applyNumberFormat="1" applyFont="1" applyBorder="1"/>
    <xf numFmtId="165" fontId="0" fillId="0" borderId="6" xfId="0" applyNumberFormat="1" applyFont="1" applyBorder="1" applyAlignment="1">
      <alignment horizontal="right"/>
    </xf>
    <xf numFmtId="165" fontId="1" fillId="0" borderId="6" xfId="1" applyNumberFormat="1" applyFill="1" applyBorder="1"/>
    <xf numFmtId="165" fontId="2" fillId="0" borderId="2" xfId="0" applyNumberFormat="1" applyFont="1" applyBorder="1" applyAlignment="1"/>
    <xf numFmtId="165" fontId="0" fillId="0" borderId="2" xfId="0" applyNumberFormat="1" applyBorder="1" applyAlignment="1">
      <alignment horizontal="right"/>
    </xf>
    <xf numFmtId="165" fontId="0" fillId="0" borderId="6" xfId="0" applyNumberFormat="1" applyFill="1" applyBorder="1"/>
    <xf numFmtId="168" fontId="1" fillId="0" borderId="0" xfId="5" applyNumberFormat="1" applyBorder="1"/>
    <xf numFmtId="9" fontId="0" fillId="0" borderId="0" xfId="9" applyFont="1"/>
    <xf numFmtId="164" fontId="0" fillId="0" borderId="14" xfId="0" applyNumberFormat="1" applyFill="1" applyBorder="1"/>
    <xf numFmtId="164" fontId="0" fillId="0" borderId="6" xfId="0" applyNumberFormat="1" applyFill="1" applyBorder="1" applyAlignment="1">
      <alignment horizontal="right"/>
    </xf>
    <xf numFmtId="0" fontId="0" fillId="9" borderId="0" xfId="0" applyFill="1"/>
    <xf numFmtId="9" fontId="0" fillId="19" borderId="0" xfId="9" applyFont="1" applyFill="1"/>
    <xf numFmtId="9" fontId="0" fillId="20" borderId="0" xfId="9" applyFont="1" applyFill="1"/>
    <xf numFmtId="0" fontId="2" fillId="0" borderId="0" xfId="0" applyFont="1" applyAlignment="1">
      <alignment horizontal="center" vertical="top" wrapText="1"/>
    </xf>
    <xf numFmtId="9" fontId="0" fillId="19" borderId="19" xfId="0" applyNumberFormat="1" applyFill="1" applyBorder="1" applyAlignment="1">
      <alignment horizontal="center"/>
    </xf>
    <xf numFmtId="9" fontId="0" fillId="20" borderId="19" xfId="0" applyNumberFormat="1" applyFill="1" applyBorder="1" applyAlignment="1">
      <alignment horizontal="center"/>
    </xf>
    <xf numFmtId="0" fontId="0" fillId="9" borderId="41" xfId="0" applyFill="1" applyBorder="1" applyAlignment="1">
      <alignment wrapText="1"/>
    </xf>
    <xf numFmtId="9" fontId="0" fillId="9" borderId="42" xfId="0" applyNumberFormat="1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0" fillId="19" borderId="44" xfId="0" applyFill="1" applyBorder="1" applyAlignment="1">
      <alignment wrapText="1"/>
    </xf>
    <xf numFmtId="0" fontId="0" fillId="19" borderId="45" xfId="0" applyFill="1" applyBorder="1" applyAlignment="1">
      <alignment horizontal="center"/>
    </xf>
    <xf numFmtId="0" fontId="0" fillId="20" borderId="44" xfId="0" applyFill="1" applyBorder="1" applyAlignment="1">
      <alignment wrapText="1"/>
    </xf>
    <xf numFmtId="0" fontId="0" fillId="20" borderId="45" xfId="0" applyFill="1" applyBorder="1" applyAlignment="1">
      <alignment horizontal="center"/>
    </xf>
    <xf numFmtId="0" fontId="0" fillId="20" borderId="46" xfId="0" applyFill="1" applyBorder="1" applyAlignment="1">
      <alignment wrapText="1"/>
    </xf>
    <xf numFmtId="9" fontId="0" fillId="20" borderId="47" xfId="0" applyNumberFormat="1" applyFill="1" applyBorder="1" applyAlignment="1">
      <alignment horizontal="center"/>
    </xf>
    <xf numFmtId="0" fontId="0" fillId="20" borderId="48" xfId="0" applyFill="1" applyBorder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19" borderId="19" xfId="0" applyFill="1" applyBorder="1" applyAlignment="1">
      <alignment vertical="top"/>
    </xf>
    <xf numFmtId="0" fontId="0" fillId="19" borderId="19" xfId="0" applyFill="1" applyBorder="1" applyAlignment="1">
      <alignment vertical="top" wrapText="1"/>
    </xf>
    <xf numFmtId="0" fontId="0" fillId="19" borderId="19" xfId="0" applyFill="1" applyBorder="1" applyAlignment="1">
      <alignment horizontal="center" vertical="top"/>
    </xf>
    <xf numFmtId="0" fontId="0" fillId="9" borderId="41" xfId="0" applyFill="1" applyBorder="1" applyAlignment="1">
      <alignment vertical="top"/>
    </xf>
    <xf numFmtId="0" fontId="0" fillId="9" borderId="42" xfId="0" applyFill="1" applyBorder="1" applyAlignment="1">
      <alignment vertical="top"/>
    </xf>
    <xf numFmtId="0" fontId="0" fillId="9" borderId="42" xfId="0" applyFill="1" applyBorder="1" applyAlignment="1">
      <alignment vertical="top" wrapText="1"/>
    </xf>
    <xf numFmtId="0" fontId="0" fillId="9" borderId="42" xfId="0" applyFill="1" applyBorder="1" applyAlignment="1">
      <alignment horizontal="center" vertical="top"/>
    </xf>
    <xf numFmtId="0" fontId="0" fillId="19" borderId="44" xfId="0" applyFill="1" applyBorder="1" applyAlignment="1">
      <alignment vertical="top"/>
    </xf>
    <xf numFmtId="0" fontId="0" fillId="20" borderId="46" xfId="0" applyFill="1" applyBorder="1" applyAlignment="1">
      <alignment vertical="top"/>
    </xf>
    <xf numFmtId="0" fontId="0" fillId="20" borderId="47" xfId="0" applyFill="1" applyBorder="1" applyAlignment="1">
      <alignment vertical="top"/>
    </xf>
    <xf numFmtId="0" fontId="0" fillId="20" borderId="47" xfId="0" applyFill="1" applyBorder="1" applyAlignment="1">
      <alignment vertical="top" wrapText="1"/>
    </xf>
    <xf numFmtId="0" fontId="0" fillId="20" borderId="47" xfId="0" applyFill="1" applyBorder="1" applyAlignment="1">
      <alignment horizontal="center" vertical="top"/>
    </xf>
    <xf numFmtId="0" fontId="0" fillId="19" borderId="45" xfId="0" quotePrefix="1" applyFill="1" applyBorder="1" applyAlignment="1">
      <alignment horizontal="center" vertical="top"/>
    </xf>
    <xf numFmtId="0" fontId="0" fillId="20" borderId="48" xfId="0" quotePrefix="1" applyFill="1" applyBorder="1" applyAlignment="1">
      <alignment horizontal="center" vertical="top"/>
    </xf>
    <xf numFmtId="14" fontId="1" fillId="4" borderId="0" xfId="10" applyNumberFormat="1" applyFill="1"/>
    <xf numFmtId="0" fontId="0" fillId="9" borderId="43" xfId="0" quotePrefix="1" applyFill="1" applyBorder="1" applyAlignment="1">
      <alignment horizontal="center" vertical="top" wrapText="1"/>
    </xf>
    <xf numFmtId="183" fontId="1" fillId="0" borderId="0" xfId="1" applyNumberFormat="1" applyBorder="1"/>
    <xf numFmtId="0" fontId="31" fillId="4" borderId="0" xfId="10" applyFont="1" applyFill="1" applyBorder="1" applyAlignment="1">
      <alignment horizontal="center"/>
    </xf>
    <xf numFmtId="0" fontId="27" fillId="6" borderId="1" xfId="10" applyFont="1" applyFill="1" applyBorder="1" applyAlignment="1">
      <alignment horizontal="left"/>
    </xf>
    <xf numFmtId="0" fontId="27" fillId="6" borderId="16" xfId="10" applyFont="1" applyFill="1" applyBorder="1" applyAlignment="1">
      <alignment horizontal="left"/>
    </xf>
    <xf numFmtId="179" fontId="44" fillId="17" borderId="0" xfId="15" applyNumberFormat="1" applyFont="1" applyFill="1" applyBorder="1"/>
    <xf numFmtId="0" fontId="50" fillId="3" borderId="32" xfId="5" applyFont="1" applyFill="1" applyBorder="1" applyAlignment="1">
      <alignment horizontal="center"/>
    </xf>
    <xf numFmtId="0" fontId="3" fillId="0" borderId="0" xfId="0" applyFont="1" applyAlignment="1">
      <alignment horizontal="left" indent="1"/>
    </xf>
    <xf numFmtId="0" fontId="47" fillId="0" borderId="0" xfId="0" applyFont="1" applyAlignment="1">
      <alignment horizontal="left" indent="3"/>
    </xf>
    <xf numFmtId="0" fontId="47" fillId="0" borderId="0" xfId="0" applyFont="1" applyAlignment="1">
      <alignment horizontal="left" indent="4"/>
    </xf>
    <xf numFmtId="0" fontId="3" fillId="0" borderId="0" xfId="0" applyFont="1" applyAlignment="1">
      <alignment horizontal="left" indent="5"/>
    </xf>
    <xf numFmtId="0" fontId="47" fillId="0" borderId="0" xfId="0" applyFont="1" applyAlignment="1">
      <alignment horizontal="left" indent="5"/>
    </xf>
    <xf numFmtId="0" fontId="3" fillId="0" borderId="0" xfId="0" applyFont="1" applyAlignment="1">
      <alignment horizontal="left" indent="6"/>
    </xf>
    <xf numFmtId="0" fontId="0" fillId="2" borderId="6" xfId="5" applyFont="1" applyFill="1" applyBorder="1" applyAlignment="1">
      <alignment horizontal="left" indent="1"/>
    </xf>
    <xf numFmtId="0" fontId="0" fillId="2" borderId="5" xfId="0" applyFill="1" applyBorder="1"/>
    <xf numFmtId="0" fontId="0" fillId="2" borderId="0" xfId="0" applyFill="1" applyBorder="1"/>
    <xf numFmtId="0" fontId="0" fillId="2" borderId="12" xfId="0" applyFill="1" applyBorder="1"/>
    <xf numFmtId="0" fontId="0" fillId="2" borderId="6" xfId="0" applyFill="1" applyBorder="1"/>
    <xf numFmtId="164" fontId="0" fillId="2" borderId="6" xfId="0" applyNumberFormat="1" applyFill="1" applyBorder="1"/>
    <xf numFmtId="164" fontId="0" fillId="2" borderId="5" xfId="0" applyNumberFormat="1" applyFill="1" applyBorder="1"/>
    <xf numFmtId="164" fontId="0" fillId="2" borderId="0" xfId="0" applyNumberFormat="1" applyFill="1" applyBorder="1"/>
    <xf numFmtId="164" fontId="0" fillId="2" borderId="12" xfId="0" applyNumberFormat="1" applyFill="1" applyBorder="1"/>
  </cellXfs>
  <cellStyles count="18">
    <cellStyle name="Blue" xfId="17" xr:uid="{7CBDDCF2-566D-4A13-82C1-E15EED481CBB}"/>
    <cellStyle name="Comma" xfId="7" builtinId="3"/>
    <cellStyle name="Comma 2 2" xfId="11" xr:uid="{A2771613-F31B-49A8-B4BE-BCD052F912C3}"/>
    <cellStyle name="Currency" xfId="8" builtinId="4"/>
    <cellStyle name="Heading 3" xfId="14" builtinId="18"/>
    <cellStyle name="Hyperlink" xfId="15" builtinId="8"/>
    <cellStyle name="Normal" xfId="0" builtinId="0"/>
    <cellStyle name="Normal 10" xfId="3" xr:uid="{4EB25F46-5619-4DFD-90D7-5908BC635E8E}"/>
    <cellStyle name="Normal 12" xfId="1" xr:uid="{AB3C1715-A0E9-42A3-AA06-275173CC6DED}"/>
    <cellStyle name="Normal 12 2 12" xfId="5" xr:uid="{6B0A2686-87E3-43E7-A4DB-39B2D4557944}"/>
    <cellStyle name="Normal 12 3" xfId="10" xr:uid="{C77B7E14-E982-438B-B4FF-45A326FE5508}"/>
    <cellStyle name="Normal 2" xfId="4" xr:uid="{00000000-0005-0000-0000-000032000000}"/>
    <cellStyle name="Normal 2 2" xfId="16" xr:uid="{F6F0E231-395B-4899-A873-D36078F21115}"/>
    <cellStyle name="Normal 91" xfId="13" xr:uid="{3EEBBD3E-E387-429F-887F-C57CF0B46659}"/>
    <cellStyle name="Percent" xfId="9" builtinId="5"/>
    <cellStyle name="Percent 10" xfId="12" xr:uid="{866631E7-9CC0-4802-A9D5-8EB87D0DFA25}"/>
    <cellStyle name="Percent 2" xfId="2" xr:uid="{29D3826C-98EB-4F3A-AB99-69B136BBD848}"/>
    <cellStyle name="Percent 2 2" xfId="6" xr:uid="{9370EE4F-B5B1-485F-8BE7-32DABB5EF9C8}"/>
  </cellStyles>
  <dxfs count="101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fdslive.rtdserver">
      <tp>
        <v>12.239999771118164</v>
        <stp/>
        <stp>MPLT</stp>
        <stp>RTP_PRICE_LOW_52W</stp>
        <tr r="Q18" s="12"/>
      </tp>
      <tp>
        <v>22.99</v>
        <stp/>
        <stp>MPLT</stp>
        <stp>RTP_PRICE_HIGH_52W</stp>
        <tr r="R18" s="1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'SOTP-FIGURE'!$R$18:$V$18</c:f>
              <c:strCache>
                <c:ptCount val="5"/>
                <c:pt idx="0">
                  <c:v>ML-007 - Schizophrenia</c:v>
                </c:pt>
                <c:pt idx="1">
                  <c:v>ML-007 - AD Psychosis</c:v>
                </c:pt>
                <c:pt idx="2">
                  <c:v>Platform Value</c:v>
                </c:pt>
                <c:pt idx="3">
                  <c:v>Net Cash</c:v>
                </c:pt>
                <c:pt idx="4">
                  <c:v>Value/ Share</c:v>
                </c:pt>
              </c:strCache>
            </c:strRef>
          </c:cat>
          <c:val>
            <c:numRef>
              <c:f>'SOTP-FIGURE'!$R$19:$V$19</c:f>
              <c:numCache>
                <c:formatCode>_("$"* #,##0_);_("$"* \(#,##0\);_("$"* "-"??_);_(@_)</c:formatCode>
                <c:ptCount val="5"/>
                <c:pt idx="1">
                  <c:v>16.03923856356985</c:v>
                </c:pt>
                <c:pt idx="2">
                  <c:v>25.186401322524709</c:v>
                </c:pt>
                <c:pt idx="3">
                  <c:v>27.498784867289771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2-4068-AA25-593D4BF47E81}"/>
            </c:ext>
          </c:extLst>
        </c:ser>
        <c:ser>
          <c:idx val="1"/>
          <c:order val="1"/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93-4055-8517-B1AFFA46D8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93-4055-8517-B1AFFA46D8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'SOTP-FIGURE'!$R$18:$V$18</c:f>
              <c:strCache>
                <c:ptCount val="5"/>
                <c:pt idx="0">
                  <c:v>ML-007 - Schizophrenia</c:v>
                </c:pt>
                <c:pt idx="1">
                  <c:v>ML-007 - AD Psychosis</c:v>
                </c:pt>
                <c:pt idx="2">
                  <c:v>Platform Value</c:v>
                </c:pt>
                <c:pt idx="3">
                  <c:v>Net Cash</c:v>
                </c:pt>
                <c:pt idx="4">
                  <c:v>Value/ Share</c:v>
                </c:pt>
              </c:strCache>
            </c:strRef>
          </c:cat>
          <c:val>
            <c:numRef>
              <c:f>'SOTP-FIGURE'!$R$20:$V$20</c:f>
              <c:numCache>
                <c:formatCode>_("$"* #,##0_);_("$"* \(#,##0\);_("$"* "-"??_);_(@_)</c:formatCode>
                <c:ptCount val="5"/>
                <c:pt idx="0">
                  <c:v>16.03923856356985</c:v>
                </c:pt>
                <c:pt idx="1">
                  <c:v>9.1471627589548596</c:v>
                </c:pt>
                <c:pt idx="2">
                  <c:v>2.3123835447650603</c:v>
                </c:pt>
                <c:pt idx="3">
                  <c:v>9.7128818066042477</c:v>
                </c:pt>
                <c:pt idx="4">
                  <c:v>37.211666673894015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2-4068-AA25-593D4BF47E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731490816"/>
        <c:axId val="734406832"/>
      </c:barChart>
      <c:catAx>
        <c:axId val="7314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4406832"/>
        <c:crosses val="autoZero"/>
        <c:auto val="1"/>
        <c:lblAlgn val="ctr"/>
        <c:lblOffset val="100"/>
        <c:noMultiLvlLbl val="0"/>
      </c:catAx>
      <c:valAx>
        <c:axId val="73440683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4908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waterfall" uniqueId="{9ABB0824-6074-4EEF-94E6-3619F5D14586}">
          <cx:dataPt idx="0">
            <cx:spPr>
              <a:solidFill>
                <a:srgbClr val="70AD47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ED7D31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4472C4">
                  <a:lumMod val="40000"/>
                  <a:lumOff val="60000"/>
                </a:srgbClr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2800" b="1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2800"/>
                  </a:pPr>
                  <a:r>
                    <a:rPr lang="en-US" sz="2800" b="1" i="0" u="none" strike="noStrike" baseline="0">
                      <a:solidFill>
                        <a:schemeClr val="tx1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 898 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  <cx:layoutPr>
            <cx:visibility connectorLines="0"/>
            <cx:subtotals>
              <cx:idx val="2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tickLabels/>
        <cx:numFmt formatCode="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 b="1">
                <a:solidFill>
                  <a:schemeClr val="tx1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 b="1" i="0" u="none" strike="noStrike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  <cx:spPr>
    <a:ln>
      <a:noFill/>
    </a:ln>
  </cx:spPr>
  <cx:printSettings>
    <cx:headerFooter alignWithMargins="1" differentOddEven="0" differentFirst="0"/>
    <cx:pageMargins l="0.0013888888888888889" r="0.0013888888888888889" t="0.0013888888888888889" b="0.0013888888888888889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89000" cy="419100"/>
    <xdr:pic>
      <xdr:nvPicPr>
        <xdr:cNvPr id="2" name="Picture 2">
          <a:extLst>
            <a:ext uri="{FF2B5EF4-FFF2-40B4-BE49-F238E27FC236}">
              <a16:creationId xmlns:a16="http://schemas.microsoft.com/office/drawing/2014/main" id="{2F143B3F-A247-4ED3-91DF-5B5D31D2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9000" cy="41910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188118</xdr:colOff>
      <xdr:row>23</xdr:row>
      <xdr:rowOff>15477</xdr:rowOff>
    </xdr:from>
    <xdr:to>
      <xdr:col>24</xdr:col>
      <xdr:colOff>691356</xdr:colOff>
      <xdr:row>45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7263C2-81AB-4783-9868-75EC0F8EA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71833</xdr:colOff>
      <xdr:row>49</xdr:row>
      <xdr:rowOff>45639</xdr:rowOff>
    </xdr:from>
    <xdr:to>
      <xdr:col>34</xdr:col>
      <xdr:colOff>30162</xdr:colOff>
      <xdr:row>63</xdr:row>
      <xdr:rowOff>115489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FFCC52B-F6FD-44E1-B1DF-F9CEB16615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0383" y="9475389"/>
              <a:ext cx="6359129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761999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0AC75-2EB0-43A9-B678-B0F74B47A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1371599" cy="276225"/>
        </a:xfrm>
        <a:prstGeom prst="rect">
          <a:avLst/>
        </a:prstGeom>
      </xdr:spPr>
    </xdr:pic>
    <xdr:clientData/>
  </xdr:twoCellAnchor>
  <xdr:absoluteAnchor>
    <xdr:pos x="0" y="0"/>
    <xdr:ext cx="889000" cy="419100"/>
    <xdr:pic>
      <xdr:nvPicPr>
        <xdr:cNvPr id="3" name="Picture 2">
          <a:extLst>
            <a:ext uri="{FF2B5EF4-FFF2-40B4-BE49-F238E27FC236}">
              <a16:creationId xmlns:a16="http://schemas.microsoft.com/office/drawing/2014/main" id="{F61D43C5-4202-4E2A-8E4D-05FD743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889000" cy="419100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nal.leerink.com/nyc/Users/joshua/Downloads/AUX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erink2.bluematrix.com/billt/LOCALS~1/Temp/DOCUME~1/ADMINI~1/LOCALS~1/Temp/WINNT/Profiles/billt/Temporary%20Internet%20Files/OLK17/WINNT/Profiles/billt/Temporary%20Internet%20Files/OLK17/JennC/JennGENZ/GENZ%20per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ee\Desktop\BPMC%20Desktop%20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TM vs Indices"/>
      <sheetName val="Price Perf"/>
      <sheetName val="GENZ Divisions vs Indices"/>
      <sheetName val="Perf with Repor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_FDSCACHE__"/>
      <sheetName val="CATALYSTS"/>
      <sheetName val="Variance"/>
      <sheetName val="IS"/>
      <sheetName val="REVENUE"/>
      <sheetName val="Gavreto US Profit Share"/>
      <sheetName val="SOTP"/>
      <sheetName val="OPEX"/>
      <sheetName val="GIST MM"/>
      <sheetName val="SM MM"/>
      <sheetName val="RET MM"/>
      <sheetName val="EGFR MM"/>
      <sheetName val="EGFR exon20 MM"/>
      <sheetName val="BS"/>
      <sheetName val="CF"/>
      <sheetName val="Debt"/>
      <sheetName val="IP"/>
      <sheetName val="Licensing &amp; Agreements"/>
      <sheetName val="VA Consensus"/>
      <sheetName val="SOTP-FIGURE"/>
      <sheetName val="CHARTS"/>
      <sheetName val="MARKETING"/>
      <sheetName val="CHANGES"/>
      <sheetName val="FactS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3">
          <cell r="L23">
            <v>19.671019837531777</v>
          </cell>
        </row>
        <row r="172">
          <cell r="C172" t="str">
            <v>Notes:</v>
          </cell>
        </row>
        <row r="173">
          <cell r="C173" t="str">
            <v>By default, this downloaded page includes data from 1QFY-2021 (1QFY-2021) to FY-2040 (FY-2040)</v>
          </cell>
        </row>
        <row r="174">
          <cell r="C174" t="str">
            <v>It contains the same period types as those selected for the worksheet on the Visible Alpha web platform.</v>
          </cell>
        </row>
        <row r="175">
          <cell r="C175" t="str">
            <v>Visible Alpha has Quarterly and Annual data for BPMC_US from Jan 2014 to Dec 2040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34E1-4274-4E73-B424-4AC6A05202AA}">
  <dimension ref="A1:B6"/>
  <sheetViews>
    <sheetView workbookViewId="0"/>
  </sheetViews>
  <sheetFormatPr defaultRowHeight="14.5" x14ac:dyDescent="0.35"/>
  <sheetData>
    <row r="1" spans="1:2" x14ac:dyDescent="0.35">
      <c r="B1" t="s">
        <v>164</v>
      </c>
    </row>
    <row r="2" spans="1:2" x14ac:dyDescent="0.35"/>
    <row r="3" spans="1:2" x14ac:dyDescent="0.35"/>
    <row r="4" spans="1:2" x14ac:dyDescent="0.35"/>
    <row r="5" spans="1:2" x14ac:dyDescent="0.35"/>
    <row r="6" spans="1:2" x14ac:dyDescent="0.3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D820-7586-49B5-A74D-9B1A21196E6F}">
  <sheetPr>
    <pageSetUpPr fitToPage="1"/>
  </sheetPr>
  <dimension ref="A1:N28"/>
  <sheetViews>
    <sheetView zoomScale="85" zoomScaleNormal="85" workbookViewId="0">
      <selection activeCell="G38" sqref="G38"/>
    </sheetView>
  </sheetViews>
  <sheetFormatPr defaultRowHeight="14.5" outlineLevelRow="1" outlineLevelCol="1" x14ac:dyDescent="0.35"/>
  <cols>
    <col min="1" max="1" width="40.453125" customWidth="1"/>
    <col min="2" max="2" width="11.54296875" hidden="1" customWidth="1" outlineLevel="1"/>
    <col min="3" max="3" width="11.54296875" customWidth="1" collapsed="1"/>
    <col min="4" max="7" width="11.54296875" customWidth="1"/>
    <col min="10" max="10" width="17.1796875" customWidth="1"/>
    <col min="14" max="14" width="9.453125" bestFit="1" customWidth="1"/>
  </cols>
  <sheetData>
    <row r="1" spans="1:14" ht="15.5" x14ac:dyDescent="0.35">
      <c r="A1" s="542" t="s">
        <v>268</v>
      </c>
      <c r="B1" s="543"/>
      <c r="C1" s="543"/>
      <c r="D1" s="543"/>
      <c r="E1" s="543"/>
      <c r="F1" s="543"/>
      <c r="G1" s="543"/>
      <c r="H1" s="543"/>
      <c r="I1" s="544"/>
      <c r="J1" s="545"/>
    </row>
    <row r="2" spans="1:14" ht="15" thickBot="1" x14ac:dyDescent="0.4">
      <c r="A2" s="566"/>
      <c r="B2" s="546"/>
      <c r="C2" s="546"/>
      <c r="D2" s="546"/>
      <c r="E2" s="546"/>
      <c r="F2" s="546"/>
      <c r="G2" s="546"/>
      <c r="H2" s="546"/>
      <c r="I2" s="547"/>
      <c r="J2" s="548"/>
    </row>
    <row r="3" spans="1:14" x14ac:dyDescent="0.35">
      <c r="A3" s="570"/>
      <c r="B3" s="571" t="s">
        <v>362</v>
      </c>
      <c r="C3" s="571" t="s">
        <v>363</v>
      </c>
      <c r="D3" s="572"/>
      <c r="E3" s="571" t="s">
        <v>370</v>
      </c>
      <c r="F3" s="572"/>
      <c r="G3" s="573"/>
      <c r="H3" s="572"/>
      <c r="I3" s="573"/>
      <c r="J3" s="574"/>
      <c r="N3" s="729">
        <v>44768</v>
      </c>
    </row>
    <row r="4" spans="1:14" x14ac:dyDescent="0.35">
      <c r="A4" s="575"/>
      <c r="B4" s="549" t="s">
        <v>114</v>
      </c>
      <c r="C4" s="549" t="s">
        <v>236</v>
      </c>
      <c r="D4" s="549" t="s">
        <v>34</v>
      </c>
      <c r="E4" s="549" t="s">
        <v>236</v>
      </c>
      <c r="F4" s="549" t="s">
        <v>34</v>
      </c>
      <c r="G4" s="549" t="s">
        <v>237</v>
      </c>
      <c r="H4" s="550"/>
      <c r="I4" s="549" t="s">
        <v>16</v>
      </c>
      <c r="J4" s="713" t="s">
        <v>238</v>
      </c>
      <c r="N4" s="549" t="s">
        <v>16</v>
      </c>
    </row>
    <row r="5" spans="1:14" x14ac:dyDescent="0.35">
      <c r="A5" s="576" t="s">
        <v>239</v>
      </c>
      <c r="B5" s="551"/>
      <c r="C5" s="551"/>
      <c r="D5" s="551"/>
      <c r="E5" s="551"/>
      <c r="F5" s="551"/>
      <c r="G5" s="546"/>
      <c r="H5" s="546"/>
      <c r="I5" s="552"/>
      <c r="J5" s="577"/>
      <c r="N5" s="552"/>
    </row>
    <row r="6" spans="1:14" hidden="1" outlineLevel="1" x14ac:dyDescent="0.35">
      <c r="A6" s="578" t="s">
        <v>240</v>
      </c>
      <c r="B6" s="553">
        <v>0</v>
      </c>
      <c r="C6" s="553">
        <v>0</v>
      </c>
      <c r="D6" s="554" t="str">
        <f t="shared" ref="D6:D7" si="0">IFERROR(C6/B6-1,"NA")</f>
        <v>NA</v>
      </c>
      <c r="E6" s="553">
        <v>0</v>
      </c>
      <c r="F6" s="554" t="str">
        <f t="shared" ref="F6:F7" si="1">IFERROR(E6/B6-1,"NA")</f>
        <v>NA</v>
      </c>
      <c r="G6" s="556">
        <f t="shared" ref="G6:G7" si="2">E6-C6</f>
        <v>0</v>
      </c>
      <c r="H6" s="546"/>
      <c r="I6" s="552"/>
      <c r="J6" s="579"/>
      <c r="N6" s="552"/>
    </row>
    <row r="7" spans="1:14" collapsed="1" x14ac:dyDescent="0.35">
      <c r="A7" s="580" t="s">
        <v>15</v>
      </c>
      <c r="B7" s="557">
        <f>B6</f>
        <v>0</v>
      </c>
      <c r="C7" s="557">
        <f>C6</f>
        <v>0</v>
      </c>
      <c r="D7" s="559" t="str">
        <f t="shared" si="0"/>
        <v>NA</v>
      </c>
      <c r="E7" s="557">
        <f>E6</f>
        <v>0</v>
      </c>
      <c r="F7" s="559" t="str">
        <f t="shared" si="1"/>
        <v>NA</v>
      </c>
      <c r="G7" s="560">
        <f t="shared" si="2"/>
        <v>0</v>
      </c>
      <c r="H7" s="558"/>
      <c r="I7" s="557" t="e">
        <f>FactSet!#REF!</f>
        <v>#REF!</v>
      </c>
      <c r="J7" s="581" t="e">
        <f>E7-I7</f>
        <v>#REF!</v>
      </c>
      <c r="N7" s="557">
        <v>10.191705000000001</v>
      </c>
    </row>
    <row r="8" spans="1:14" x14ac:dyDescent="0.35">
      <c r="A8" s="582"/>
      <c r="B8" s="551"/>
      <c r="C8" s="561"/>
      <c r="D8" s="562"/>
      <c r="E8" s="551"/>
      <c r="F8" s="551"/>
      <c r="G8" s="556"/>
      <c r="H8" s="546"/>
      <c r="I8" s="552"/>
      <c r="J8" s="577"/>
      <c r="N8" s="552"/>
    </row>
    <row r="9" spans="1:14" x14ac:dyDescent="0.35">
      <c r="A9" s="582" t="s">
        <v>17</v>
      </c>
      <c r="B9" s="553">
        <v>0</v>
      </c>
      <c r="C9" s="553">
        <v>0</v>
      </c>
      <c r="D9" s="554" t="str">
        <f t="shared" ref="D9:D13" si="3">IFERROR(C9/B9-1,"NA")</f>
        <v>NA</v>
      </c>
      <c r="E9" s="553">
        <v>0</v>
      </c>
      <c r="F9" s="554" t="str">
        <f t="shared" ref="F9:F13" si="4">IFERROR(E9/B9-1,"NA")</f>
        <v>NA</v>
      </c>
      <c r="G9" s="556">
        <f>-(E9-C9)</f>
        <v>0</v>
      </c>
      <c r="H9" s="546"/>
      <c r="I9" s="552"/>
      <c r="J9" s="579"/>
      <c r="N9" s="552">
        <v>0</v>
      </c>
    </row>
    <row r="10" spans="1:14" x14ac:dyDescent="0.35">
      <c r="A10" s="582" t="s">
        <v>18</v>
      </c>
      <c r="B10" s="552">
        <f>B7-B9</f>
        <v>0</v>
      </c>
      <c r="C10" s="552">
        <f>C7-C9</f>
        <v>0</v>
      </c>
      <c r="D10" s="554" t="str">
        <f t="shared" si="3"/>
        <v>NA</v>
      </c>
      <c r="E10" s="563">
        <f>E7-E9</f>
        <v>0</v>
      </c>
      <c r="F10" s="554" t="str">
        <f t="shared" si="4"/>
        <v>NA</v>
      </c>
      <c r="G10" s="556">
        <f>E10-C10</f>
        <v>0</v>
      </c>
      <c r="H10" s="546"/>
      <c r="I10" s="564"/>
      <c r="J10" s="583"/>
      <c r="N10" s="564"/>
    </row>
    <row r="11" spans="1:14" x14ac:dyDescent="0.35">
      <c r="A11" s="582" t="s">
        <v>19</v>
      </c>
      <c r="B11" s="553">
        <v>11.8</v>
      </c>
      <c r="C11" s="553">
        <v>13.5</v>
      </c>
      <c r="D11" s="554">
        <f t="shared" si="3"/>
        <v>0.14406779661016933</v>
      </c>
      <c r="E11" s="553">
        <v>14.366</v>
      </c>
      <c r="F11" s="554">
        <f t="shared" si="4"/>
        <v>0.21745762711864391</v>
      </c>
      <c r="G11" s="556">
        <f>-(E11-C11)</f>
        <v>-0.86599999999999966</v>
      </c>
      <c r="H11" s="546"/>
      <c r="I11" s="552" t="e">
        <f>FactSet!#REF!</f>
        <v>#REF!</v>
      </c>
      <c r="J11" s="583" t="e">
        <f>-(E11-I11)</f>
        <v>#REF!</v>
      </c>
      <c r="N11" s="552">
        <v>12.762230000000001</v>
      </c>
    </row>
    <row r="12" spans="1:14" x14ac:dyDescent="0.35">
      <c r="A12" s="582" t="s">
        <v>20</v>
      </c>
      <c r="B12" s="553">
        <v>63.613999999999997</v>
      </c>
      <c r="C12" s="553">
        <v>65.604708875</v>
      </c>
      <c r="D12" s="554">
        <f t="shared" si="3"/>
        <v>3.1293565488728969E-2</v>
      </c>
      <c r="E12" s="555">
        <v>68.989000000000004</v>
      </c>
      <c r="F12" s="554">
        <f t="shared" si="4"/>
        <v>8.449397931272995E-2</v>
      </c>
      <c r="G12" s="556">
        <f>-(E12-C12)</f>
        <v>-3.3842911250000043</v>
      </c>
      <c r="H12" s="546"/>
      <c r="I12" s="552" t="e">
        <f>FactSet!#REF!</f>
        <v>#REF!</v>
      </c>
      <c r="J12" s="583" t="e">
        <f>-(E12-I12)</f>
        <v>#REF!</v>
      </c>
      <c r="N12" s="552">
        <v>26.507185</v>
      </c>
    </row>
    <row r="13" spans="1:14" x14ac:dyDescent="0.35">
      <c r="A13" s="582" t="s">
        <v>22</v>
      </c>
      <c r="B13" s="552">
        <f>B10-B11-B12</f>
        <v>-75.414000000000001</v>
      </c>
      <c r="C13" s="552">
        <f>C10-C11-C12</f>
        <v>-79.104708875</v>
      </c>
      <c r="D13" s="554">
        <f t="shared" si="3"/>
        <v>4.8939306693717377E-2</v>
      </c>
      <c r="E13" s="563">
        <f>E10-E11-E12</f>
        <v>-83.355000000000004</v>
      </c>
      <c r="F13" s="554">
        <f t="shared" si="4"/>
        <v>0.10529875089505936</v>
      </c>
      <c r="G13" s="556">
        <f>E13-C13</f>
        <v>-4.2502911250000039</v>
      </c>
      <c r="H13" s="546"/>
      <c r="I13" s="552" t="e">
        <f>FactSet!#REF!</f>
        <v>#REF!</v>
      </c>
      <c r="J13" s="583" t="e">
        <f>E13-I13</f>
        <v>#REF!</v>
      </c>
      <c r="N13" s="552">
        <v>-28.511638999999999</v>
      </c>
    </row>
    <row r="14" spans="1:14" x14ac:dyDescent="0.35">
      <c r="A14" s="582"/>
      <c r="B14" s="551"/>
      <c r="C14" s="561"/>
      <c r="D14" s="551"/>
      <c r="E14" s="551"/>
      <c r="F14" s="551"/>
      <c r="G14" s="556"/>
      <c r="H14" s="546"/>
      <c r="I14" s="552"/>
      <c r="J14" s="577"/>
      <c r="N14" s="552"/>
    </row>
    <row r="15" spans="1:14" hidden="1" outlineLevel="1" x14ac:dyDescent="0.35">
      <c r="A15" s="584" t="s">
        <v>271</v>
      </c>
      <c r="B15" s="553">
        <v>4.7789999999999999</v>
      </c>
      <c r="C15" s="553">
        <v>4</v>
      </c>
      <c r="D15" s="554">
        <f>IFERROR(C15/B15-1,"NA")</f>
        <v>-0.16300481272232681</v>
      </c>
      <c r="E15" s="553">
        <v>3.887</v>
      </c>
      <c r="F15" s="554">
        <f t="shared" ref="F15:F23" si="5">IFERROR(E15/B15-1,"NA")</f>
        <v>-0.18664992676292114</v>
      </c>
      <c r="G15" s="556">
        <f t="shared" ref="G15:G20" si="6">E15-C15</f>
        <v>-0.11299999999999999</v>
      </c>
      <c r="H15" s="546"/>
      <c r="I15" s="552"/>
      <c r="J15" s="577"/>
      <c r="N15" s="552"/>
    </row>
    <row r="16" spans="1:14" hidden="1" outlineLevel="1" x14ac:dyDescent="0.35">
      <c r="A16" s="584" t="s">
        <v>274</v>
      </c>
      <c r="B16" s="553">
        <v>0</v>
      </c>
      <c r="C16" s="553">
        <v>0</v>
      </c>
      <c r="D16" s="554" t="str">
        <f>IFERROR(C16/B16-1,"NA")</f>
        <v>NA</v>
      </c>
      <c r="E16" s="553">
        <v>0</v>
      </c>
      <c r="F16" s="554"/>
      <c r="G16" s="556"/>
      <c r="H16" s="546"/>
      <c r="I16" s="552"/>
      <c r="J16" s="577"/>
      <c r="N16" s="552"/>
    </row>
    <row r="17" spans="1:14" hidden="1" outlineLevel="1" x14ac:dyDescent="0.35">
      <c r="A17" s="584" t="s">
        <v>270</v>
      </c>
      <c r="B17" s="553">
        <v>4.3999999999999997E-2</v>
      </c>
      <c r="C17" s="553">
        <v>1.56879314955</v>
      </c>
      <c r="D17" s="554">
        <f t="shared" ref="D17:D23" si="7">IFERROR(C17/B17-1,"NA")</f>
        <v>34.654389762500003</v>
      </c>
      <c r="E17" s="553">
        <f>-1.459-0.003</f>
        <v>-1.462</v>
      </c>
      <c r="F17" s="554">
        <f t="shared" si="5"/>
        <v>-34.227272727272727</v>
      </c>
      <c r="G17" s="556">
        <f t="shared" si="6"/>
        <v>-3.03079314955</v>
      </c>
      <c r="H17" s="546"/>
      <c r="I17" s="552"/>
      <c r="J17" s="577"/>
      <c r="N17" s="552"/>
    </row>
    <row r="18" spans="1:14" collapsed="1" x14ac:dyDescent="0.35">
      <c r="A18" s="582" t="s">
        <v>241</v>
      </c>
      <c r="B18" s="565">
        <f>SUM(B15:B17)</f>
        <v>4.8229999999999995</v>
      </c>
      <c r="C18" s="565">
        <f>SUM(C15:C17)</f>
        <v>5.5687931495500003</v>
      </c>
      <c r="D18" s="554">
        <f t="shared" si="7"/>
        <v>0.15463262482894491</v>
      </c>
      <c r="E18" s="945">
        <f>SUM(E15:E17)</f>
        <v>2.4249999999999998</v>
      </c>
      <c r="F18" s="554">
        <f t="shared" si="5"/>
        <v>-0.49720091229525187</v>
      </c>
      <c r="G18" s="556">
        <f t="shared" si="6"/>
        <v>-3.1437931495500004</v>
      </c>
      <c r="H18" s="546"/>
      <c r="I18" s="565"/>
      <c r="J18" s="583"/>
      <c r="N18" s="565"/>
    </row>
    <row r="19" spans="1:14" x14ac:dyDescent="0.35">
      <c r="A19" s="582" t="s">
        <v>242</v>
      </c>
      <c r="B19" s="552">
        <f>B13+B18</f>
        <v>-70.591000000000008</v>
      </c>
      <c r="C19" s="552">
        <f>C13+C18</f>
        <v>-73.535915725449996</v>
      </c>
      <c r="D19" s="554">
        <f t="shared" si="7"/>
        <v>4.1718005488659893E-2</v>
      </c>
      <c r="E19" s="563">
        <f>E13+E18</f>
        <v>-80.930000000000007</v>
      </c>
      <c r="F19" s="554">
        <f t="shared" si="5"/>
        <v>0.14646343018231778</v>
      </c>
      <c r="G19" s="556">
        <f t="shared" si="6"/>
        <v>-7.3940842745500106</v>
      </c>
      <c r="H19" s="546"/>
      <c r="I19" s="552"/>
      <c r="J19" s="583"/>
      <c r="N19" s="552"/>
    </row>
    <row r="20" spans="1:14" x14ac:dyDescent="0.35">
      <c r="A20" s="582" t="s">
        <v>26</v>
      </c>
      <c r="B20" s="554">
        <f>B21/B19</f>
        <v>0</v>
      </c>
      <c r="C20" s="554">
        <f>C21/C19</f>
        <v>0</v>
      </c>
      <c r="D20" s="554" t="str">
        <f t="shared" si="7"/>
        <v>NA</v>
      </c>
      <c r="E20" s="554">
        <f>E21/E19</f>
        <v>0</v>
      </c>
      <c r="F20" s="554" t="str">
        <f t="shared" si="5"/>
        <v>NA</v>
      </c>
      <c r="G20" s="554">
        <f t="shared" si="6"/>
        <v>0</v>
      </c>
      <c r="H20" s="546"/>
      <c r="I20" s="552"/>
      <c r="J20" s="577"/>
      <c r="N20" s="552"/>
    </row>
    <row r="21" spans="1:14" x14ac:dyDescent="0.35">
      <c r="A21" s="582" t="s">
        <v>25</v>
      </c>
      <c r="B21" s="553">
        <v>0</v>
      </c>
      <c r="C21" s="553">
        <v>0</v>
      </c>
      <c r="D21" s="554" t="str">
        <f>IFERROR(C21/B21-1,"NA")</f>
        <v>NA</v>
      </c>
      <c r="E21" s="553">
        <v>0</v>
      </c>
      <c r="F21" s="554" t="str">
        <f>IFERROR(E21/B21-1,"NA")</f>
        <v>NA</v>
      </c>
      <c r="G21" s="556">
        <f>-(E21-C21)</f>
        <v>0</v>
      </c>
      <c r="H21" s="546"/>
      <c r="I21" s="552"/>
      <c r="J21" s="583"/>
      <c r="N21" s="552">
        <v>-3.3018783000000003E-2</v>
      </c>
    </row>
    <row r="22" spans="1:14" x14ac:dyDescent="0.35">
      <c r="A22" s="923"/>
      <c r="B22" s="921"/>
      <c r="C22" s="921"/>
      <c r="D22" s="921"/>
      <c r="E22" s="921"/>
      <c r="F22" s="921"/>
      <c r="G22" s="921"/>
      <c r="H22" s="921"/>
      <c r="I22" s="921"/>
      <c r="J22" s="922"/>
    </row>
    <row r="23" spans="1:14" x14ac:dyDescent="0.35">
      <c r="A23" s="582" t="s">
        <v>243</v>
      </c>
      <c r="B23" s="552">
        <f>B19-B21</f>
        <v>-70.591000000000008</v>
      </c>
      <c r="C23" s="552">
        <f>C19-C21</f>
        <v>-73.535915725449996</v>
      </c>
      <c r="D23" s="554">
        <f t="shared" si="7"/>
        <v>4.1718005488659893E-2</v>
      </c>
      <c r="E23" s="563">
        <f>E19-E21</f>
        <v>-80.930000000000007</v>
      </c>
      <c r="F23" s="554">
        <f t="shared" si="5"/>
        <v>0.14646343018231778</v>
      </c>
      <c r="G23" s="556">
        <f>E23-C23</f>
        <v>-7.3940842745500106</v>
      </c>
      <c r="H23" s="546"/>
      <c r="I23" s="552" t="e">
        <f>FactSet!#REF!</f>
        <v>#REF!</v>
      </c>
      <c r="J23" s="583" t="e">
        <f>E23-I23</f>
        <v>#REF!</v>
      </c>
      <c r="N23" s="552">
        <v>-27.795290000000001</v>
      </c>
    </row>
    <row r="24" spans="1:14" ht="15" thickBot="1" x14ac:dyDescent="0.4">
      <c r="A24" s="911"/>
      <c r="B24" s="912"/>
      <c r="C24" s="913"/>
      <c r="D24" s="912"/>
      <c r="E24" s="912"/>
      <c r="F24" s="912"/>
      <c r="G24" s="914"/>
      <c r="H24" s="915"/>
      <c r="I24" s="916"/>
      <c r="J24" s="917"/>
      <c r="N24" s="552"/>
    </row>
    <row r="25" spans="1:14" hidden="1" outlineLevel="1" x14ac:dyDescent="0.35">
      <c r="A25" s="582" t="s">
        <v>288</v>
      </c>
      <c r="B25" s="553">
        <v>99.240030000000004</v>
      </c>
      <c r="C25" s="553">
        <v>113.80794</v>
      </c>
      <c r="D25" s="554">
        <f>IFERROR(C25/B25-1,"NA")</f>
        <v>0.14679469564851999</v>
      </c>
      <c r="E25" s="553">
        <v>114.46608000000001</v>
      </c>
      <c r="F25" s="554">
        <f>IFERROR(E25/B25-1,"NA")</f>
        <v>0.15342649533660957</v>
      </c>
      <c r="G25" s="556">
        <f>E25-C25</f>
        <v>0.65814000000000306</v>
      </c>
      <c r="H25" s="546"/>
      <c r="I25" s="552"/>
      <c r="J25" s="577"/>
      <c r="N25" s="552"/>
    </row>
    <row r="26" spans="1:14" ht="15" hidden="1" outlineLevel="1" thickBot="1" x14ac:dyDescent="0.4">
      <c r="A26" s="585" t="s">
        <v>244</v>
      </c>
      <c r="B26" s="586">
        <f>B23/B25</f>
        <v>-0.71131578658329708</v>
      </c>
      <c r="C26" s="586">
        <f>C23/C25</f>
        <v>-0.64614046898177746</v>
      </c>
      <c r="D26" s="587">
        <f>IFERROR(C26/B26-1,"NA")</f>
        <v>-9.1626418014114197E-2</v>
      </c>
      <c r="E26" s="586">
        <f>E23/E25</f>
        <v>-0.70702167838716945</v>
      </c>
      <c r="F26" s="587">
        <f>IFERROR(E26/B26-1,"NA")</f>
        <v>-6.036852094558065E-3</v>
      </c>
      <c r="G26" s="586">
        <f>E26-C26</f>
        <v>-6.0881209405391989E-2</v>
      </c>
      <c r="H26" s="588"/>
      <c r="I26" s="586" t="e">
        <f>FactSet!#REF!</f>
        <v>#REF!</v>
      </c>
      <c r="J26" s="589" t="e">
        <f>E26-I26</f>
        <v>#REF!</v>
      </c>
      <c r="N26" s="586">
        <v>-0.60166660000000005</v>
      </c>
    </row>
    <row r="27" spans="1:14" collapsed="1" x14ac:dyDescent="0.35">
      <c r="A27" s="567" t="s">
        <v>245</v>
      </c>
      <c r="B27" s="568"/>
      <c r="C27" s="568"/>
      <c r="D27" s="568"/>
      <c r="E27" s="568"/>
      <c r="F27" s="568"/>
      <c r="G27" s="568"/>
      <c r="H27" s="568"/>
      <c r="I27" s="568"/>
      <c r="J27" s="569"/>
    </row>
    <row r="28" spans="1:14" x14ac:dyDescent="0.35">
      <c r="A28" s="568"/>
      <c r="B28" s="568"/>
      <c r="C28" s="568"/>
      <c r="D28" s="568"/>
      <c r="E28" s="864"/>
      <c r="F28" s="568"/>
      <c r="G28" s="568"/>
      <c r="H28" s="568"/>
      <c r="I28" s="568"/>
      <c r="J28" s="569"/>
    </row>
  </sheetData>
  <conditionalFormatting sqref="J9 F6:J6 A6:D6 N23:N26 N7:N21 A23:J26 A10:J21">
    <cfRule type="expression" dxfId="100" priority="7">
      <formula>MOD(ROW(),2)=1</formula>
    </cfRule>
  </conditionalFormatting>
  <conditionalFormatting sqref="G7">
    <cfRule type="expression" dxfId="99" priority="4">
      <formula>MOD(ROW(),2)=1</formula>
    </cfRule>
  </conditionalFormatting>
  <conditionalFormatting sqref="A9:I9 A8:J8 A7:F7 H7:J7">
    <cfRule type="expression" dxfId="98" priority="8">
      <formula>MOD(ROW(),2)=1</formula>
    </cfRule>
  </conditionalFormatting>
  <conditionalFormatting sqref="E6">
    <cfRule type="expression" dxfId="97" priority="5">
      <formula>MOD(ROW(),2)=1</formula>
    </cfRule>
  </conditionalFormatting>
  <conditionalFormatting sqref="N6">
    <cfRule type="expression" dxfId="96" priority="1">
      <formula>MOD(ROW(),2)=1</formula>
    </cfRule>
  </conditionalFormatting>
  <pageMargins left="0.7" right="0.7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FC6B-C133-4AB9-86F0-8A0BBAFF9A04}">
  <sheetPr>
    <tabColor theme="4" tint="0.59999389629810485"/>
    <pageSetUpPr fitToPage="1"/>
  </sheetPr>
  <dimension ref="A1:AY71"/>
  <sheetViews>
    <sheetView zoomScale="85" zoomScaleNormal="85" workbookViewId="0">
      <pane xSplit="1" ySplit="4" topLeftCell="AA5" activePane="bottomRight" state="frozen"/>
      <selection activeCell="J34" sqref="J34"/>
      <selection pane="topRight" activeCell="J34" sqref="J34"/>
      <selection pane="bottomLeft" activeCell="J34" sqref="J34"/>
      <selection pane="bottomRight" activeCell="A45" sqref="A45:AN70"/>
    </sheetView>
  </sheetViews>
  <sheetFormatPr defaultRowHeight="14.5" outlineLevelRow="1" outlineLevelCol="1" x14ac:dyDescent="0.35"/>
  <cols>
    <col min="1" max="1" width="34.81640625" customWidth="1"/>
    <col min="2" max="5" width="8.81640625" hidden="1" customWidth="1" outlineLevel="1"/>
    <col min="6" max="6" width="8.81640625" hidden="1" customWidth="1" collapsed="1"/>
    <col min="7" max="10" width="8.81640625" hidden="1" customWidth="1" outlineLevel="1"/>
    <col min="11" max="11" width="0" hidden="1" customWidth="1" collapsed="1"/>
    <col min="12" max="15" width="9.1796875" hidden="1" customWidth="1" outlineLevel="1"/>
    <col min="16" max="16" width="0" hidden="1" customWidth="1" collapsed="1"/>
    <col min="17" max="17" width="8.81640625" hidden="1" customWidth="1" outlineLevel="1"/>
    <col min="18" max="19" width="8.81640625" style="94" hidden="1" customWidth="1" outlineLevel="1"/>
    <col min="20" max="20" width="8.81640625" hidden="1" customWidth="1" outlineLevel="1"/>
    <col min="21" max="21" width="0" hidden="1" customWidth="1" collapsed="1"/>
    <col min="22" max="22" width="9.1796875" hidden="1" customWidth="1" outlineLevel="1"/>
    <col min="23" max="24" width="9.1796875" style="94" hidden="1" customWidth="1" outlineLevel="1"/>
    <col min="25" max="25" width="9.1796875" hidden="1" customWidth="1" outlineLevel="1"/>
    <col min="26" max="26" width="0" hidden="1" customWidth="1" collapsed="1"/>
    <col min="27" max="30" width="0" style="94" hidden="1" customWidth="1" outlineLevel="1"/>
    <col min="31" max="31" width="8.7265625" collapsed="1"/>
    <col min="32" max="35" width="8.7265625" style="94" outlineLevel="1"/>
    <col min="37" max="39" width="8.81640625" customWidth="1"/>
    <col min="40" max="45" width="8.81640625" customWidth="1" outlineLevel="1"/>
    <col min="46" max="46" width="8.81640625"/>
    <col min="50" max="50" width="16.54296875" bestFit="1" customWidth="1"/>
  </cols>
  <sheetData>
    <row r="1" spans="1:49" x14ac:dyDescent="0.35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2"/>
      <c r="P1" s="2"/>
      <c r="Q1" s="2"/>
      <c r="R1" s="3"/>
      <c r="S1" s="3"/>
      <c r="T1" s="2"/>
      <c r="U1" s="2"/>
      <c r="V1" s="2"/>
      <c r="W1" s="3"/>
      <c r="X1" s="3"/>
      <c r="Y1" s="2"/>
      <c r="Z1" s="2"/>
      <c r="AA1" s="3"/>
      <c r="AB1" s="3"/>
      <c r="AC1" s="3"/>
      <c r="AD1" s="3"/>
      <c r="AE1" s="2"/>
      <c r="AF1" s="3"/>
      <c r="AG1" s="3"/>
      <c r="AH1" s="3"/>
      <c r="AI1" s="3"/>
      <c r="AJ1" s="2"/>
      <c r="AK1" s="2"/>
      <c r="AL1" s="2"/>
      <c r="AM1" s="2"/>
      <c r="AN1" s="2"/>
      <c r="AO1" s="2"/>
      <c r="AP1" s="2"/>
      <c r="AQ1" s="2"/>
      <c r="AR1" s="2"/>
      <c r="AS1" s="2"/>
      <c r="AU1">
        <f>SOTP!R14</f>
        <v>37.175346474533157</v>
      </c>
    </row>
    <row r="2" spans="1:49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2"/>
      <c r="P2" s="2"/>
      <c r="Q2" s="2"/>
      <c r="R2" s="3"/>
      <c r="S2" s="3"/>
      <c r="T2" s="2"/>
      <c r="U2" s="2"/>
      <c r="V2" s="2"/>
      <c r="W2" s="3"/>
      <c r="X2" s="3"/>
      <c r="Y2" s="2"/>
      <c r="Z2" s="2"/>
      <c r="AA2" s="3"/>
      <c r="AB2" s="3"/>
      <c r="AC2" s="3"/>
      <c r="AD2" s="3"/>
      <c r="AE2" s="2"/>
      <c r="AF2" s="3"/>
      <c r="AG2" s="3"/>
      <c r="AH2" s="3"/>
      <c r="AI2" s="3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9" ht="15" thickBot="1" x14ac:dyDescent="0.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2"/>
      <c r="P3" s="2"/>
      <c r="Q3" s="2"/>
      <c r="R3" s="3"/>
      <c r="S3" s="3"/>
      <c r="T3" s="2"/>
      <c r="U3" s="2"/>
      <c r="V3" s="2"/>
      <c r="W3" s="3"/>
      <c r="X3" s="3"/>
      <c r="Y3" s="2"/>
      <c r="Z3" s="2"/>
      <c r="AA3" s="3"/>
      <c r="AB3" s="3"/>
      <c r="AC3" s="3"/>
      <c r="AD3" s="3"/>
      <c r="AE3" s="2"/>
      <c r="AF3" s="3"/>
      <c r="AG3" s="3"/>
      <c r="AH3" s="3"/>
      <c r="AI3" s="3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9" ht="15" thickBot="1" x14ac:dyDescent="0.4">
      <c r="A4" s="60"/>
      <c r="B4" s="8" t="s">
        <v>254</v>
      </c>
      <c r="C4" s="9" t="s">
        <v>255</v>
      </c>
      <c r="D4" s="8" t="s">
        <v>256</v>
      </c>
      <c r="E4" s="8" t="s">
        <v>257</v>
      </c>
      <c r="F4" s="7" t="s">
        <v>258</v>
      </c>
      <c r="G4" s="9" t="s">
        <v>2</v>
      </c>
      <c r="H4" s="8" t="s">
        <v>3</v>
      </c>
      <c r="I4" s="8" t="s">
        <v>4</v>
      </c>
      <c r="J4" s="8" t="s">
        <v>5</v>
      </c>
      <c r="K4" s="7" t="s">
        <v>6</v>
      </c>
      <c r="L4" s="67" t="s">
        <v>7</v>
      </c>
      <c r="M4" s="6" t="s">
        <v>8</v>
      </c>
      <c r="N4" s="6" t="s">
        <v>167</v>
      </c>
      <c r="O4" s="43" t="s">
        <v>246</v>
      </c>
      <c r="P4" s="10" t="s">
        <v>266</v>
      </c>
      <c r="Q4" s="10" t="s">
        <v>265</v>
      </c>
      <c r="R4" s="6" t="s">
        <v>267</v>
      </c>
      <c r="S4" s="6" t="s">
        <v>329</v>
      </c>
      <c r="T4" s="6" t="s">
        <v>346</v>
      </c>
      <c r="U4" s="7" t="s">
        <v>347</v>
      </c>
      <c r="V4" s="10" t="s">
        <v>348</v>
      </c>
      <c r="W4" s="6" t="s">
        <v>350</v>
      </c>
      <c r="X4" s="6" t="s">
        <v>351</v>
      </c>
      <c r="Y4" s="6" t="s">
        <v>356</v>
      </c>
      <c r="Z4" s="7" t="s">
        <v>357</v>
      </c>
      <c r="AA4" s="10" t="s">
        <v>366</v>
      </c>
      <c r="AB4" s="6" t="s">
        <v>367</v>
      </c>
      <c r="AC4" s="6" t="s">
        <v>370</v>
      </c>
      <c r="AD4" s="43" t="s">
        <v>489</v>
      </c>
      <c r="AE4" s="7" t="s">
        <v>490</v>
      </c>
      <c r="AF4" s="10" t="s">
        <v>371</v>
      </c>
      <c r="AG4" s="6" t="s">
        <v>372</v>
      </c>
      <c r="AH4" s="6" t="s">
        <v>373</v>
      </c>
      <c r="AI4" s="43" t="s">
        <v>374</v>
      </c>
      <c r="AJ4" s="7" t="s">
        <v>10</v>
      </c>
      <c r="AK4" s="7" t="s">
        <v>11</v>
      </c>
      <c r="AL4" s="7" t="s">
        <v>12</v>
      </c>
      <c r="AM4" s="7" t="s">
        <v>13</v>
      </c>
      <c r="AN4" s="7" t="s">
        <v>14</v>
      </c>
      <c r="AO4" s="7" t="s">
        <v>323</v>
      </c>
      <c r="AP4" s="7" t="s">
        <v>324</v>
      </c>
      <c r="AQ4" s="7" t="s">
        <v>325</v>
      </c>
      <c r="AR4" s="7" t="s">
        <v>326</v>
      </c>
      <c r="AS4" s="7" t="s">
        <v>327</v>
      </c>
      <c r="AU4" s="924"/>
      <c r="AV4" s="924" t="s">
        <v>369</v>
      </c>
      <c r="AW4" s="924"/>
    </row>
    <row r="5" spans="1:49" x14ac:dyDescent="0.35">
      <c r="A5" s="12"/>
      <c r="B5" s="622"/>
      <c r="C5" s="623"/>
      <c r="D5" s="623"/>
      <c r="E5" s="624"/>
      <c r="F5" s="625"/>
      <c r="G5" s="622"/>
      <c r="H5" s="623"/>
      <c r="I5" s="623"/>
      <c r="J5" s="623"/>
      <c r="K5" s="625"/>
      <c r="L5" s="626"/>
      <c r="M5" s="626"/>
      <c r="N5" s="626"/>
      <c r="O5" s="626"/>
      <c r="P5" s="627"/>
      <c r="Q5" s="628"/>
      <c r="R5" s="626"/>
      <c r="S5" s="626"/>
      <c r="T5" s="650"/>
      <c r="U5" s="625"/>
      <c r="V5" s="628"/>
      <c r="W5" s="626"/>
      <c r="X5" s="626"/>
      <c r="Y5" s="650"/>
      <c r="Z5" s="625"/>
      <c r="AA5" s="628"/>
      <c r="AB5" s="626"/>
      <c r="AC5" s="626"/>
      <c r="AD5" s="650"/>
      <c r="AE5" s="625"/>
      <c r="AF5" s="628"/>
      <c r="AG5" s="626"/>
      <c r="AH5" s="626"/>
      <c r="AI5" s="650"/>
      <c r="AJ5" s="625"/>
      <c r="AK5" s="625"/>
      <c r="AL5" s="625"/>
      <c r="AM5" s="625"/>
      <c r="AN5" s="625"/>
      <c r="AO5" s="625"/>
      <c r="AP5" s="625"/>
      <c r="AQ5" s="625"/>
      <c r="AR5" s="625"/>
      <c r="AS5" s="625"/>
    </row>
    <row r="6" spans="1:49" hidden="1" outlineLevel="1" x14ac:dyDescent="0.35">
      <c r="A6" s="66" t="s">
        <v>165</v>
      </c>
      <c r="B6" s="628"/>
      <c r="C6" s="626"/>
      <c r="D6" s="626"/>
      <c r="E6" s="626"/>
      <c r="F6" s="731">
        <v>0</v>
      </c>
      <c r="G6" s="739">
        <v>0</v>
      </c>
      <c r="H6" s="739">
        <v>0</v>
      </c>
      <c r="I6" s="739">
        <v>0</v>
      </c>
      <c r="J6" s="742">
        <f>K6-SUM(G6:I6)</f>
        <v>0</v>
      </c>
      <c r="K6" s="731">
        <v>0</v>
      </c>
      <c r="L6" s="739">
        <v>0</v>
      </c>
      <c r="M6" s="739">
        <v>0</v>
      </c>
      <c r="N6" s="739">
        <v>0</v>
      </c>
      <c r="O6" s="742">
        <f>P6-SUM(L6:N6)</f>
        <v>0</v>
      </c>
      <c r="P6" s="731">
        <v>0</v>
      </c>
      <c r="Q6" s="743">
        <v>0</v>
      </c>
      <c r="R6" s="739">
        <v>0</v>
      </c>
      <c r="S6" s="739">
        <v>0</v>
      </c>
      <c r="T6" s="861">
        <v>0</v>
      </c>
      <c r="U6" s="625">
        <f>SUM(Q6:T6)</f>
        <v>0</v>
      </c>
      <c r="V6" s="739">
        <v>0</v>
      </c>
      <c r="W6" s="739">
        <v>0</v>
      </c>
      <c r="X6" s="739">
        <v>0</v>
      </c>
      <c r="Y6" s="739">
        <v>0</v>
      </c>
      <c r="Z6" s="625" t="e">
        <f>REVENUE!Z19</f>
        <v>#REF!</v>
      </c>
      <c r="AA6" s="739"/>
      <c r="AB6" s="739"/>
      <c r="AC6" s="739">
        <v>0</v>
      </c>
      <c r="AD6" s="626">
        <f>REVENUE!AH19</f>
        <v>0</v>
      </c>
      <c r="AE6" s="625">
        <f>REVENUE!AI19</f>
        <v>0</v>
      </c>
      <c r="AF6" s="626">
        <f>REVENUE!AJ19</f>
        <v>0</v>
      </c>
      <c r="AG6" s="626">
        <f>REVENUE!AK19</f>
        <v>0</v>
      </c>
      <c r="AH6" s="626">
        <f>REVENUE!AL19</f>
        <v>0</v>
      </c>
      <c r="AI6" s="626">
        <f>REVENUE!AM19</f>
        <v>0</v>
      </c>
      <c r="AJ6" s="625">
        <f>REVENUE!AN19</f>
        <v>0</v>
      </c>
      <c r="AK6" s="625">
        <f>REVENUE!AO19</f>
        <v>0</v>
      </c>
      <c r="AL6" s="625">
        <f>REVENUE!AP19</f>
        <v>0</v>
      </c>
      <c r="AM6" s="625">
        <f>REVENUE!AQ19+REVENUE!AQ25</f>
        <v>16.880566010262026</v>
      </c>
      <c r="AN6" s="625">
        <f>REVENUE!AR19+REVENUE!AR25</f>
        <v>128.13327412076305</v>
      </c>
      <c r="AO6" s="625">
        <f>REVENUE!AS19+REVENUE!AS25</f>
        <v>348.00111239947876</v>
      </c>
      <c r="AP6" s="625">
        <f>REVENUE!AT19+REVENUE!AT25</f>
        <v>670.96671864754421</v>
      </c>
      <c r="AQ6" s="625">
        <f>REVENUE!AU19+REVENUE!AU25</f>
        <v>969.3375211135434</v>
      </c>
      <c r="AR6" s="625">
        <f>REVENUE!AV19+REVENUE!AV25</f>
        <v>1235.6196838295077</v>
      </c>
      <c r="AS6" s="625">
        <f>REVENUE!AW19+REVENUE!AW25</f>
        <v>1475.7245970375773</v>
      </c>
    </row>
    <row r="7" spans="1:49" hidden="1" outlineLevel="1" x14ac:dyDescent="0.35">
      <c r="A7" s="72" t="s">
        <v>269</v>
      </c>
      <c r="B7" s="26"/>
      <c r="C7" s="18"/>
      <c r="D7" s="18"/>
      <c r="E7" s="68"/>
      <c r="F7" s="14">
        <v>22.498999999999999</v>
      </c>
      <c r="G7" s="15">
        <v>7.0309999999999997</v>
      </c>
      <c r="H7" s="15">
        <v>0.52800000000000002</v>
      </c>
      <c r="I7" s="15">
        <v>0.312</v>
      </c>
      <c r="J7" s="742">
        <f>K7-SUM(G7:I7)</f>
        <v>0</v>
      </c>
      <c r="K7" s="14">
        <v>7.8710000000000004</v>
      </c>
      <c r="L7" s="15">
        <v>0</v>
      </c>
      <c r="M7" s="15">
        <v>0</v>
      </c>
      <c r="N7" s="15">
        <v>0</v>
      </c>
      <c r="O7" s="742">
        <f>P7-SUM(L7:N7)</f>
        <v>0</v>
      </c>
      <c r="P7" s="14">
        <v>0</v>
      </c>
      <c r="Q7" s="19">
        <v>0</v>
      </c>
      <c r="R7" s="15">
        <v>0</v>
      </c>
      <c r="S7" s="15">
        <v>0</v>
      </c>
      <c r="T7" s="804">
        <v>0</v>
      </c>
      <c r="U7" s="625">
        <f>SUM(Q7:T7)</f>
        <v>0</v>
      </c>
      <c r="V7" s="15">
        <v>0</v>
      </c>
      <c r="W7" s="15">
        <v>0</v>
      </c>
      <c r="X7" s="15">
        <v>0</v>
      </c>
      <c r="Y7" s="15">
        <v>0</v>
      </c>
      <c r="Z7" s="16">
        <f>REVENUE!Z34</f>
        <v>0</v>
      </c>
      <c r="AA7" s="15"/>
      <c r="AB7" s="15"/>
      <c r="AC7" s="15">
        <v>0</v>
      </c>
      <c r="AD7" s="17">
        <f>REVENUE!AH34</f>
        <v>0</v>
      </c>
      <c r="AE7" s="16">
        <f>REVENUE!AI34</f>
        <v>0</v>
      </c>
      <c r="AF7" s="17">
        <f>REVENUE!AJ34</f>
        <v>0</v>
      </c>
      <c r="AG7" s="17">
        <f>REVENUE!AK34</f>
        <v>0</v>
      </c>
      <c r="AH7" s="17">
        <f>REVENUE!AL34</f>
        <v>0</v>
      </c>
      <c r="AI7" s="17">
        <f>REVENUE!AM34</f>
        <v>0</v>
      </c>
      <c r="AJ7" s="16">
        <f>REVENUE!AN34</f>
        <v>0</v>
      </c>
      <c r="AK7" s="16">
        <f>REVENUE!AO34</f>
        <v>0</v>
      </c>
      <c r="AL7" s="16">
        <f>REVENUE!AP34</f>
        <v>0</v>
      </c>
      <c r="AM7" s="16">
        <f>REVENUE!AQ34</f>
        <v>0</v>
      </c>
      <c r="AN7" s="16">
        <f>REVENUE!AR34</f>
        <v>0</v>
      </c>
      <c r="AO7" s="16">
        <f>REVENUE!AS34</f>
        <v>0</v>
      </c>
      <c r="AP7" s="16">
        <f>REVENUE!AT34</f>
        <v>0</v>
      </c>
      <c r="AQ7" s="16">
        <f>REVENUE!AU34</f>
        <v>0</v>
      </c>
      <c r="AR7" s="16">
        <f>REVENUE!AV34</f>
        <v>0</v>
      </c>
      <c r="AS7" s="16">
        <f>REVENUE!AW34</f>
        <v>0</v>
      </c>
    </row>
    <row r="8" spans="1:49" collapsed="1" x14ac:dyDescent="0.35">
      <c r="A8" s="61" t="s">
        <v>15</v>
      </c>
      <c r="B8" s="24"/>
      <c r="C8" s="23"/>
      <c r="D8" s="23"/>
      <c r="E8" s="23"/>
      <c r="F8" s="22">
        <f>SUM(F6:F7)</f>
        <v>22.498999999999999</v>
      </c>
      <c r="G8" s="24">
        <f t="shared" ref="G8:R8" si="0">SUM(G6:G7)</f>
        <v>7.0309999999999997</v>
      </c>
      <c r="H8" s="23">
        <f t="shared" si="0"/>
        <v>0.52800000000000002</v>
      </c>
      <c r="I8" s="23">
        <f t="shared" si="0"/>
        <v>0.312</v>
      </c>
      <c r="J8" s="730">
        <f t="shared" si="0"/>
        <v>0</v>
      </c>
      <c r="K8" s="22">
        <f t="shared" si="0"/>
        <v>7.8710000000000004</v>
      </c>
      <c r="L8" s="24">
        <f t="shared" si="0"/>
        <v>0</v>
      </c>
      <c r="M8" s="23">
        <f t="shared" si="0"/>
        <v>0</v>
      </c>
      <c r="N8" s="23">
        <f t="shared" si="0"/>
        <v>0</v>
      </c>
      <c r="O8" s="730">
        <f t="shared" si="0"/>
        <v>0</v>
      </c>
      <c r="P8" s="22">
        <f t="shared" si="0"/>
        <v>0</v>
      </c>
      <c r="Q8" s="24">
        <f t="shared" si="0"/>
        <v>0</v>
      </c>
      <c r="R8" s="23">
        <f t="shared" si="0"/>
        <v>0</v>
      </c>
      <c r="S8" s="23">
        <f t="shared" ref="S8" si="1">SUM(S6:S7)</f>
        <v>0</v>
      </c>
      <c r="T8" s="730">
        <f t="shared" ref="T8" si="2">SUM(T6:T7)</f>
        <v>0</v>
      </c>
      <c r="U8" s="22">
        <f t="shared" ref="U8:Y8" si="3">SUM(U6:U7)</f>
        <v>0</v>
      </c>
      <c r="V8" s="24">
        <f t="shared" si="3"/>
        <v>0</v>
      </c>
      <c r="W8" s="23">
        <f t="shared" si="3"/>
        <v>0</v>
      </c>
      <c r="X8" s="23">
        <f t="shared" si="3"/>
        <v>0</v>
      </c>
      <c r="Y8" s="730">
        <f t="shared" si="3"/>
        <v>0</v>
      </c>
      <c r="Z8" s="22" t="e">
        <f t="shared" ref="Z8" si="4">SUM(Z6:Z7)</f>
        <v>#REF!</v>
      </c>
      <c r="AA8" s="23"/>
      <c r="AB8" s="23"/>
      <c r="AC8" s="23">
        <f t="shared" ref="AC8:AD8" si="5">SUM(AC6:AC7)</f>
        <v>0</v>
      </c>
      <c r="AD8" s="23">
        <f t="shared" si="5"/>
        <v>0</v>
      </c>
      <c r="AE8" s="22">
        <f t="shared" ref="AE8:AI8" si="6">SUM(AE6:AE7)</f>
        <v>0</v>
      </c>
      <c r="AF8" s="23">
        <f t="shared" si="6"/>
        <v>0</v>
      </c>
      <c r="AG8" s="23">
        <f t="shared" si="6"/>
        <v>0</v>
      </c>
      <c r="AH8" s="23">
        <f t="shared" si="6"/>
        <v>0</v>
      </c>
      <c r="AI8" s="23">
        <f t="shared" si="6"/>
        <v>0</v>
      </c>
      <c r="AJ8" s="22">
        <f t="shared" ref="AJ8" si="7">SUM(AJ6:AJ7)</f>
        <v>0</v>
      </c>
      <c r="AK8" s="22">
        <f t="shared" ref="AK8" si="8">SUM(AK6:AK7)</f>
        <v>0</v>
      </c>
      <c r="AL8" s="22">
        <f t="shared" ref="AL8" si="9">SUM(AL6:AL7)</f>
        <v>0</v>
      </c>
      <c r="AM8" s="22">
        <f t="shared" ref="AM8" si="10">SUM(AM6:AM7)</f>
        <v>16.880566010262026</v>
      </c>
      <c r="AN8" s="22">
        <f t="shared" ref="AN8:AO8" si="11">SUM(AN6:AN7)</f>
        <v>128.13327412076305</v>
      </c>
      <c r="AO8" s="22">
        <f t="shared" si="11"/>
        <v>348.00111239947876</v>
      </c>
      <c r="AP8" s="22">
        <f t="shared" ref="AP8:AQ8" si="12">SUM(AP6:AP7)</f>
        <v>670.96671864754421</v>
      </c>
      <c r="AQ8" s="22">
        <f t="shared" si="12"/>
        <v>969.3375211135434</v>
      </c>
      <c r="AR8" s="22">
        <f t="shared" ref="AR8:AS8" si="13">SUM(AR6:AR7)</f>
        <v>1235.6196838295077</v>
      </c>
      <c r="AS8" s="22">
        <f t="shared" si="13"/>
        <v>1475.7245970375773</v>
      </c>
      <c r="AU8" s="925"/>
      <c r="AV8" s="925">
        <f>AJ8-SUM(AF8:AI8)</f>
        <v>0</v>
      </c>
      <c r="AW8" s="925"/>
    </row>
    <row r="9" spans="1:49" s="207" customFormat="1" x14ac:dyDescent="0.35">
      <c r="A9" s="677" t="s">
        <v>16</v>
      </c>
      <c r="B9" s="678"/>
      <c r="C9" s="679"/>
      <c r="D9" s="679"/>
      <c r="E9" s="680"/>
      <c r="F9" s="681"/>
      <c r="G9" s="680"/>
      <c r="H9" s="680"/>
      <c r="I9" s="680"/>
      <c r="J9" s="680"/>
      <c r="K9" s="681"/>
      <c r="L9" s="680"/>
      <c r="M9" s="682"/>
      <c r="N9" s="682"/>
      <c r="O9" s="682"/>
      <c r="P9" s="683"/>
      <c r="Q9" s="682"/>
      <c r="R9" s="682"/>
      <c r="S9" s="682"/>
      <c r="T9" s="682"/>
      <c r="U9" s="683"/>
      <c r="V9" s="682"/>
      <c r="W9" s="682"/>
      <c r="X9" s="682"/>
      <c r="Y9" s="682" t="e">
        <f>FactSet!#REF!</f>
        <v>#REF!</v>
      </c>
      <c r="Z9" s="683" t="e">
        <f>FactSet!#REF!</f>
        <v>#REF!</v>
      </c>
      <c r="AA9" s="873"/>
      <c r="AB9" s="682"/>
      <c r="AC9" s="682">
        <f>FactSet!P17</f>
        <v>0</v>
      </c>
      <c r="AD9" s="682">
        <f>FactSet!Q17</f>
        <v>0</v>
      </c>
      <c r="AE9" s="683">
        <f>FactSet!R17</f>
        <v>0</v>
      </c>
      <c r="AF9" s="873">
        <f>FactSet!S17</f>
        <v>0</v>
      </c>
      <c r="AG9" s="682">
        <f>FactSet!T17</f>
        <v>0</v>
      </c>
      <c r="AH9" s="682">
        <f>FactSet!U17</f>
        <v>0</v>
      </c>
      <c r="AI9" s="682">
        <f>FactSet!V17</f>
        <v>0</v>
      </c>
      <c r="AJ9" s="683">
        <f>FactSet!W17</f>
        <v>0</v>
      </c>
      <c r="AK9" s="683">
        <f>FactSet!X17</f>
        <v>0</v>
      </c>
      <c r="AL9" s="681"/>
      <c r="AM9" s="681"/>
      <c r="AN9" s="681"/>
      <c r="AO9" s="681"/>
      <c r="AP9" s="681"/>
      <c r="AQ9" s="681"/>
      <c r="AR9" s="681"/>
      <c r="AS9" s="681"/>
    </row>
    <row r="10" spans="1:49" s="207" customFormat="1" hidden="1" x14ac:dyDescent="0.35">
      <c r="A10" s="677"/>
      <c r="B10" s="678"/>
      <c r="C10" s="679"/>
      <c r="D10" s="679"/>
      <c r="E10" s="680"/>
      <c r="F10" s="681"/>
      <c r="G10" s="680"/>
      <c r="H10" s="680"/>
      <c r="I10" s="680"/>
      <c r="J10" s="680"/>
      <c r="K10" s="681"/>
      <c r="L10" s="680"/>
      <c r="M10" s="682"/>
      <c r="N10" s="682"/>
      <c r="O10" s="682"/>
      <c r="P10" s="683"/>
      <c r="Q10" s="682"/>
      <c r="R10" s="682"/>
      <c r="S10" s="682"/>
      <c r="T10" s="682"/>
      <c r="U10" s="683"/>
      <c r="V10" s="682"/>
      <c r="W10" s="682"/>
      <c r="X10" s="682"/>
      <c r="Y10" s="682"/>
      <c r="Z10" s="683"/>
      <c r="AA10" s="873"/>
      <c r="AB10" s="682"/>
      <c r="AC10" s="682"/>
      <c r="AD10" s="682"/>
      <c r="AE10" s="683"/>
      <c r="AF10" s="873"/>
      <c r="AG10" s="682"/>
      <c r="AH10" s="682"/>
      <c r="AI10" s="874"/>
      <c r="AJ10" s="683"/>
      <c r="AK10" s="683"/>
      <c r="AL10" s="681"/>
      <c r="AM10" s="681"/>
      <c r="AN10" s="681"/>
      <c r="AO10" s="681"/>
      <c r="AP10" s="681"/>
      <c r="AQ10" s="681"/>
      <c r="AR10" s="681"/>
      <c r="AS10" s="681"/>
    </row>
    <row r="11" spans="1:49" s="207" customFormat="1" hidden="1" x14ac:dyDescent="0.35">
      <c r="A11" s="677"/>
      <c r="B11" s="678"/>
      <c r="C11" s="679"/>
      <c r="D11" s="679"/>
      <c r="E11" s="680"/>
      <c r="F11" s="681"/>
      <c r="G11" s="680"/>
      <c r="H11" s="680"/>
      <c r="I11" s="680"/>
      <c r="J11" s="680"/>
      <c r="K11" s="681"/>
      <c r="L11" s="680"/>
      <c r="M11" s="682"/>
      <c r="N11" s="682"/>
      <c r="O11" s="682"/>
      <c r="P11" s="683"/>
      <c r="Q11" s="682"/>
      <c r="R11" s="682"/>
      <c r="S11" s="682"/>
      <c r="T11" s="682"/>
      <c r="U11" s="683"/>
      <c r="V11" s="682"/>
      <c r="W11" s="682"/>
      <c r="X11" s="682"/>
      <c r="Y11" s="682"/>
      <c r="Z11" s="683"/>
      <c r="AA11" s="873"/>
      <c r="AB11" s="682"/>
      <c r="AC11" s="682"/>
      <c r="AD11" s="682"/>
      <c r="AE11" s="683"/>
      <c r="AF11" s="873"/>
      <c r="AG11" s="682"/>
      <c r="AH11" s="682"/>
      <c r="AI11" s="874"/>
      <c r="AJ11" s="683"/>
      <c r="AK11" s="683"/>
      <c r="AL11" s="681"/>
      <c r="AM11" s="681"/>
      <c r="AN11" s="681"/>
      <c r="AO11" s="681"/>
      <c r="AP11" s="681"/>
      <c r="AQ11" s="681"/>
      <c r="AR11" s="681"/>
      <c r="AS11" s="681"/>
    </row>
    <row r="12" spans="1:49" x14ac:dyDescent="0.35">
      <c r="A12" s="12"/>
      <c r="B12" s="21"/>
      <c r="C12" s="25"/>
      <c r="D12" s="25"/>
      <c r="E12" s="25"/>
      <c r="F12" s="16"/>
      <c r="G12" s="21"/>
      <c r="H12" s="25"/>
      <c r="I12" s="25"/>
      <c r="J12" s="25"/>
      <c r="K12" s="16"/>
      <c r="L12" s="17"/>
      <c r="M12" s="17"/>
      <c r="N12" s="17"/>
      <c r="O12" s="17"/>
      <c r="P12" s="20"/>
      <c r="Q12" s="21"/>
      <c r="R12" s="25"/>
      <c r="S12" s="25"/>
      <c r="T12" s="652"/>
      <c r="U12" s="541"/>
      <c r="V12" s="21"/>
      <c r="W12" s="25"/>
      <c r="X12" s="25"/>
      <c r="Y12" s="652"/>
      <c r="Z12" s="541"/>
      <c r="AA12" s="875"/>
      <c r="AB12" s="876"/>
      <c r="AC12" s="876"/>
      <c r="AD12" s="877"/>
      <c r="AE12" s="20"/>
      <c r="AF12" s="21"/>
      <c r="AG12" s="25"/>
      <c r="AH12" s="25"/>
      <c r="AI12" s="652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 spans="1:49" x14ac:dyDescent="0.35">
      <c r="A13" s="12" t="s">
        <v>17</v>
      </c>
      <c r="B13" s="26"/>
      <c r="C13" s="18"/>
      <c r="D13" s="18"/>
      <c r="E13" s="68"/>
      <c r="F13" s="14">
        <v>0</v>
      </c>
      <c r="G13" s="18">
        <v>0</v>
      </c>
      <c r="H13" s="15">
        <v>0</v>
      </c>
      <c r="I13" s="15">
        <v>0</v>
      </c>
      <c r="J13" s="742">
        <f>K13-SUM(G13:I13)</f>
        <v>0</v>
      </c>
      <c r="K13" s="14">
        <v>0</v>
      </c>
      <c r="L13" s="15">
        <v>0</v>
      </c>
      <c r="M13" s="15">
        <v>0</v>
      </c>
      <c r="N13" s="15">
        <v>0</v>
      </c>
      <c r="O13" s="742">
        <f>P13-SUM(L13:N13)</f>
        <v>0</v>
      </c>
      <c r="P13" s="14">
        <v>0</v>
      </c>
      <c r="Q13" s="19">
        <v>0</v>
      </c>
      <c r="R13" s="15">
        <v>0</v>
      </c>
      <c r="S13" s="15">
        <v>0</v>
      </c>
      <c r="T13" s="15">
        <v>0</v>
      </c>
      <c r="U13" s="625">
        <f>SUM(Q13:T13)</f>
        <v>0</v>
      </c>
      <c r="V13" s="15">
        <v>0</v>
      </c>
      <c r="W13" s="15">
        <v>0</v>
      </c>
      <c r="X13" s="15">
        <v>0</v>
      </c>
      <c r="Y13" s="15">
        <v>0</v>
      </c>
      <c r="Z13" s="692" t="e">
        <f>OPEX!#REF!</f>
        <v>#REF!</v>
      </c>
      <c r="AA13" s="740"/>
      <c r="AB13" s="15"/>
      <c r="AC13" s="15">
        <v>0</v>
      </c>
      <c r="AD13" s="15">
        <v>0</v>
      </c>
      <c r="AE13" s="16">
        <f>OPEX!O94</f>
        <v>0</v>
      </c>
      <c r="AF13" s="735">
        <f>OPEX!P94</f>
        <v>0</v>
      </c>
      <c r="AG13" s="735">
        <f>OPEX!Q94</f>
        <v>0</v>
      </c>
      <c r="AH13" s="735">
        <f>OPEX!R94</f>
        <v>0</v>
      </c>
      <c r="AI13" s="735">
        <f>OPEX!S94</f>
        <v>0</v>
      </c>
      <c r="AJ13" s="16">
        <f>OPEX!T94</f>
        <v>0</v>
      </c>
      <c r="AK13" s="16">
        <f>OPEX!U94</f>
        <v>0</v>
      </c>
      <c r="AL13" s="16">
        <f>OPEX!V94</f>
        <v>0</v>
      </c>
      <c r="AM13" s="16">
        <f>OPEX!W94</f>
        <v>1.2660424507696515</v>
      </c>
      <c r="AN13" s="16">
        <f>OPEX!X94</f>
        <v>9.609995559057225</v>
      </c>
      <c r="AO13" s="16">
        <f>OPEX!Y94</f>
        <v>26.100083429960875</v>
      </c>
      <c r="AP13" s="16">
        <f>OPEX!Z94</f>
        <v>50.322503898565856</v>
      </c>
      <c r="AQ13" s="16">
        <f>OPEX!AA94</f>
        <v>72.70031408351565</v>
      </c>
      <c r="AR13" s="16">
        <f>OPEX!AB94</f>
        <v>92.671476287212954</v>
      </c>
      <c r="AS13" s="16">
        <f>OPEX!AC94</f>
        <v>110.67934477781796</v>
      </c>
      <c r="AU13" s="925"/>
      <c r="AV13" s="925">
        <f>AJ13-SUM(AF13:AI13)</f>
        <v>0</v>
      </c>
      <c r="AW13" s="925"/>
    </row>
    <row r="14" spans="1:49" x14ac:dyDescent="0.35">
      <c r="A14" s="12" t="s">
        <v>18</v>
      </c>
      <c r="B14" s="21"/>
      <c r="C14" s="25"/>
      <c r="D14" s="25"/>
      <c r="E14" s="25"/>
      <c r="F14" s="16">
        <f>F8-F13</f>
        <v>22.498999999999999</v>
      </c>
      <c r="G14" s="21">
        <f>G8-G13</f>
        <v>7.0309999999999997</v>
      </c>
      <c r="H14" s="25">
        <f t="shared" ref="H14" si="14">H8-H13</f>
        <v>0.52800000000000002</v>
      </c>
      <c r="I14" s="25">
        <f t="shared" ref="I14" si="15">I8-I13</f>
        <v>0.312</v>
      </c>
      <c r="J14" s="25">
        <f t="shared" ref="J14" si="16">J8-J13</f>
        <v>0</v>
      </c>
      <c r="K14" s="16">
        <f>K8-K13</f>
        <v>7.8710000000000004</v>
      </c>
      <c r="L14" s="21">
        <f>L8-L13</f>
        <v>0</v>
      </c>
      <c r="M14" s="25">
        <f t="shared" ref="M14" si="17">M8-M13</f>
        <v>0</v>
      </c>
      <c r="N14" s="25">
        <f t="shared" ref="N14" si="18">N8-N13</f>
        <v>0</v>
      </c>
      <c r="O14" s="25">
        <f t="shared" ref="O14" si="19">O8-O13</f>
        <v>0</v>
      </c>
      <c r="P14" s="16">
        <f>P8-P13</f>
        <v>0</v>
      </c>
      <c r="Q14" s="21">
        <f>Q8-Q13</f>
        <v>0</v>
      </c>
      <c r="R14" s="25">
        <f t="shared" ref="R14:T14" si="20">R8-R13</f>
        <v>0</v>
      </c>
      <c r="S14" s="25">
        <f t="shared" si="20"/>
        <v>0</v>
      </c>
      <c r="T14" s="25">
        <f t="shared" si="20"/>
        <v>0</v>
      </c>
      <c r="U14" s="692">
        <f>U8-U13</f>
        <v>0</v>
      </c>
      <c r="V14" s="21">
        <f>V8-V13</f>
        <v>0</v>
      </c>
      <c r="W14" s="25">
        <f t="shared" ref="W14:Y14" si="21">W8-W13</f>
        <v>0</v>
      </c>
      <c r="X14" s="25">
        <f t="shared" si="21"/>
        <v>0</v>
      </c>
      <c r="Y14" s="25">
        <f t="shared" si="21"/>
        <v>0</v>
      </c>
      <c r="Z14" s="541" t="e">
        <f>Z8-Z13</f>
        <v>#REF!</v>
      </c>
      <c r="AA14" s="876"/>
      <c r="AB14" s="876"/>
      <c r="AC14" s="876">
        <f t="shared" ref="AC14:AD14" si="22">AC8-AC13</f>
        <v>0</v>
      </c>
      <c r="AD14" s="876">
        <f t="shared" si="22"/>
        <v>0</v>
      </c>
      <c r="AE14" s="20">
        <f t="shared" ref="AE14:AN14" si="23">AE8-AE13</f>
        <v>0</v>
      </c>
      <c r="AF14" s="876">
        <f t="shared" si="23"/>
        <v>0</v>
      </c>
      <c r="AG14" s="876">
        <f t="shared" si="23"/>
        <v>0</v>
      </c>
      <c r="AH14" s="876">
        <f t="shared" si="23"/>
        <v>0</v>
      </c>
      <c r="AI14" s="876">
        <f t="shared" si="23"/>
        <v>0</v>
      </c>
      <c r="AJ14" s="20">
        <f t="shared" si="23"/>
        <v>0</v>
      </c>
      <c r="AK14" s="20">
        <f t="shared" si="23"/>
        <v>0</v>
      </c>
      <c r="AL14" s="20">
        <f t="shared" si="23"/>
        <v>0</v>
      </c>
      <c r="AM14" s="20">
        <f t="shared" si="23"/>
        <v>15.614523559492374</v>
      </c>
      <c r="AN14" s="20">
        <f t="shared" si="23"/>
        <v>118.52327856170582</v>
      </c>
      <c r="AO14" s="20">
        <f t="shared" ref="AO14:AP14" si="24">AO8-AO13</f>
        <v>321.90102896951788</v>
      </c>
      <c r="AP14" s="20">
        <f t="shared" si="24"/>
        <v>620.64421474897836</v>
      </c>
      <c r="AQ14" s="20">
        <f t="shared" ref="AQ14:AR14" si="25">AQ8-AQ13</f>
        <v>896.63720703002775</v>
      </c>
      <c r="AR14" s="20">
        <f t="shared" si="25"/>
        <v>1142.9482075422948</v>
      </c>
      <c r="AS14" s="20">
        <f t="shared" ref="AS14" si="26">AS8-AS13</f>
        <v>1365.0452522597593</v>
      </c>
    </row>
    <row r="15" spans="1:49" x14ac:dyDescent="0.35">
      <c r="A15" s="12"/>
      <c r="B15" s="26"/>
      <c r="C15" s="25"/>
      <c r="D15" s="25"/>
      <c r="E15" s="25"/>
      <c r="F15" s="16"/>
      <c r="G15" s="26"/>
      <c r="H15" s="25"/>
      <c r="I15" s="25"/>
      <c r="J15" s="25"/>
      <c r="K15" s="16"/>
      <c r="L15" s="17"/>
      <c r="M15" s="17"/>
      <c r="N15" s="17"/>
      <c r="O15" s="17"/>
      <c r="P15" s="20"/>
      <c r="Q15" s="21"/>
      <c r="R15" s="25"/>
      <c r="S15" s="25"/>
      <c r="T15" s="652"/>
      <c r="U15" s="541"/>
      <c r="V15" s="21"/>
      <c r="W15" s="25"/>
      <c r="X15" s="25"/>
      <c r="Y15" s="652"/>
      <c r="Z15" s="541"/>
      <c r="AA15" s="875"/>
      <c r="AB15" s="876"/>
      <c r="AC15" s="876"/>
      <c r="AD15" s="877"/>
      <c r="AE15" s="20"/>
      <c r="AF15" s="21"/>
      <c r="AG15" s="25"/>
      <c r="AH15" s="25"/>
      <c r="AI15" s="652"/>
      <c r="AJ15" s="20"/>
      <c r="AK15" s="20"/>
      <c r="AL15" s="20"/>
      <c r="AM15" s="20"/>
      <c r="AN15" s="20"/>
      <c r="AO15" s="20"/>
      <c r="AP15" s="20"/>
      <c r="AQ15" s="20"/>
      <c r="AR15" s="20"/>
      <c r="AS15" s="20"/>
    </row>
    <row r="16" spans="1:49" x14ac:dyDescent="0.35">
      <c r="A16" s="12" t="s">
        <v>19</v>
      </c>
      <c r="B16" s="26"/>
      <c r="C16" s="18"/>
      <c r="D16" s="18"/>
      <c r="E16" s="68"/>
      <c r="F16" s="14">
        <v>10.968</v>
      </c>
      <c r="G16" s="18">
        <v>3.6739999999999999</v>
      </c>
      <c r="H16" s="15">
        <v>2.802</v>
      </c>
      <c r="I16" s="15">
        <v>5.5979999999999999</v>
      </c>
      <c r="J16" s="742">
        <f>K16-SUM(G16:I16)</f>
        <v>5.3480000000000008</v>
      </c>
      <c r="K16" s="14">
        <v>17.422000000000001</v>
      </c>
      <c r="L16" s="15">
        <v>4.5869999999999997</v>
      </c>
      <c r="M16" s="15">
        <v>4.9039999999999999</v>
      </c>
      <c r="N16" s="15">
        <v>5.0209999999999999</v>
      </c>
      <c r="O16" s="742">
        <f>P16-SUM(L16:N16)</f>
        <v>5.1260000000000012</v>
      </c>
      <c r="P16" s="14">
        <v>19.638000000000002</v>
      </c>
      <c r="Q16" s="714">
        <v>5.9480000000000004</v>
      </c>
      <c r="R16" s="15">
        <v>6.3760000000000003</v>
      </c>
      <c r="S16" s="15">
        <v>6.8849999999999998</v>
      </c>
      <c r="T16" s="804">
        <v>7.0030000000000001</v>
      </c>
      <c r="U16" s="625">
        <f>SUM(Q16:T16)</f>
        <v>26.212000000000003</v>
      </c>
      <c r="V16" s="15">
        <v>7.1989999999999998</v>
      </c>
      <c r="W16" s="15">
        <v>8.2140000000000004</v>
      </c>
      <c r="X16" s="15">
        <v>9.4529999999999994</v>
      </c>
      <c r="Y16" s="804">
        <v>9.5079999999999991</v>
      </c>
      <c r="Z16" s="692" t="e">
        <f>OPEX!#REF!</f>
        <v>#REF!</v>
      </c>
      <c r="AA16" s="740"/>
      <c r="AB16" s="740"/>
      <c r="AC16" s="740">
        <v>4.4039999999999999</v>
      </c>
      <c r="AD16" s="740">
        <v>18.754999999999999</v>
      </c>
      <c r="AE16" s="737">
        <v>30.734000000000002</v>
      </c>
      <c r="AF16" s="735">
        <f>OPEX!P68</f>
        <v>13</v>
      </c>
      <c r="AG16" s="735">
        <f>OPEX!Q68</f>
        <v>14.1</v>
      </c>
      <c r="AH16" s="735">
        <f>OPEX!R68</f>
        <v>15</v>
      </c>
      <c r="AI16" s="735">
        <f>OPEX!S68</f>
        <v>15.2</v>
      </c>
      <c r="AJ16" s="16">
        <f>OPEX!T68</f>
        <v>57.3</v>
      </c>
      <c r="AK16" s="16">
        <f>OPEX!U68</f>
        <v>59.019000000000005</v>
      </c>
      <c r="AL16" s="16">
        <f>OPEX!V68</f>
        <v>81.646818912500009</v>
      </c>
      <c r="AM16" s="16">
        <f>OPEX!W68</f>
        <v>116.54431528420001</v>
      </c>
      <c r="AN16" s="16">
        <f>OPEX!X68</f>
        <v>139.94301326206352</v>
      </c>
      <c r="AO16" s="16">
        <f>OPEX!Y68</f>
        <v>160.40724323484307</v>
      </c>
      <c r="AP16" s="16">
        <f>OPEX!Z68</f>
        <v>165.84446053188833</v>
      </c>
      <c r="AQ16" s="16">
        <f>OPEX!AA68</f>
        <v>171.476044347845</v>
      </c>
      <c r="AR16" s="16">
        <f>OPEX!AB68</f>
        <v>177.30938817828033</v>
      </c>
      <c r="AS16" s="16">
        <f>OPEX!AC68</f>
        <v>183.35218544862875</v>
      </c>
      <c r="AU16" s="925"/>
      <c r="AV16" s="925">
        <f>AJ16-SUM(AF16:AI16)</f>
        <v>0</v>
      </c>
      <c r="AW16" s="925"/>
    </row>
    <row r="17" spans="1:51" s="207" customFormat="1" x14ac:dyDescent="0.35">
      <c r="A17" s="677" t="s">
        <v>16</v>
      </c>
      <c r="B17" s="678"/>
      <c r="C17" s="679"/>
      <c r="D17" s="679"/>
      <c r="E17" s="680"/>
      <c r="F17" s="681"/>
      <c r="G17" s="680"/>
      <c r="H17" s="680"/>
      <c r="I17" s="680"/>
      <c r="J17" s="680"/>
      <c r="K17" s="681"/>
      <c r="L17" s="680"/>
      <c r="M17" s="680"/>
      <c r="N17" s="680"/>
      <c r="O17" s="680"/>
      <c r="P17" s="681"/>
      <c r="Q17" s="680"/>
      <c r="R17" s="680"/>
      <c r="S17" s="680"/>
      <c r="T17" s="680"/>
      <c r="U17" s="681"/>
      <c r="V17" s="680"/>
      <c r="W17" s="680"/>
      <c r="X17" s="680"/>
      <c r="Y17" s="680" t="e">
        <f>FactSet!#REF!</f>
        <v>#REF!</v>
      </c>
      <c r="Z17" s="681" t="e">
        <f>FactSet!#REF!</f>
        <v>#REF!</v>
      </c>
      <c r="AA17" s="880"/>
      <c r="AB17" s="680"/>
      <c r="AC17" s="680">
        <f>FactSet!P20</f>
        <v>4.4000000000000004</v>
      </c>
      <c r="AD17" s="680">
        <f>FactSet!Q20</f>
        <v>18.8</v>
      </c>
      <c r="AE17" s="683">
        <f>FactSet!R20</f>
        <v>30.7</v>
      </c>
      <c r="AF17" s="880">
        <f>FactSet!S20</f>
        <v>8.5</v>
      </c>
      <c r="AG17" s="680">
        <f>FactSet!T20</f>
        <v>9.033334</v>
      </c>
      <c r="AH17" s="680">
        <f>FactSet!U20</f>
        <v>9.7333339999999993</v>
      </c>
      <c r="AI17" s="680">
        <f>FactSet!V20</f>
        <v>10.166667</v>
      </c>
      <c r="AJ17" s="681">
        <f>FactSet!W20</f>
        <v>37.433334000000002</v>
      </c>
      <c r="AK17" s="681">
        <f>FactSet!X20</f>
        <v>42.1</v>
      </c>
      <c r="AL17" s="681"/>
      <c r="AM17" s="681"/>
      <c r="AN17" s="681"/>
      <c r="AO17" s="681"/>
      <c r="AP17" s="681"/>
      <c r="AQ17" s="681"/>
      <c r="AR17" s="681"/>
      <c r="AS17" s="681"/>
    </row>
    <row r="18" spans="1:51" x14ac:dyDescent="0.35">
      <c r="A18" s="12" t="s">
        <v>20</v>
      </c>
      <c r="B18" s="26"/>
      <c r="C18" s="18"/>
      <c r="D18" s="18"/>
      <c r="E18" s="68"/>
      <c r="F18" s="14">
        <v>43.709000000000003</v>
      </c>
      <c r="G18" s="18">
        <v>9.4979999999999993</v>
      </c>
      <c r="H18" s="15">
        <v>5.1289999999999996</v>
      </c>
      <c r="I18" s="15">
        <v>5.0030000000000001</v>
      </c>
      <c r="J18" s="742">
        <f>K18-SUM(G18:I18)</f>
        <v>6.1080000000000005</v>
      </c>
      <c r="K18" s="14">
        <v>25.738</v>
      </c>
      <c r="L18" s="15">
        <v>8.2129999999999992</v>
      </c>
      <c r="M18" s="15">
        <v>12.388</v>
      </c>
      <c r="N18" s="15">
        <v>14.798</v>
      </c>
      <c r="O18" s="742">
        <f>P18-SUM(L18:N18)</f>
        <v>20.513999999999996</v>
      </c>
      <c r="P18" s="14">
        <v>55.912999999999997</v>
      </c>
      <c r="Q18" s="19">
        <v>25.47</v>
      </c>
      <c r="R18" s="15">
        <v>29.478999999999999</v>
      </c>
      <c r="S18" s="15">
        <v>29.936</v>
      </c>
      <c r="T18" s="804">
        <v>36.741999999999997</v>
      </c>
      <c r="U18" s="625">
        <f>SUM(Q18:T18)</f>
        <v>121.62699999999998</v>
      </c>
      <c r="V18" s="15">
        <v>36.037999999999997</v>
      </c>
      <c r="W18" s="15">
        <v>38.871000000000002</v>
      </c>
      <c r="X18" s="15">
        <v>50.127000000000002</v>
      </c>
      <c r="Y18" s="804">
        <v>48.719000000000001</v>
      </c>
      <c r="Z18" s="16" t="e">
        <f>OPEX!#REF!</f>
        <v>#REF!</v>
      </c>
      <c r="AA18" s="15"/>
      <c r="AB18" s="15"/>
      <c r="AC18" s="15">
        <v>27.094000000000001</v>
      </c>
      <c r="AD18" s="15">
        <v>64.623000000000005</v>
      </c>
      <c r="AE18" s="737">
        <v>138.34899999999999</v>
      </c>
      <c r="AF18" s="17">
        <f>OPEX!P13</f>
        <v>42</v>
      </c>
      <c r="AG18" s="17">
        <f>OPEX!Q13</f>
        <v>40.5</v>
      </c>
      <c r="AH18" s="17">
        <f>OPEX!R13</f>
        <v>37.049999999999997</v>
      </c>
      <c r="AI18" s="17">
        <f>OPEX!S13</f>
        <v>39.549999999999997</v>
      </c>
      <c r="AJ18" s="16">
        <f>OPEX!T13</f>
        <v>159.1</v>
      </c>
      <c r="AK18" s="16">
        <f>OPEX!U13</f>
        <v>165.37300000000002</v>
      </c>
      <c r="AL18" s="16">
        <f>OPEX!V13</f>
        <v>182.04209</v>
      </c>
      <c r="AM18" s="16">
        <f>OPEX!W13</f>
        <v>164.86335270000001</v>
      </c>
      <c r="AN18" s="16">
        <f>OPEX!X13</f>
        <v>152.769253281</v>
      </c>
      <c r="AO18" s="16">
        <f>OPEX!Y13</f>
        <v>145.76233087943001</v>
      </c>
      <c r="AP18" s="16">
        <f>OPEX!Z13</f>
        <v>148.84520080581291</v>
      </c>
      <c r="AQ18" s="16">
        <f>OPEX!AA13</f>
        <v>152.0205568299873</v>
      </c>
      <c r="AR18" s="16">
        <f>OPEX!AB13</f>
        <v>155.29117353488692</v>
      </c>
      <c r="AS18" s="16">
        <f>OPEX!AC13</f>
        <v>158.65990874093353</v>
      </c>
      <c r="AU18" s="925"/>
      <c r="AV18" s="925">
        <f>AJ18-SUM(AF18:AI18)</f>
        <v>0</v>
      </c>
      <c r="AW18" s="925"/>
    </row>
    <row r="19" spans="1:51" s="207" customFormat="1" x14ac:dyDescent="0.35">
      <c r="A19" s="677" t="s">
        <v>16</v>
      </c>
      <c r="B19" s="678"/>
      <c r="C19" s="679"/>
      <c r="D19" s="679"/>
      <c r="E19" s="680"/>
      <c r="F19" s="681"/>
      <c r="G19" s="741"/>
      <c r="H19" s="741"/>
      <c r="I19" s="741"/>
      <c r="J19" s="741"/>
      <c r="K19" s="681"/>
      <c r="L19" s="680"/>
      <c r="M19" s="680"/>
      <c r="N19" s="680"/>
      <c r="O19" s="680"/>
      <c r="P19" s="681"/>
      <c r="Q19" s="680"/>
      <c r="R19" s="680"/>
      <c r="S19" s="680"/>
      <c r="T19" s="680"/>
      <c r="U19" s="681"/>
      <c r="V19" s="680"/>
      <c r="W19" s="680"/>
      <c r="X19" s="680"/>
      <c r="Y19" s="680" t="e">
        <f>FactSet!#REF!</f>
        <v>#REF!</v>
      </c>
      <c r="Z19" s="681" t="e">
        <f>FactSet!#REF!</f>
        <v>#REF!</v>
      </c>
      <c r="AA19" s="880"/>
      <c r="AB19" s="680"/>
      <c r="AC19" s="680">
        <f>FactSet!P21</f>
        <v>27.1</v>
      </c>
      <c r="AD19" s="680">
        <f>FactSet!Q21</f>
        <v>64.599999999999994</v>
      </c>
      <c r="AE19" s="683">
        <f>FactSet!R21</f>
        <v>138.30000000000001</v>
      </c>
      <c r="AF19" s="880">
        <f>FactSet!S21</f>
        <v>35.1</v>
      </c>
      <c r="AG19" s="680">
        <f>FactSet!T21</f>
        <v>36.766666000000001</v>
      </c>
      <c r="AH19" s="680">
        <f>FactSet!U21</f>
        <v>38.1</v>
      </c>
      <c r="AI19" s="680">
        <f>FactSet!V21</f>
        <v>40.766666000000001</v>
      </c>
      <c r="AJ19" s="681">
        <f>FactSet!W21</f>
        <v>150.66667000000001</v>
      </c>
      <c r="AK19" s="681"/>
      <c r="AL19" s="681"/>
      <c r="AM19" s="681"/>
      <c r="AN19" s="681"/>
      <c r="AO19" s="681"/>
      <c r="AP19" s="681"/>
      <c r="AQ19" s="681"/>
      <c r="AR19" s="681"/>
      <c r="AS19" s="681"/>
      <c r="AY19" s="899"/>
    </row>
    <row r="20" spans="1:51" s="736" customFormat="1" x14ac:dyDescent="0.35">
      <c r="A20" s="12" t="s">
        <v>275</v>
      </c>
      <c r="B20" s="733"/>
      <c r="C20" s="734"/>
      <c r="D20" s="734"/>
      <c r="E20" s="735"/>
      <c r="F20" s="737">
        <v>0</v>
      </c>
      <c r="G20" s="740">
        <v>0</v>
      </c>
      <c r="H20" s="740">
        <v>0</v>
      </c>
      <c r="I20" s="740">
        <v>46.91</v>
      </c>
      <c r="J20" s="742">
        <f>K20-SUM(G20:I20)</f>
        <v>0</v>
      </c>
      <c r="K20" s="737">
        <v>46.91</v>
      </c>
      <c r="L20" s="740">
        <v>0</v>
      </c>
      <c r="M20" s="740">
        <v>0</v>
      </c>
      <c r="N20" s="740">
        <v>0</v>
      </c>
      <c r="O20" s="742">
        <f>P20-SUM(L20:N20)</f>
        <v>0</v>
      </c>
      <c r="P20" s="737">
        <v>0</v>
      </c>
      <c r="Q20" s="740">
        <v>0</v>
      </c>
      <c r="R20" s="740">
        <v>0</v>
      </c>
      <c r="S20" s="740">
        <v>0</v>
      </c>
      <c r="T20" s="740">
        <v>0</v>
      </c>
      <c r="U20" s="625">
        <f>SUM(Q20:T20)</f>
        <v>0</v>
      </c>
      <c r="V20" s="740">
        <v>0</v>
      </c>
      <c r="W20" s="740">
        <v>0</v>
      </c>
      <c r="X20" s="740">
        <v>0</v>
      </c>
      <c r="Y20" s="742">
        <f>Z20-SUM(V20:X20)</f>
        <v>0</v>
      </c>
      <c r="Z20" s="737">
        <v>0</v>
      </c>
      <c r="AA20" s="740"/>
      <c r="AB20" s="740"/>
      <c r="AC20" s="740">
        <v>0</v>
      </c>
      <c r="AD20" s="739">
        <v>0</v>
      </c>
      <c r="AE20" s="737">
        <v>0</v>
      </c>
      <c r="AF20" s="740">
        <v>0</v>
      </c>
      <c r="AG20" s="740">
        <v>0</v>
      </c>
      <c r="AH20" s="740">
        <v>0</v>
      </c>
      <c r="AI20" s="742">
        <f>AJ20-SUM(AF20:AH20)</f>
        <v>0</v>
      </c>
      <c r="AJ20" s="737">
        <v>0</v>
      </c>
      <c r="AK20" s="737">
        <v>0</v>
      </c>
      <c r="AL20" s="692">
        <f t="shared" ref="AL20:AS20" si="27">AK20</f>
        <v>0</v>
      </c>
      <c r="AM20" s="692">
        <f t="shared" si="27"/>
        <v>0</v>
      </c>
      <c r="AN20" s="692">
        <f t="shared" si="27"/>
        <v>0</v>
      </c>
      <c r="AO20" s="692">
        <f t="shared" si="27"/>
        <v>0</v>
      </c>
      <c r="AP20" s="692">
        <f t="shared" si="27"/>
        <v>0</v>
      </c>
      <c r="AQ20" s="692">
        <f t="shared" si="27"/>
        <v>0</v>
      </c>
      <c r="AR20" s="692">
        <f t="shared" si="27"/>
        <v>0</v>
      </c>
      <c r="AS20" s="692">
        <f t="shared" si="27"/>
        <v>0</v>
      </c>
    </row>
    <row r="21" spans="1:51" s="736" customFormat="1" x14ac:dyDescent="0.35">
      <c r="A21" s="732"/>
      <c r="B21" s="733"/>
      <c r="C21" s="734"/>
      <c r="D21" s="734"/>
      <c r="E21" s="735"/>
      <c r="F21" s="692"/>
      <c r="G21" s="735"/>
      <c r="H21" s="735"/>
      <c r="I21" s="735"/>
      <c r="J21" s="735"/>
      <c r="K21" s="692"/>
      <c r="L21" s="735"/>
      <c r="M21" s="735"/>
      <c r="N21" s="735"/>
      <c r="O21" s="735"/>
      <c r="P21" s="692"/>
      <c r="Q21" s="735"/>
      <c r="R21" s="735"/>
      <c r="S21" s="735"/>
      <c r="T21" s="735"/>
      <c r="U21" s="692"/>
      <c r="V21" s="735"/>
      <c r="W21" s="735"/>
      <c r="X21" s="735"/>
      <c r="Y21" s="735"/>
      <c r="Z21" s="692"/>
      <c r="AA21" s="878"/>
      <c r="AB21" s="735"/>
      <c r="AC21" s="735"/>
      <c r="AD21" s="879"/>
      <c r="AE21" s="692"/>
      <c r="AF21" s="878"/>
      <c r="AG21" s="735"/>
      <c r="AH21" s="735"/>
      <c r="AI21" s="879"/>
      <c r="AJ21" s="692"/>
      <c r="AK21" s="692"/>
      <c r="AL21" s="692"/>
      <c r="AM21" s="692"/>
      <c r="AN21" s="692"/>
      <c r="AO21" s="692"/>
      <c r="AP21" s="692"/>
      <c r="AQ21" s="692"/>
      <c r="AR21" s="692"/>
      <c r="AS21" s="692"/>
    </row>
    <row r="22" spans="1:51" x14ac:dyDescent="0.35">
      <c r="A22" s="62" t="s">
        <v>21</v>
      </c>
      <c r="B22" s="30"/>
      <c r="C22" s="29"/>
      <c r="D22" s="29"/>
      <c r="E22" s="29"/>
      <c r="F22" s="28">
        <f t="shared" ref="F22:J22" si="28">F16+F18+F20</f>
        <v>54.677000000000007</v>
      </c>
      <c r="G22" s="30">
        <f t="shared" si="28"/>
        <v>13.171999999999999</v>
      </c>
      <c r="H22" s="29">
        <f t="shared" si="28"/>
        <v>7.9309999999999992</v>
      </c>
      <c r="I22" s="29">
        <f t="shared" si="28"/>
        <v>57.510999999999996</v>
      </c>
      <c r="J22" s="738">
        <f t="shared" si="28"/>
        <v>11.456000000000001</v>
      </c>
      <c r="K22" s="28">
        <f>K16+K18+K20</f>
        <v>90.07</v>
      </c>
      <c r="L22" s="30">
        <f>L16+L18+L20</f>
        <v>12.799999999999999</v>
      </c>
      <c r="M22" s="29">
        <f t="shared" ref="M22:AN22" si="29">M16+M18+M20</f>
        <v>17.292000000000002</v>
      </c>
      <c r="N22" s="29">
        <f t="shared" si="29"/>
        <v>19.818999999999999</v>
      </c>
      <c r="O22" s="738">
        <f>O16+O18+O20</f>
        <v>25.639999999999997</v>
      </c>
      <c r="P22" s="28">
        <f t="shared" si="29"/>
        <v>75.551000000000002</v>
      </c>
      <c r="Q22" s="30">
        <f t="shared" si="29"/>
        <v>31.417999999999999</v>
      </c>
      <c r="R22" s="29">
        <f t="shared" si="29"/>
        <v>35.854999999999997</v>
      </c>
      <c r="S22" s="29">
        <f t="shared" si="29"/>
        <v>36.820999999999998</v>
      </c>
      <c r="T22" s="738">
        <f t="shared" si="29"/>
        <v>43.744999999999997</v>
      </c>
      <c r="U22" s="28">
        <f t="shared" si="29"/>
        <v>147.839</v>
      </c>
      <c r="V22" s="30">
        <f t="shared" ref="V22:Y22" si="30">V16+V18+V20</f>
        <v>43.236999999999995</v>
      </c>
      <c r="W22" s="29">
        <f t="shared" si="30"/>
        <v>47.085000000000001</v>
      </c>
      <c r="X22" s="29">
        <f t="shared" si="30"/>
        <v>59.58</v>
      </c>
      <c r="Y22" s="738">
        <f t="shared" si="30"/>
        <v>58.227000000000004</v>
      </c>
      <c r="Z22" s="28" t="e">
        <f t="shared" si="29"/>
        <v>#REF!</v>
      </c>
      <c r="AA22" s="30"/>
      <c r="AB22" s="29"/>
      <c r="AC22" s="29">
        <f t="shared" si="29"/>
        <v>31.498000000000001</v>
      </c>
      <c r="AD22" s="738">
        <f t="shared" si="29"/>
        <v>83.378</v>
      </c>
      <c r="AE22" s="978">
        <f t="shared" si="29"/>
        <v>169.083</v>
      </c>
      <c r="AF22" s="30">
        <f t="shared" ref="AF22:AI22" si="31">AF16+AF18+AF20</f>
        <v>55</v>
      </c>
      <c r="AG22" s="29">
        <f t="shared" si="31"/>
        <v>54.6</v>
      </c>
      <c r="AH22" s="29">
        <f t="shared" si="31"/>
        <v>52.05</v>
      </c>
      <c r="AI22" s="738">
        <f t="shared" si="31"/>
        <v>54.75</v>
      </c>
      <c r="AJ22" s="28">
        <f t="shared" si="29"/>
        <v>216.39999999999998</v>
      </c>
      <c r="AK22" s="28">
        <f>AK16+AK18+AK20</f>
        <v>224.39200000000002</v>
      </c>
      <c r="AL22" s="28">
        <f t="shared" si="29"/>
        <v>263.68890891249998</v>
      </c>
      <c r="AM22" s="28">
        <f t="shared" si="29"/>
        <v>281.40766798420003</v>
      </c>
      <c r="AN22" s="28">
        <f t="shared" si="29"/>
        <v>292.71226654306349</v>
      </c>
      <c r="AO22" s="28">
        <f t="shared" ref="AO22:AP22" si="32">AO16+AO18+AO20</f>
        <v>306.16957411427308</v>
      </c>
      <c r="AP22" s="28">
        <f t="shared" si="32"/>
        <v>314.68966133770124</v>
      </c>
      <c r="AQ22" s="28">
        <f t="shared" ref="AQ22:AR22" si="33">AQ16+AQ18+AQ20</f>
        <v>323.4966011778323</v>
      </c>
      <c r="AR22" s="28">
        <f t="shared" si="33"/>
        <v>332.60056171316728</v>
      </c>
      <c r="AS22" s="28">
        <f t="shared" ref="AS22" si="34">AS16+AS18+AS20</f>
        <v>342.01209418956228</v>
      </c>
      <c r="AU22" s="925"/>
      <c r="AV22" s="925">
        <f>AJ22-SUM(AF22:AI22)</f>
        <v>0</v>
      </c>
      <c r="AW22" s="925"/>
    </row>
    <row r="23" spans="1:51" x14ac:dyDescent="0.35">
      <c r="A23" s="12"/>
      <c r="B23" s="19"/>
      <c r="C23" s="18"/>
      <c r="D23" s="15"/>
      <c r="E23" s="27"/>
      <c r="F23" s="16"/>
      <c r="G23" s="15"/>
      <c r="H23" s="18"/>
      <c r="I23" s="15"/>
      <c r="J23" s="27"/>
      <c r="K23" s="16"/>
      <c r="L23" s="17"/>
      <c r="M23" s="17"/>
      <c r="N23" s="17"/>
      <c r="O23" s="17"/>
      <c r="P23" s="16"/>
      <c r="Q23" s="648"/>
      <c r="R23" s="17"/>
      <c r="S23" s="17"/>
      <c r="T23" s="651"/>
      <c r="U23" s="16"/>
      <c r="V23" s="648"/>
      <c r="W23" s="17"/>
      <c r="X23" s="17"/>
      <c r="Y23" s="651"/>
      <c r="Z23" s="16"/>
      <c r="AA23" s="648"/>
      <c r="AB23" s="17"/>
      <c r="AC23" s="17"/>
      <c r="AD23" s="651"/>
      <c r="AE23" s="692"/>
      <c r="AF23" s="648"/>
      <c r="AG23" s="17"/>
      <c r="AH23" s="17"/>
      <c r="AI23" s="651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51" x14ac:dyDescent="0.35">
      <c r="A24" s="12" t="s">
        <v>22</v>
      </c>
      <c r="B24" s="21"/>
      <c r="C24" s="25"/>
      <c r="D24" s="25"/>
      <c r="E24" s="25"/>
      <c r="F24" s="16">
        <f t="shared" ref="F24:J24" si="35">F8-F13-F16-F18-F20</f>
        <v>-32.178000000000004</v>
      </c>
      <c r="G24" s="648">
        <f t="shared" si="35"/>
        <v>-6.141</v>
      </c>
      <c r="H24" s="17">
        <f t="shared" si="35"/>
        <v>-7.4029999999999996</v>
      </c>
      <c r="I24" s="17">
        <f t="shared" si="35"/>
        <v>-57.198999999999998</v>
      </c>
      <c r="J24" s="651">
        <f t="shared" si="35"/>
        <v>-11.456000000000001</v>
      </c>
      <c r="K24" s="16">
        <f>K8-K13-K16-K18-K20</f>
        <v>-82.198999999999998</v>
      </c>
      <c r="L24" s="648">
        <f>L8-L13-L16-L18-L20</f>
        <v>-12.799999999999999</v>
      </c>
      <c r="M24" s="17">
        <f t="shared" ref="M24:AN24" si="36">M8-M13-M16-M18-M20</f>
        <v>-17.292000000000002</v>
      </c>
      <c r="N24" s="17">
        <f t="shared" si="36"/>
        <v>-19.818999999999999</v>
      </c>
      <c r="O24" s="651">
        <f>O8-O13-O16-O18-O20</f>
        <v>-25.639999999999997</v>
      </c>
      <c r="P24" s="16">
        <f t="shared" si="36"/>
        <v>-75.551000000000002</v>
      </c>
      <c r="Q24" s="648">
        <f t="shared" si="36"/>
        <v>-31.417999999999999</v>
      </c>
      <c r="R24" s="17">
        <f t="shared" si="36"/>
        <v>-35.854999999999997</v>
      </c>
      <c r="S24" s="17">
        <f t="shared" si="36"/>
        <v>-36.820999999999998</v>
      </c>
      <c r="T24" s="651">
        <f t="shared" si="36"/>
        <v>-43.744999999999997</v>
      </c>
      <c r="U24" s="16">
        <f t="shared" si="36"/>
        <v>-147.839</v>
      </c>
      <c r="V24" s="648">
        <f t="shared" ref="V24:Y24" si="37">V8-V13-V16-V18-V20</f>
        <v>-43.236999999999995</v>
      </c>
      <c r="W24" s="17">
        <f t="shared" si="37"/>
        <v>-47.085000000000001</v>
      </c>
      <c r="X24" s="17">
        <f t="shared" si="37"/>
        <v>-59.58</v>
      </c>
      <c r="Y24" s="651">
        <f t="shared" si="37"/>
        <v>-58.227000000000004</v>
      </c>
      <c r="Z24" s="16" t="e">
        <f t="shared" si="36"/>
        <v>#REF!</v>
      </c>
      <c r="AA24" s="648"/>
      <c r="AB24" s="17"/>
      <c r="AC24" s="17">
        <f t="shared" si="36"/>
        <v>-31.498000000000001</v>
      </c>
      <c r="AD24" s="651">
        <f t="shared" si="36"/>
        <v>-83.378</v>
      </c>
      <c r="AE24" s="692">
        <f t="shared" si="36"/>
        <v>-169.083</v>
      </c>
      <c r="AF24" s="648">
        <f t="shared" ref="AF24:AI24" si="38">AF8-AF13-AF16-AF18-AF20</f>
        <v>-55</v>
      </c>
      <c r="AG24" s="17">
        <f t="shared" si="38"/>
        <v>-54.6</v>
      </c>
      <c r="AH24" s="17">
        <f t="shared" si="38"/>
        <v>-52.05</v>
      </c>
      <c r="AI24" s="651">
        <f t="shared" si="38"/>
        <v>-54.75</v>
      </c>
      <c r="AJ24" s="16">
        <f t="shared" si="36"/>
        <v>-216.39999999999998</v>
      </c>
      <c r="AK24" s="16">
        <f t="shared" si="36"/>
        <v>-224.39200000000002</v>
      </c>
      <c r="AL24" s="16">
        <f t="shared" si="36"/>
        <v>-263.68890891249998</v>
      </c>
      <c r="AM24" s="16">
        <f t="shared" si="36"/>
        <v>-265.79314442470763</v>
      </c>
      <c r="AN24" s="16">
        <f t="shared" si="36"/>
        <v>-174.18898798135768</v>
      </c>
      <c r="AO24" s="16">
        <f t="shared" ref="AO24:AP24" si="39">AO8-AO13-AO16-AO18-AO20</f>
        <v>15.731454855244806</v>
      </c>
      <c r="AP24" s="16">
        <f t="shared" si="39"/>
        <v>305.95455341127712</v>
      </c>
      <c r="AQ24" s="16">
        <f t="shared" ref="AQ24:AR24" si="40">AQ8-AQ13-AQ16-AQ18-AQ20</f>
        <v>573.14060585219545</v>
      </c>
      <c r="AR24" s="16">
        <f t="shared" si="40"/>
        <v>810.34764582912749</v>
      </c>
      <c r="AS24" s="16">
        <f t="shared" ref="AS24" si="41">AS8-AS13-AS16-AS18-AS20</f>
        <v>1023.033158070197</v>
      </c>
    </row>
    <row r="25" spans="1:51" x14ac:dyDescent="0.35">
      <c r="A25" s="12"/>
      <c r="B25" s="21"/>
      <c r="C25" s="25"/>
      <c r="D25" s="25"/>
      <c r="E25" s="25"/>
      <c r="F25" s="20"/>
      <c r="G25" s="21"/>
      <c r="H25" s="25"/>
      <c r="I25" s="25"/>
      <c r="J25" s="25"/>
      <c r="K25" s="20"/>
      <c r="L25" s="25"/>
      <c r="M25" s="25"/>
      <c r="N25" s="25"/>
      <c r="O25" s="25"/>
      <c r="P25" s="20"/>
      <c r="Q25" s="21"/>
      <c r="R25" s="25"/>
      <c r="S25" s="25"/>
      <c r="T25" s="652"/>
      <c r="U25" s="20"/>
      <c r="V25" s="21"/>
      <c r="W25" s="25"/>
      <c r="X25" s="25"/>
      <c r="Y25" s="652"/>
      <c r="Z25" s="20"/>
      <c r="AA25" s="21"/>
      <c r="AB25" s="25"/>
      <c r="AC25" s="25"/>
      <c r="AD25" s="877"/>
      <c r="AE25" s="541"/>
      <c r="AF25" s="21"/>
      <c r="AG25" s="25"/>
      <c r="AH25" s="25"/>
      <c r="AI25" s="652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 spans="1:51" hidden="1" outlineLevel="1" x14ac:dyDescent="0.35">
      <c r="A26" s="72" t="s">
        <v>271</v>
      </c>
      <c r="B26" s="26"/>
      <c r="C26" s="18"/>
      <c r="D26" s="18"/>
      <c r="E26" s="68"/>
      <c r="F26" s="14">
        <v>0.26700000000000002</v>
      </c>
      <c r="G26" s="15">
        <v>4.7E-2</v>
      </c>
      <c r="H26" s="15">
        <v>3.0000000000000001E-3</v>
      </c>
      <c r="I26" s="15">
        <v>2.3E-2</v>
      </c>
      <c r="J26" s="742">
        <f>K26-SUM(G26:I26)</f>
        <v>7.099999999999998E-2</v>
      </c>
      <c r="K26" s="14">
        <v>0.14399999999999999</v>
      </c>
      <c r="L26" s="15">
        <v>0.125</v>
      </c>
      <c r="M26" s="15">
        <v>0.12</v>
      </c>
      <c r="N26" s="15">
        <v>0.115</v>
      </c>
      <c r="O26" s="742">
        <f>P26-SUM(L26:N26)</f>
        <v>0.10700000000000004</v>
      </c>
      <c r="P26" s="14">
        <v>0.46700000000000003</v>
      </c>
      <c r="Q26" s="19">
        <v>0.107</v>
      </c>
      <c r="R26" s="15">
        <v>0.27200000000000002</v>
      </c>
      <c r="S26" s="15">
        <v>1.5</v>
      </c>
      <c r="T26" s="804">
        <v>2.11</v>
      </c>
      <c r="U26" s="625">
        <f>SUM(Q26:T26)</f>
        <v>3.9889999999999999</v>
      </c>
      <c r="V26" s="19">
        <v>2.2679999999999998</v>
      </c>
      <c r="W26" s="15">
        <v>2.7410000000000001</v>
      </c>
      <c r="X26" s="15">
        <v>4.1980000000000004</v>
      </c>
      <c r="Y26" s="15">
        <v>3.87</v>
      </c>
      <c r="Z26" s="692">
        <f>SUM(V26:Y26)</f>
        <v>13.077000000000002</v>
      </c>
      <c r="AA26" s="19"/>
      <c r="AB26" s="15"/>
      <c r="AC26" s="15">
        <v>1.5489999999999999</v>
      </c>
      <c r="AD26" s="976">
        <v>2.4710000000000001</v>
      </c>
      <c r="AE26" s="737">
        <v>5.5179999999999998</v>
      </c>
      <c r="AF26" s="19">
        <v>2.5</v>
      </c>
      <c r="AG26" s="15">
        <v>2.5</v>
      </c>
      <c r="AH26" s="15">
        <v>2.5</v>
      </c>
      <c r="AI26" s="812">
        <f t="shared" ref="AI26" si="42">AJ26-AH26-AG26-AF26</f>
        <v>2.5</v>
      </c>
      <c r="AJ26" s="14">
        <v>10</v>
      </c>
      <c r="AK26" s="14">
        <v>10</v>
      </c>
      <c r="AL26" s="16">
        <f t="shared" ref="AL26:AS27" si="43">AK26*1.03</f>
        <v>10.3</v>
      </c>
      <c r="AM26" s="16">
        <f t="shared" si="43"/>
        <v>10.609000000000002</v>
      </c>
      <c r="AN26" s="16">
        <f t="shared" si="43"/>
        <v>10.927270000000002</v>
      </c>
      <c r="AO26" s="16">
        <f t="shared" si="43"/>
        <v>11.255088100000002</v>
      </c>
      <c r="AP26" s="16">
        <f t="shared" si="43"/>
        <v>11.592740743000002</v>
      </c>
      <c r="AQ26" s="16">
        <f t="shared" si="43"/>
        <v>11.940522965290002</v>
      </c>
      <c r="AR26" s="16">
        <f t="shared" si="43"/>
        <v>12.298738654248703</v>
      </c>
      <c r="AS26" s="16">
        <f t="shared" si="43"/>
        <v>12.667700813876165</v>
      </c>
    </row>
    <row r="27" spans="1:51" hidden="1" outlineLevel="1" x14ac:dyDescent="0.35">
      <c r="A27" s="72" t="s">
        <v>437</v>
      </c>
      <c r="B27" s="19"/>
      <c r="C27" s="15"/>
      <c r="D27" s="15"/>
      <c r="E27" s="68"/>
      <c r="F27" s="14">
        <v>0</v>
      </c>
      <c r="G27" s="15">
        <v>0</v>
      </c>
      <c r="H27" s="15">
        <v>7.0000000000000001E-3</v>
      </c>
      <c r="I27" s="15">
        <v>0.23899999999999999</v>
      </c>
      <c r="J27" s="742">
        <f>K27-SUM(G27:I27)</f>
        <v>0.53300000000000003</v>
      </c>
      <c r="K27" s="14">
        <v>0.77900000000000003</v>
      </c>
      <c r="L27" s="15">
        <v>0.60399999999999998</v>
      </c>
      <c r="M27" s="15">
        <v>0.623</v>
      </c>
      <c r="N27" s="15">
        <v>0.62</v>
      </c>
      <c r="O27" s="742">
        <f>P27-SUM(L27:N27)</f>
        <v>0.621</v>
      </c>
      <c r="P27" s="14">
        <v>2.468</v>
      </c>
      <c r="Q27" s="19">
        <v>0.67700000000000005</v>
      </c>
      <c r="R27" s="15">
        <v>0.65600000000000003</v>
      </c>
      <c r="S27" s="15">
        <v>0.25900000000000001</v>
      </c>
      <c r="T27" s="804">
        <v>0.65700000000000003</v>
      </c>
      <c r="U27" s="625">
        <f>SUM(Q27:T27)</f>
        <v>2.2490000000000001</v>
      </c>
      <c r="V27" s="19">
        <v>0.68200000000000005</v>
      </c>
      <c r="W27" s="15">
        <v>0.26800000000000002</v>
      </c>
      <c r="X27" s="15">
        <v>0</v>
      </c>
      <c r="Y27" s="804">
        <v>-7.0000000000000001E-3</v>
      </c>
      <c r="Z27" s="64">
        <f>SUM(V27:Y27)</f>
        <v>0.94300000000000006</v>
      </c>
      <c r="AA27" s="19"/>
      <c r="AB27" s="15"/>
      <c r="AC27" s="15">
        <v>0</v>
      </c>
      <c r="AD27" s="976">
        <v>0</v>
      </c>
      <c r="AE27" s="737">
        <v>0</v>
      </c>
      <c r="AF27" s="19">
        <v>0</v>
      </c>
      <c r="AG27" s="15">
        <v>0</v>
      </c>
      <c r="AH27" s="15">
        <v>0</v>
      </c>
      <c r="AI27" s="812">
        <f t="shared" ref="AI27" si="44">AJ27-AH27-AG27-AF27</f>
        <v>0</v>
      </c>
      <c r="AJ27" s="14">
        <v>0</v>
      </c>
      <c r="AK27" s="14">
        <v>0</v>
      </c>
      <c r="AL27" s="16">
        <f t="shared" si="43"/>
        <v>0</v>
      </c>
      <c r="AM27" s="16">
        <f t="shared" si="43"/>
        <v>0</v>
      </c>
      <c r="AN27" s="16">
        <f t="shared" si="43"/>
        <v>0</v>
      </c>
      <c r="AO27" s="16">
        <f t="shared" si="43"/>
        <v>0</v>
      </c>
      <c r="AP27" s="16">
        <f t="shared" si="43"/>
        <v>0</v>
      </c>
      <c r="AQ27" s="16">
        <f t="shared" si="43"/>
        <v>0</v>
      </c>
      <c r="AR27" s="16">
        <f t="shared" si="43"/>
        <v>0</v>
      </c>
      <c r="AS27" s="16">
        <f t="shared" si="43"/>
        <v>0</v>
      </c>
    </row>
    <row r="28" spans="1:51" hidden="1" outlineLevel="1" x14ac:dyDescent="0.35">
      <c r="A28" s="72" t="s">
        <v>270</v>
      </c>
      <c r="B28" s="19"/>
      <c r="C28" s="15"/>
      <c r="D28" s="15"/>
      <c r="E28" s="68"/>
      <c r="F28" s="14">
        <v>0</v>
      </c>
      <c r="G28" s="15">
        <v>0</v>
      </c>
      <c r="H28" s="15">
        <v>0</v>
      </c>
      <c r="I28" s="15">
        <v>-0.50900000000000001</v>
      </c>
      <c r="J28" s="742">
        <f>K28-SUM(G28:I28)</f>
        <v>-0.5159999999999999</v>
      </c>
      <c r="K28" s="14">
        <v>-1.0249999999999999</v>
      </c>
      <c r="L28" s="15">
        <v>0.34300000000000003</v>
      </c>
      <c r="M28" s="15">
        <v>0</v>
      </c>
      <c r="N28" s="15">
        <v>0</v>
      </c>
      <c r="O28" s="742">
        <f>P28-SUM(L28:N28)</f>
        <v>0</v>
      </c>
      <c r="P28" s="14">
        <v>0.34300000000000003</v>
      </c>
      <c r="Q28" s="15">
        <v>0</v>
      </c>
      <c r="R28" s="15">
        <v>0</v>
      </c>
      <c r="S28" s="15">
        <v>0</v>
      </c>
      <c r="T28" s="804">
        <v>1.36</v>
      </c>
      <c r="U28" s="625">
        <f>SUM(Q28:T28)</f>
        <v>1.36</v>
      </c>
      <c r="V28" s="15">
        <v>1.7</v>
      </c>
      <c r="W28" s="15">
        <v>0</v>
      </c>
      <c r="X28" s="15">
        <v>0</v>
      </c>
      <c r="Y28" s="15">
        <v>0</v>
      </c>
      <c r="Z28" s="692">
        <f>SUM(V28:Y28)</f>
        <v>1.7</v>
      </c>
      <c r="AA28" s="19"/>
      <c r="AB28" s="15"/>
      <c r="AC28" s="15">
        <v>0.53100000000000003</v>
      </c>
      <c r="AD28" s="976">
        <v>1.359</v>
      </c>
      <c r="AE28" s="976">
        <v>2.4129999999999998</v>
      </c>
      <c r="AF28" s="19">
        <v>0</v>
      </c>
      <c r="AG28" s="15">
        <v>0</v>
      </c>
      <c r="AH28" s="15">
        <v>0</v>
      </c>
      <c r="AI28" s="812">
        <f t="shared" ref="AI28" si="45">AJ28-AH28-AG28-AF28</f>
        <v>0</v>
      </c>
      <c r="AJ28" s="14">
        <v>0</v>
      </c>
      <c r="AK28" s="14">
        <v>0</v>
      </c>
      <c r="AL28" s="692">
        <f t="shared" ref="AL28:AS28" si="46">AK28</f>
        <v>0</v>
      </c>
      <c r="AM28" s="692">
        <f t="shared" si="46"/>
        <v>0</v>
      </c>
      <c r="AN28" s="692">
        <f t="shared" si="46"/>
        <v>0</v>
      </c>
      <c r="AO28" s="692">
        <f t="shared" si="46"/>
        <v>0</v>
      </c>
      <c r="AP28" s="692">
        <f t="shared" si="46"/>
        <v>0</v>
      </c>
      <c r="AQ28" s="692">
        <f t="shared" si="46"/>
        <v>0</v>
      </c>
      <c r="AR28" s="692">
        <f t="shared" si="46"/>
        <v>0</v>
      </c>
      <c r="AS28" s="692">
        <f t="shared" si="46"/>
        <v>0</v>
      </c>
    </row>
    <row r="29" spans="1:51" collapsed="1" x14ac:dyDescent="0.35">
      <c r="A29" s="12" t="s">
        <v>23</v>
      </c>
      <c r="B29" s="21"/>
      <c r="C29" s="25"/>
      <c r="D29" s="25"/>
      <c r="E29" s="25"/>
      <c r="F29" s="16">
        <f t="shared" ref="F29:Z29" si="47">SUM(F26:F28)</f>
        <v>0.26700000000000002</v>
      </c>
      <c r="G29" s="21">
        <f t="shared" si="47"/>
        <v>4.7E-2</v>
      </c>
      <c r="H29" s="25">
        <f t="shared" si="47"/>
        <v>0.01</v>
      </c>
      <c r="I29" s="25">
        <f t="shared" si="47"/>
        <v>-0.247</v>
      </c>
      <c r="J29" s="25">
        <f t="shared" si="47"/>
        <v>8.8000000000000078E-2</v>
      </c>
      <c r="K29" s="16">
        <f t="shared" si="47"/>
        <v>-0.10199999999999987</v>
      </c>
      <c r="L29" s="21">
        <f t="shared" si="47"/>
        <v>1.0720000000000001</v>
      </c>
      <c r="M29" s="25">
        <f t="shared" si="47"/>
        <v>0.74299999999999999</v>
      </c>
      <c r="N29" s="25">
        <f t="shared" si="47"/>
        <v>0.73499999999999999</v>
      </c>
      <c r="O29" s="25">
        <f t="shared" si="47"/>
        <v>0.72799999999999998</v>
      </c>
      <c r="P29" s="16">
        <f t="shared" si="47"/>
        <v>3.278</v>
      </c>
      <c r="Q29" s="21">
        <f t="shared" si="47"/>
        <v>0.78400000000000003</v>
      </c>
      <c r="R29" s="25">
        <f t="shared" si="47"/>
        <v>0.92800000000000005</v>
      </c>
      <c r="S29" s="25">
        <f t="shared" si="47"/>
        <v>1.7589999999999999</v>
      </c>
      <c r="T29" s="25">
        <f t="shared" si="47"/>
        <v>4.1269999999999998</v>
      </c>
      <c r="U29" s="16">
        <f t="shared" si="47"/>
        <v>7.5979999999999999</v>
      </c>
      <c r="V29" s="21">
        <f t="shared" si="47"/>
        <v>4.6499999999999995</v>
      </c>
      <c r="W29" s="25">
        <f t="shared" si="47"/>
        <v>3.0090000000000003</v>
      </c>
      <c r="X29" s="25">
        <f t="shared" si="47"/>
        <v>4.1980000000000004</v>
      </c>
      <c r="Y29" s="25">
        <f t="shared" si="47"/>
        <v>3.863</v>
      </c>
      <c r="Z29" s="16">
        <f t="shared" si="47"/>
        <v>15.72</v>
      </c>
      <c r="AA29" s="648"/>
      <c r="AB29" s="17"/>
      <c r="AC29" s="17">
        <f t="shared" ref="AC29:AS29" si="48">SUM(AC26:AC28)</f>
        <v>2.08</v>
      </c>
      <c r="AD29" s="879">
        <f t="shared" si="48"/>
        <v>3.83</v>
      </c>
      <c r="AE29" s="976">
        <f>SUM(AE26:AE28)</f>
        <v>7.9309999999999992</v>
      </c>
      <c r="AF29" s="648">
        <f t="shared" si="48"/>
        <v>2.5</v>
      </c>
      <c r="AG29" s="17">
        <f t="shared" si="48"/>
        <v>2.5</v>
      </c>
      <c r="AH29" s="17">
        <f t="shared" si="48"/>
        <v>2.5</v>
      </c>
      <c r="AI29" s="651">
        <f t="shared" si="48"/>
        <v>2.5</v>
      </c>
      <c r="AJ29" s="16">
        <f t="shared" si="48"/>
        <v>10</v>
      </c>
      <c r="AK29" s="16">
        <f t="shared" si="48"/>
        <v>10</v>
      </c>
      <c r="AL29" s="16">
        <f t="shared" si="48"/>
        <v>10.3</v>
      </c>
      <c r="AM29" s="692">
        <f t="shared" si="48"/>
        <v>10.609000000000002</v>
      </c>
      <c r="AN29" s="692">
        <f t="shared" si="48"/>
        <v>10.927270000000002</v>
      </c>
      <c r="AO29" s="692">
        <f t="shared" si="48"/>
        <v>11.255088100000002</v>
      </c>
      <c r="AP29" s="692">
        <f t="shared" si="48"/>
        <v>11.592740743000002</v>
      </c>
      <c r="AQ29" s="692">
        <f t="shared" si="48"/>
        <v>11.940522965290002</v>
      </c>
      <c r="AR29" s="16">
        <f t="shared" si="48"/>
        <v>12.298738654248703</v>
      </c>
      <c r="AS29" s="16">
        <f t="shared" si="48"/>
        <v>12.667700813876165</v>
      </c>
    </row>
    <row r="30" spans="1:51" x14ac:dyDescent="0.35">
      <c r="A30" s="12"/>
      <c r="B30" s="21"/>
      <c r="C30" s="25"/>
      <c r="D30" s="25"/>
      <c r="E30" s="25"/>
      <c r="F30" s="20"/>
      <c r="G30" s="21"/>
      <c r="H30" s="25"/>
      <c r="I30" s="25"/>
      <c r="J30" s="25"/>
      <c r="K30" s="20"/>
      <c r="L30" s="25"/>
      <c r="M30" s="25"/>
      <c r="N30" s="25"/>
      <c r="O30" s="25"/>
      <c r="P30" s="20"/>
      <c r="Q30" s="21"/>
      <c r="R30" s="25"/>
      <c r="S30" s="25"/>
      <c r="T30" s="652"/>
      <c r="U30" s="20"/>
      <c r="V30" s="21"/>
      <c r="W30" s="25"/>
      <c r="X30" s="25"/>
      <c r="Y30" s="652"/>
      <c r="Z30" s="20"/>
      <c r="AA30" s="21"/>
      <c r="AB30" s="25"/>
      <c r="AC30" s="25"/>
      <c r="AD30" s="877"/>
      <c r="AE30" s="877"/>
      <c r="AF30" s="21"/>
      <c r="AG30" s="25"/>
      <c r="AH30" s="25"/>
      <c r="AI30" s="652"/>
      <c r="AJ30" s="20"/>
      <c r="AK30" s="20"/>
      <c r="AL30" s="20"/>
      <c r="AM30" s="541"/>
      <c r="AN30" s="541"/>
      <c r="AO30" s="541"/>
      <c r="AP30" s="541"/>
      <c r="AQ30" s="541"/>
      <c r="AR30" s="20"/>
      <c r="AS30" s="20"/>
    </row>
    <row r="31" spans="1:51" x14ac:dyDescent="0.35">
      <c r="A31" s="12" t="s">
        <v>24</v>
      </c>
      <c r="B31" s="21"/>
      <c r="C31" s="25"/>
      <c r="D31" s="25"/>
      <c r="E31" s="25"/>
      <c r="F31" s="16">
        <f t="shared" ref="F31:T31" si="49">F24+F29</f>
        <v>-31.911000000000005</v>
      </c>
      <c r="G31" s="21">
        <f t="shared" si="49"/>
        <v>-6.0940000000000003</v>
      </c>
      <c r="H31" s="25">
        <f t="shared" si="49"/>
        <v>-7.3929999999999998</v>
      </c>
      <c r="I31" s="25">
        <f t="shared" si="49"/>
        <v>-57.445999999999998</v>
      </c>
      <c r="J31" s="25">
        <f t="shared" si="49"/>
        <v>-11.368000000000002</v>
      </c>
      <c r="K31" s="16">
        <f t="shared" si="49"/>
        <v>-82.301000000000002</v>
      </c>
      <c r="L31" s="25">
        <f t="shared" si="49"/>
        <v>-11.727999999999998</v>
      </c>
      <c r="M31" s="17">
        <f t="shared" si="49"/>
        <v>-16.549000000000003</v>
      </c>
      <c r="N31" s="17">
        <f t="shared" si="49"/>
        <v>-19.084</v>
      </c>
      <c r="O31" s="17">
        <f t="shared" si="49"/>
        <v>-24.911999999999995</v>
      </c>
      <c r="P31" s="20">
        <f t="shared" si="49"/>
        <v>-72.272999999999996</v>
      </c>
      <c r="Q31" s="25">
        <f t="shared" si="49"/>
        <v>-30.634</v>
      </c>
      <c r="R31" s="17">
        <f t="shared" si="49"/>
        <v>-34.927</v>
      </c>
      <c r="S31" s="17">
        <f t="shared" si="49"/>
        <v>-35.061999999999998</v>
      </c>
      <c r="T31" s="17">
        <f t="shared" si="49"/>
        <v>-39.617999999999995</v>
      </c>
      <c r="U31" s="16">
        <f>SUM(Q31:T31)</f>
        <v>-140.24099999999999</v>
      </c>
      <c r="V31" s="25">
        <f>V24+V29</f>
        <v>-38.586999999999996</v>
      </c>
      <c r="W31" s="17">
        <f>W24+W29</f>
        <v>-44.076000000000001</v>
      </c>
      <c r="X31" s="17">
        <f>X24+X29</f>
        <v>-55.381999999999998</v>
      </c>
      <c r="Y31" s="17">
        <f>Y24+Y29</f>
        <v>-54.364000000000004</v>
      </c>
      <c r="Z31" s="20" t="e">
        <f>Z24+Z29</f>
        <v>#REF!</v>
      </c>
      <c r="AA31" s="21"/>
      <c r="AB31" s="25"/>
      <c r="AC31" s="25">
        <f t="shared" ref="AC31:AS31" si="50">AC24+AC29</f>
        <v>-29.417999999999999</v>
      </c>
      <c r="AD31" s="877">
        <f t="shared" si="50"/>
        <v>-79.548000000000002</v>
      </c>
      <c r="AE31" s="877">
        <f t="shared" si="50"/>
        <v>-161.15199999999999</v>
      </c>
      <c r="AF31" s="21">
        <f t="shared" si="50"/>
        <v>-52.5</v>
      </c>
      <c r="AG31" s="25">
        <f t="shared" si="50"/>
        <v>-52.1</v>
      </c>
      <c r="AH31" s="25">
        <f t="shared" si="50"/>
        <v>-49.55</v>
      </c>
      <c r="AI31" s="652">
        <f t="shared" si="50"/>
        <v>-52.25</v>
      </c>
      <c r="AJ31" s="20">
        <f t="shared" si="50"/>
        <v>-206.39999999999998</v>
      </c>
      <c r="AK31" s="20">
        <f t="shared" si="50"/>
        <v>-214.39200000000002</v>
      </c>
      <c r="AL31" s="20">
        <f t="shared" si="50"/>
        <v>-253.38890891249997</v>
      </c>
      <c r="AM31" s="541">
        <f t="shared" si="50"/>
        <v>-255.18414442470763</v>
      </c>
      <c r="AN31" s="541">
        <f t="shared" si="50"/>
        <v>-163.26171798135769</v>
      </c>
      <c r="AO31" s="541">
        <f t="shared" si="50"/>
        <v>26.986542955244808</v>
      </c>
      <c r="AP31" s="541">
        <f t="shared" si="50"/>
        <v>317.5472941542771</v>
      </c>
      <c r="AQ31" s="541">
        <f t="shared" si="50"/>
        <v>585.08112881748548</v>
      </c>
      <c r="AR31" s="20">
        <f t="shared" si="50"/>
        <v>822.64638448337621</v>
      </c>
      <c r="AS31" s="20">
        <f t="shared" si="50"/>
        <v>1035.7008588840731</v>
      </c>
      <c r="AU31" s="925"/>
      <c r="AV31" s="925">
        <f>AJ31-SUM(AF31:AI31)</f>
        <v>0</v>
      </c>
      <c r="AW31" s="925"/>
    </row>
    <row r="32" spans="1:51" x14ac:dyDescent="0.35">
      <c r="A32" s="12" t="s">
        <v>25</v>
      </c>
      <c r="B32" s="19"/>
      <c r="C32" s="15"/>
      <c r="D32" s="15"/>
      <c r="E32" s="68"/>
      <c r="F32" s="14">
        <v>0</v>
      </c>
      <c r="G32" s="15">
        <v>0</v>
      </c>
      <c r="H32" s="15">
        <v>0</v>
      </c>
      <c r="I32" s="15">
        <v>0</v>
      </c>
      <c r="J32" s="742">
        <f>K32-SUM(G32:I32)</f>
        <v>0</v>
      </c>
      <c r="K32" s="14">
        <v>0</v>
      </c>
      <c r="L32" s="15">
        <v>0</v>
      </c>
      <c r="M32" s="15">
        <v>0</v>
      </c>
      <c r="N32" s="15">
        <v>0</v>
      </c>
      <c r="O32" s="742">
        <f>P32-SUM(L32:N32)</f>
        <v>0</v>
      </c>
      <c r="P32" s="14">
        <v>0</v>
      </c>
      <c r="Q32" s="15">
        <v>0</v>
      </c>
      <c r="R32" s="15">
        <v>0</v>
      </c>
      <c r="S32" s="15">
        <v>0</v>
      </c>
      <c r="T32" s="15">
        <v>0</v>
      </c>
      <c r="U32" s="625">
        <f>SUM(Q32:T32)</f>
        <v>0</v>
      </c>
      <c r="V32" s="15">
        <v>0</v>
      </c>
      <c r="W32" s="15">
        <v>0</v>
      </c>
      <c r="X32" s="15">
        <v>0</v>
      </c>
      <c r="Y32" s="15">
        <v>0</v>
      </c>
      <c r="Z32" s="625">
        <f>SUM(V32:Y32)</f>
        <v>0</v>
      </c>
      <c r="AA32" s="15"/>
      <c r="AB32" s="15"/>
      <c r="AC32" s="15">
        <v>0</v>
      </c>
      <c r="AD32" s="976">
        <v>0</v>
      </c>
      <c r="AE32" s="979">
        <v>0</v>
      </c>
      <c r="AF32" s="21">
        <f t="shared" ref="AF32:AG32" si="51">AF31*AF33</f>
        <v>0</v>
      </c>
      <c r="AG32" s="25">
        <f t="shared" si="51"/>
        <v>0</v>
      </c>
      <c r="AH32" s="25">
        <f t="shared" ref="AH32:AN32" si="52">AH31*AH33</f>
        <v>0</v>
      </c>
      <c r="AI32" s="652">
        <f t="shared" si="52"/>
        <v>0</v>
      </c>
      <c r="AJ32" s="20">
        <f>SUM(AF32:AI32)</f>
        <v>0</v>
      </c>
      <c r="AK32" s="20">
        <f t="shared" si="52"/>
        <v>0</v>
      </c>
      <c r="AL32" s="20">
        <f t="shared" si="52"/>
        <v>0</v>
      </c>
      <c r="AM32" s="541">
        <f t="shared" si="52"/>
        <v>0</v>
      </c>
      <c r="AN32" s="541">
        <f t="shared" si="52"/>
        <v>0</v>
      </c>
      <c r="AO32" s="541">
        <f>AO31*AO33</f>
        <v>0</v>
      </c>
      <c r="AP32" s="541">
        <f>AP31*AP33</f>
        <v>15.877364707713856</v>
      </c>
      <c r="AQ32" s="541">
        <f>AQ31*AQ33</f>
        <v>58.508112881748552</v>
      </c>
      <c r="AR32" s="20">
        <f t="shared" ref="AR32" si="53">AR31*AR33</f>
        <v>172.75574074150899</v>
      </c>
      <c r="AS32" s="20">
        <f t="shared" ref="AS32" si="54">AS31*AS33</f>
        <v>217.49718036565534</v>
      </c>
    </row>
    <row r="33" spans="1:50" s="65" customFormat="1" x14ac:dyDescent="0.35">
      <c r="A33" s="781" t="s">
        <v>26</v>
      </c>
      <c r="B33" s="782"/>
      <c r="C33" s="783"/>
      <c r="D33" s="783"/>
      <c r="E33" s="783"/>
      <c r="F33" s="784">
        <f t="shared" ref="F33:L33" si="55">F32/F31</f>
        <v>0</v>
      </c>
      <c r="G33" s="783">
        <f t="shared" si="55"/>
        <v>0</v>
      </c>
      <c r="H33" s="783">
        <f t="shared" si="55"/>
        <v>0</v>
      </c>
      <c r="I33" s="783">
        <f t="shared" si="55"/>
        <v>0</v>
      </c>
      <c r="J33" s="783">
        <f t="shared" si="55"/>
        <v>0</v>
      </c>
      <c r="K33" s="34">
        <f t="shared" si="55"/>
        <v>0</v>
      </c>
      <c r="L33" s="783">
        <f t="shared" si="55"/>
        <v>0</v>
      </c>
      <c r="M33" s="783">
        <f t="shared" ref="M33:R33" si="56">M32/M31</f>
        <v>0</v>
      </c>
      <c r="N33" s="783">
        <f t="shared" si="56"/>
        <v>0</v>
      </c>
      <c r="O33" s="783">
        <f t="shared" si="56"/>
        <v>0</v>
      </c>
      <c r="P33" s="34">
        <f t="shared" si="56"/>
        <v>0</v>
      </c>
      <c r="Q33" s="783">
        <f t="shared" si="56"/>
        <v>0</v>
      </c>
      <c r="R33" s="783">
        <f t="shared" si="56"/>
        <v>0</v>
      </c>
      <c r="S33" s="783">
        <f t="shared" ref="S33:Y33" si="57">S32/S31</f>
        <v>0</v>
      </c>
      <c r="T33" s="783">
        <f t="shared" si="57"/>
        <v>0</v>
      </c>
      <c r="U33" s="34">
        <f>U32/U31</f>
        <v>0</v>
      </c>
      <c r="V33" s="783">
        <f t="shared" si="57"/>
        <v>0</v>
      </c>
      <c r="W33" s="783">
        <f t="shared" si="57"/>
        <v>0</v>
      </c>
      <c r="X33" s="783">
        <f t="shared" si="57"/>
        <v>0</v>
      </c>
      <c r="Y33" s="783">
        <f t="shared" si="57"/>
        <v>0</v>
      </c>
      <c r="Z33" s="34" t="e">
        <f>Z32/Z31</f>
        <v>#REF!</v>
      </c>
      <c r="AA33" s="783"/>
      <c r="AB33" s="783"/>
      <c r="AC33" s="783">
        <f t="shared" ref="AC33:AE33" si="58">AC32/AC31</f>
        <v>0</v>
      </c>
      <c r="AD33" s="977">
        <f t="shared" si="58"/>
        <v>0</v>
      </c>
      <c r="AE33" s="980">
        <f t="shared" si="58"/>
        <v>0</v>
      </c>
      <c r="AF33" s="782">
        <v>0</v>
      </c>
      <c r="AG33" s="783">
        <v>0</v>
      </c>
      <c r="AH33" s="783">
        <v>0</v>
      </c>
      <c r="AI33" s="784">
        <v>0</v>
      </c>
      <c r="AJ33" s="50">
        <f>AJ32/AJ31</f>
        <v>0</v>
      </c>
      <c r="AK33" s="35">
        <v>0</v>
      </c>
      <c r="AL33" s="35">
        <v>0</v>
      </c>
      <c r="AM33" s="982">
        <v>0</v>
      </c>
      <c r="AN33" s="982">
        <v>0</v>
      </c>
      <c r="AO33" s="982">
        <v>0</v>
      </c>
      <c r="AP33" s="982">
        <v>0.05</v>
      </c>
      <c r="AQ33" s="982">
        <v>0.1</v>
      </c>
      <c r="AR33" s="35">
        <v>0.21</v>
      </c>
      <c r="AS33" s="35">
        <f t="shared" ref="AS33" si="59">AR33</f>
        <v>0.21</v>
      </c>
    </row>
    <row r="34" spans="1:50" x14ac:dyDescent="0.35">
      <c r="A34" s="12"/>
      <c r="B34" s="21"/>
      <c r="C34" s="25"/>
      <c r="D34" s="25"/>
      <c r="E34" s="25"/>
      <c r="F34" s="20"/>
      <c r="G34" s="25"/>
      <c r="H34" s="25"/>
      <c r="I34" s="25"/>
      <c r="J34" s="25"/>
      <c r="K34" s="20"/>
      <c r="L34" s="25"/>
      <c r="M34" s="25"/>
      <c r="N34" s="25"/>
      <c r="O34" s="25"/>
      <c r="P34" s="20"/>
      <c r="Q34" s="25"/>
      <c r="R34" s="25"/>
      <c r="S34" s="25"/>
      <c r="T34" s="25"/>
      <c r="U34" s="20"/>
      <c r="V34" s="25"/>
      <c r="W34" s="25"/>
      <c r="X34" s="25"/>
      <c r="Y34" s="25"/>
      <c r="Z34" s="20"/>
      <c r="AA34" s="21"/>
      <c r="AB34" s="25"/>
      <c r="AC34" s="25"/>
      <c r="AD34" s="877"/>
      <c r="AE34" s="877"/>
      <c r="AF34" s="21"/>
      <c r="AG34" s="25"/>
      <c r="AH34" s="25"/>
      <c r="AI34" s="652"/>
      <c r="AJ34" s="20"/>
      <c r="AK34" s="20"/>
      <c r="AL34" s="20"/>
      <c r="AM34" s="541"/>
      <c r="AN34" s="541"/>
      <c r="AO34" s="541"/>
      <c r="AP34" s="541"/>
      <c r="AQ34" s="541"/>
      <c r="AR34" s="20"/>
      <c r="AS34" s="20"/>
    </row>
    <row r="35" spans="1:50" x14ac:dyDescent="0.35">
      <c r="A35" s="66" t="s">
        <v>57</v>
      </c>
      <c r="B35" s="21"/>
      <c r="C35" s="25"/>
      <c r="D35" s="25"/>
      <c r="E35" s="25"/>
      <c r="F35" s="20">
        <f t="shared" ref="F35:AN35" si="60">F31-F32</f>
        <v>-31.911000000000005</v>
      </c>
      <c r="G35" s="21">
        <f t="shared" si="60"/>
        <v>-6.0940000000000003</v>
      </c>
      <c r="H35" s="25">
        <f t="shared" si="60"/>
        <v>-7.3929999999999998</v>
      </c>
      <c r="I35" s="25">
        <f t="shared" si="60"/>
        <v>-57.445999999999998</v>
      </c>
      <c r="J35" s="25">
        <f t="shared" si="60"/>
        <v>-11.368000000000002</v>
      </c>
      <c r="K35" s="20">
        <f t="shared" si="60"/>
        <v>-82.301000000000002</v>
      </c>
      <c r="L35" s="25">
        <f t="shared" si="60"/>
        <v>-11.727999999999998</v>
      </c>
      <c r="M35" s="17">
        <f t="shared" si="60"/>
        <v>-16.549000000000003</v>
      </c>
      <c r="N35" s="25">
        <f t="shared" si="60"/>
        <v>-19.084</v>
      </c>
      <c r="O35" s="17">
        <f>O31-O32</f>
        <v>-24.911999999999995</v>
      </c>
      <c r="P35" s="20">
        <f>P31-P32</f>
        <v>-72.272999999999996</v>
      </c>
      <c r="Q35" s="25">
        <f t="shared" ref="Q35:T35" si="61">Q31-Q32</f>
        <v>-30.634</v>
      </c>
      <c r="R35" s="25">
        <f t="shared" si="61"/>
        <v>-34.927</v>
      </c>
      <c r="S35" s="25">
        <f t="shared" si="61"/>
        <v>-35.061999999999998</v>
      </c>
      <c r="T35" s="25">
        <f t="shared" si="61"/>
        <v>-39.617999999999995</v>
      </c>
      <c r="U35" s="625">
        <f>SUM(Q35:T35)</f>
        <v>-140.24099999999999</v>
      </c>
      <c r="V35" s="25">
        <f>V31-V32</f>
        <v>-38.586999999999996</v>
      </c>
      <c r="W35" s="25">
        <f t="shared" ref="W35:X35" si="62">W31-W32</f>
        <v>-44.076000000000001</v>
      </c>
      <c r="X35" s="25">
        <f t="shared" si="62"/>
        <v>-55.381999999999998</v>
      </c>
      <c r="Y35" s="25">
        <f>Y31-Y32</f>
        <v>-54.364000000000004</v>
      </c>
      <c r="Z35" s="20" t="e">
        <f t="shared" si="60"/>
        <v>#REF!</v>
      </c>
      <c r="AA35" s="21"/>
      <c r="AB35" s="25"/>
      <c r="AC35" s="25">
        <f t="shared" si="60"/>
        <v>-29.417999999999999</v>
      </c>
      <c r="AD35" s="877">
        <f t="shared" si="60"/>
        <v>-79.548000000000002</v>
      </c>
      <c r="AE35" s="877">
        <f>AE31-AE32</f>
        <v>-161.15199999999999</v>
      </c>
      <c r="AF35" s="21">
        <f t="shared" ref="AF35:AI35" si="63">AF31-AF32</f>
        <v>-52.5</v>
      </c>
      <c r="AG35" s="25">
        <f t="shared" si="63"/>
        <v>-52.1</v>
      </c>
      <c r="AH35" s="25">
        <f t="shared" si="63"/>
        <v>-49.55</v>
      </c>
      <c r="AI35" s="652">
        <f t="shared" si="63"/>
        <v>-52.25</v>
      </c>
      <c r="AJ35" s="20">
        <f t="shared" si="60"/>
        <v>-206.39999999999998</v>
      </c>
      <c r="AK35" s="20">
        <f t="shared" si="60"/>
        <v>-214.39200000000002</v>
      </c>
      <c r="AL35" s="20">
        <f t="shared" si="60"/>
        <v>-253.38890891249997</v>
      </c>
      <c r="AM35" s="20">
        <f t="shared" si="60"/>
        <v>-255.18414442470763</v>
      </c>
      <c r="AN35" s="20">
        <f t="shared" si="60"/>
        <v>-163.26171798135769</v>
      </c>
      <c r="AO35" s="20">
        <f t="shared" ref="AO35:AP35" si="64">AO31-AO32</f>
        <v>26.986542955244808</v>
      </c>
      <c r="AP35" s="20">
        <f t="shared" si="64"/>
        <v>301.66992944656323</v>
      </c>
      <c r="AQ35" s="20">
        <f t="shared" ref="AQ35:AR35" si="65">AQ31-AQ32</f>
        <v>526.57301593573698</v>
      </c>
      <c r="AR35" s="20">
        <f t="shared" si="65"/>
        <v>649.89064374186728</v>
      </c>
      <c r="AS35" s="20">
        <f t="shared" ref="AS35" si="66">AS31-AS32</f>
        <v>818.20367851841775</v>
      </c>
      <c r="AX35" s="704"/>
    </row>
    <row r="36" spans="1:50" hidden="1" outlineLevel="1" x14ac:dyDescent="0.35">
      <c r="A36" s="66" t="s">
        <v>438</v>
      </c>
      <c r="B36" s="21"/>
      <c r="C36" s="25"/>
      <c r="D36" s="25"/>
      <c r="E36" s="25"/>
      <c r="F36" s="20"/>
      <c r="G36" s="21"/>
      <c r="H36" s="25"/>
      <c r="I36" s="25"/>
      <c r="J36" s="25"/>
      <c r="K36" s="20"/>
      <c r="L36" s="25"/>
      <c r="M36" s="17"/>
      <c r="N36" s="25"/>
      <c r="O36" s="17"/>
      <c r="P36" s="20"/>
      <c r="Q36" s="25"/>
      <c r="R36" s="25"/>
      <c r="S36" s="25"/>
      <c r="T36" s="25"/>
      <c r="U36" s="625"/>
      <c r="V36" s="25"/>
      <c r="W36" s="25"/>
      <c r="X36" s="25"/>
      <c r="Y36" s="25"/>
      <c r="Z36" s="20"/>
      <c r="AA36" s="21"/>
      <c r="AB36" s="25"/>
      <c r="AC36" s="15">
        <v>-4.0000000000000001E-3</v>
      </c>
      <c r="AD36" s="976">
        <v>0</v>
      </c>
      <c r="AE36" s="976">
        <v>-0.39100000000000001</v>
      </c>
      <c r="AF36" s="21"/>
      <c r="AG36" s="25"/>
      <c r="AH36" s="25"/>
      <c r="AI36" s="652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X36" s="704"/>
    </row>
    <row r="37" spans="1:50" hidden="1" outlineLevel="1" x14ac:dyDescent="0.35">
      <c r="A37" s="66" t="s">
        <v>439</v>
      </c>
      <c r="B37" s="21"/>
      <c r="C37" s="25"/>
      <c r="D37" s="25"/>
      <c r="E37" s="25"/>
      <c r="F37" s="20"/>
      <c r="G37" s="21"/>
      <c r="H37" s="25"/>
      <c r="I37" s="25"/>
      <c r="J37" s="25"/>
      <c r="K37" s="20"/>
      <c r="L37" s="25"/>
      <c r="M37" s="17"/>
      <c r="N37" s="25"/>
      <c r="O37" s="17"/>
      <c r="P37" s="20"/>
      <c r="Q37" s="25"/>
      <c r="R37" s="25"/>
      <c r="S37" s="25"/>
      <c r="T37" s="25"/>
      <c r="U37" s="625"/>
      <c r="V37" s="25"/>
      <c r="W37" s="25"/>
      <c r="X37" s="25"/>
      <c r="Y37" s="25"/>
      <c r="Z37" s="20"/>
      <c r="AA37" s="21"/>
      <c r="AB37" s="25"/>
      <c r="AC37" s="25">
        <f>AC35+AC36</f>
        <v>-29.422000000000001</v>
      </c>
      <c r="AD37" s="877">
        <f>AD35+AD36</f>
        <v>-79.548000000000002</v>
      </c>
      <c r="AE37" s="877">
        <f>AE35+AE36</f>
        <v>-161.54299999999998</v>
      </c>
      <c r="AF37" s="21"/>
      <c r="AG37" s="25"/>
      <c r="AH37" s="25"/>
      <c r="AI37" s="652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X37" s="704"/>
    </row>
    <row r="38" spans="1:50" collapsed="1" x14ac:dyDescent="0.35">
      <c r="A38" s="66"/>
      <c r="B38" s="21"/>
      <c r="C38" s="25"/>
      <c r="D38" s="25"/>
      <c r="E38" s="25"/>
      <c r="F38" s="20"/>
      <c r="G38" s="21"/>
      <c r="H38" s="25"/>
      <c r="I38" s="25"/>
      <c r="J38" s="25"/>
      <c r="K38" s="20"/>
      <c r="L38" s="25"/>
      <c r="M38" s="17"/>
      <c r="N38" s="25"/>
      <c r="O38" s="17"/>
      <c r="P38" s="20"/>
      <c r="Q38" s="25"/>
      <c r="R38" s="25"/>
      <c r="S38" s="25"/>
      <c r="T38" s="25"/>
      <c r="U38" s="20"/>
      <c r="V38" s="25"/>
      <c r="W38" s="25"/>
      <c r="X38" s="25"/>
      <c r="Y38" s="25"/>
      <c r="Z38" s="20"/>
      <c r="AA38" s="21"/>
      <c r="AB38" s="25"/>
      <c r="AC38" s="25"/>
      <c r="AD38" s="877"/>
      <c r="AE38" s="877"/>
      <c r="AF38" s="21"/>
      <c r="AG38" s="25"/>
      <c r="AH38" s="25"/>
      <c r="AI38" s="652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X38" s="918"/>
    </row>
    <row r="39" spans="1:50" x14ac:dyDescent="0.35">
      <c r="A39" s="66" t="s">
        <v>272</v>
      </c>
      <c r="B39" s="26"/>
      <c r="C39" s="18"/>
      <c r="D39" s="27"/>
      <c r="E39" s="68"/>
      <c r="F39" s="14">
        <v>7.620082</v>
      </c>
      <c r="G39" s="19">
        <v>7.5341870000000002</v>
      </c>
      <c r="H39" s="15">
        <v>7.7774869999999998</v>
      </c>
      <c r="I39" s="15">
        <v>9.8505299999999991</v>
      </c>
      <c r="J39" s="68">
        <f>K39*4-SUM(G39:I39)</f>
        <v>19.162824000000004</v>
      </c>
      <c r="K39" s="14">
        <v>11.081257000000001</v>
      </c>
      <c r="L39" s="18">
        <v>34.879295999999997</v>
      </c>
      <c r="M39" s="15">
        <v>38.441729000000002</v>
      </c>
      <c r="N39" s="15">
        <v>39.848942999999998</v>
      </c>
      <c r="O39" s="68">
        <f>P39*4-SUM(L39:N39)</f>
        <v>41.753284000000008</v>
      </c>
      <c r="P39" s="14">
        <v>38.730812999999998</v>
      </c>
      <c r="Q39" s="15">
        <v>45.105922999999997</v>
      </c>
      <c r="R39" s="15">
        <v>49.388936000000001</v>
      </c>
      <c r="S39" s="15">
        <v>69.576358999999997</v>
      </c>
      <c r="T39" s="15">
        <v>70.489607000000007</v>
      </c>
      <c r="U39" s="64" t="e">
        <f>#REF!/U40</f>
        <v>#REF!</v>
      </c>
      <c r="V39" s="15">
        <v>70.734949999999998</v>
      </c>
      <c r="W39" s="15">
        <v>74.753269000000003</v>
      </c>
      <c r="X39" s="15">
        <v>86.165951000000007</v>
      </c>
      <c r="Y39" s="15">
        <v>86.730309000000005</v>
      </c>
      <c r="Z39" s="14">
        <v>79.657942000000006</v>
      </c>
      <c r="AA39" s="15"/>
      <c r="AB39" s="15"/>
      <c r="AC39" s="15">
        <v>0.79112700000000002</v>
      </c>
      <c r="AD39" s="976">
        <v>32.148977000000002</v>
      </c>
      <c r="AE39" s="981">
        <v>8.6807409999999994</v>
      </c>
      <c r="AF39" s="948">
        <f>AD39+0.5</f>
        <v>32.648977000000002</v>
      </c>
      <c r="AG39" s="901">
        <f>AF39+0.5</f>
        <v>33.148977000000002</v>
      </c>
      <c r="AH39" s="901">
        <f>AG39+0.5</f>
        <v>33.648977000000002</v>
      </c>
      <c r="AI39" s="981">
        <f>AH39+CF!D47</f>
        <v>47.648977000000002</v>
      </c>
      <c r="AJ39" s="983">
        <f>AVERAGE(AF39:AI39)</f>
        <v>36.773977000000002</v>
      </c>
      <c r="AK39" s="983">
        <f>AI39+2+CF!E47</f>
        <v>56.605498739130439</v>
      </c>
      <c r="AL39" s="64">
        <f>AK39+2+CF!F47</f>
        <v>58.605498739130439</v>
      </c>
      <c r="AM39" s="64">
        <f>AL39+2+CF!G47</f>
        <v>66.915269024056002</v>
      </c>
      <c r="AN39" s="64">
        <f>AM39+2+CF!H47</f>
        <v>68.915269024056002</v>
      </c>
      <c r="AO39" s="64">
        <f>AN39+2+CF!I47</f>
        <v>70.915269024056002</v>
      </c>
      <c r="AP39" s="64">
        <f>AO39+2+CF!J47</f>
        <v>72.915269024056002</v>
      </c>
      <c r="AQ39" s="64">
        <f>AP39+2+CF!K47</f>
        <v>74.915269024056002</v>
      </c>
      <c r="AR39" s="64">
        <f>AQ39+2+CF!L47</f>
        <v>76.915269024056002</v>
      </c>
      <c r="AS39" s="64">
        <f>AR39+2+CF!M47</f>
        <v>78.915269024056002</v>
      </c>
      <c r="AX39" s="918"/>
    </row>
    <row r="40" spans="1:50" x14ac:dyDescent="0.35">
      <c r="A40" s="62" t="s">
        <v>273</v>
      </c>
      <c r="B40" s="37"/>
      <c r="C40" s="37"/>
      <c r="D40" s="37"/>
      <c r="E40" s="37"/>
      <c r="F40" s="38" t="e">
        <f>#REF!/F39</f>
        <v>#REF!</v>
      </c>
      <c r="G40" s="649" t="e">
        <f>#REF!/G39</f>
        <v>#REF!</v>
      </c>
      <c r="H40" s="37" t="e">
        <f>#REF!/H39</f>
        <v>#REF!</v>
      </c>
      <c r="I40" s="37" t="e">
        <f>#REF!/I39</f>
        <v>#REF!</v>
      </c>
      <c r="J40" s="653" t="e">
        <f>#REF!/J39</f>
        <v>#REF!</v>
      </c>
      <c r="K40" s="38" t="e">
        <f>SUM(G40:J40)</f>
        <v>#REF!</v>
      </c>
      <c r="L40" s="649" t="e">
        <f>#REF!/L39</f>
        <v>#REF!</v>
      </c>
      <c r="M40" s="37" t="e">
        <f>#REF!/M39</f>
        <v>#REF!</v>
      </c>
      <c r="N40" s="37" t="e">
        <f>#REF!/N39</f>
        <v>#REF!</v>
      </c>
      <c r="O40" s="653" t="e">
        <f>#REF!/O39</f>
        <v>#REF!</v>
      </c>
      <c r="P40" s="38" t="e">
        <f>SUM(L40:O40)</f>
        <v>#REF!</v>
      </c>
      <c r="Q40" s="649" t="e">
        <f>#REF!/Q39</f>
        <v>#REF!</v>
      </c>
      <c r="R40" s="37" t="e">
        <f>#REF!/R39</f>
        <v>#REF!</v>
      </c>
      <c r="S40" s="37" t="e">
        <f>#REF!/S39</f>
        <v>#REF!</v>
      </c>
      <c r="T40" s="653" t="e">
        <f>#REF!/T39</f>
        <v>#REF!</v>
      </c>
      <c r="U40" s="38" t="e">
        <f>SUM(Q40:T40)</f>
        <v>#REF!</v>
      </c>
      <c r="V40" s="649" t="e">
        <f>#REF!/V39</f>
        <v>#REF!</v>
      </c>
      <c r="W40" s="37" t="e">
        <f>#REF!/W39</f>
        <v>#REF!</v>
      </c>
      <c r="X40" s="37" t="e">
        <f>#REF!/X39</f>
        <v>#REF!</v>
      </c>
      <c r="Y40" s="653" t="e">
        <f>#REF!/Y39</f>
        <v>#REF!</v>
      </c>
      <c r="Z40" s="653" t="e">
        <f>#REF!/Z39</f>
        <v>#REF!</v>
      </c>
      <c r="AA40" s="37"/>
      <c r="AB40" s="37"/>
      <c r="AC40" s="37">
        <f>AC35/AC39</f>
        <v>-37.184927325195574</v>
      </c>
      <c r="AD40" s="653">
        <f>AD35/AD39</f>
        <v>-2.4743555603651091</v>
      </c>
      <c r="AE40" s="653">
        <f>AE35/AE39</f>
        <v>-18.564313806851281</v>
      </c>
      <c r="AF40" s="37">
        <f>AF35/AF39</f>
        <v>-1.6080136293397491</v>
      </c>
      <c r="AG40" s="37">
        <f t="shared" ref="AG40:AI40" si="67">AG35/AG39</f>
        <v>-1.5716925442374887</v>
      </c>
      <c r="AH40" s="37">
        <f t="shared" si="67"/>
        <v>-1.4725559115809077</v>
      </c>
      <c r="AI40" s="37">
        <f t="shared" si="67"/>
        <v>-1.0965607929001286</v>
      </c>
      <c r="AJ40" s="38">
        <f>SUM(AF40:AI40)</f>
        <v>-5.7488228780582746</v>
      </c>
      <c r="AK40" s="38">
        <f t="shared" ref="AK40" si="68">AK35/AK39</f>
        <v>-3.7874765663321397</v>
      </c>
      <c r="AL40" s="38">
        <f t="shared" ref="AL40" si="69">AL35/AL39</f>
        <v>-4.323637105118844</v>
      </c>
      <c r="AM40" s="38">
        <f t="shared" ref="AM40" si="70">AM35/AM39</f>
        <v>-3.8135413358790959</v>
      </c>
      <c r="AN40" s="38">
        <f t="shared" ref="AN40" si="71">AN35/AN39</f>
        <v>-2.3690209774029687</v>
      </c>
      <c r="AO40" s="38">
        <f t="shared" ref="AO40" si="72">AO35/AO39</f>
        <v>0.38054629597598205</v>
      </c>
      <c r="AP40" s="38">
        <f t="shared" ref="AP40" si="73">AP35/AP39</f>
        <v>4.1372669056056983</v>
      </c>
      <c r="AQ40" s="38">
        <f t="shared" ref="AQ40" si="74">AQ35/AQ39</f>
        <v>7.0289144362099183</v>
      </c>
      <c r="AR40" s="38">
        <f t="shared" ref="AR40" si="75">AR35/AR39</f>
        <v>8.4494360091051313</v>
      </c>
      <c r="AS40" s="38">
        <f t="shared" ref="AS40" si="76">AS35/AS39</f>
        <v>10.368128863236873</v>
      </c>
      <c r="AU40" s="925"/>
      <c r="AV40" s="925">
        <f>AJ40-SUM(AF40:AI40)</f>
        <v>0</v>
      </c>
      <c r="AW40" s="925"/>
      <c r="AX40" s="918"/>
    </row>
    <row r="41" spans="1:50" s="207" customFormat="1" ht="15" thickBot="1" x14ac:dyDescent="0.4">
      <c r="A41" s="684" t="s">
        <v>16</v>
      </c>
      <c r="B41" s="685"/>
      <c r="C41" s="686"/>
      <c r="D41" s="686"/>
      <c r="E41" s="686"/>
      <c r="F41" s="687"/>
      <c r="G41" s="686"/>
      <c r="H41" s="686"/>
      <c r="I41" s="686"/>
      <c r="J41" s="686"/>
      <c r="K41" s="687"/>
      <c r="L41" s="686"/>
      <c r="M41" s="686"/>
      <c r="N41" s="686"/>
      <c r="O41" s="686"/>
      <c r="P41" s="687"/>
      <c r="Q41" s="686"/>
      <c r="R41" s="686"/>
      <c r="S41" s="686"/>
      <c r="T41" s="688"/>
      <c r="U41" s="687"/>
      <c r="V41" s="686"/>
      <c r="W41" s="686"/>
      <c r="X41" s="686"/>
      <c r="Y41" s="688" t="e">
        <f>FactSet!#REF!</f>
        <v>#REF!</v>
      </c>
      <c r="Z41" s="687" t="e">
        <f>FactSet!#REF!</f>
        <v>#REF!</v>
      </c>
      <c r="AA41" s="685"/>
      <c r="AB41" s="686"/>
      <c r="AC41" s="686">
        <f>FactSet!P8</f>
        <v>-37.18</v>
      </c>
      <c r="AD41" s="688">
        <f>FactSet!Q8</f>
        <v>-2.4700000000000002</v>
      </c>
      <c r="AE41" s="688">
        <f>FactSet!R8</f>
        <v>-18.559999999999999</v>
      </c>
      <c r="AF41" s="685">
        <f>FactSet!S8</f>
        <v>-0.94799999999999995</v>
      </c>
      <c r="AG41" s="686">
        <f>FactSet!T8</f>
        <v>-0.99</v>
      </c>
      <c r="AH41" s="686">
        <f>FactSet!U8</f>
        <v>-0.98</v>
      </c>
      <c r="AI41" s="688">
        <f>FactSet!V8</f>
        <v>-1.028</v>
      </c>
      <c r="AJ41" s="687">
        <f>FactSet!W8</f>
        <v>-3.9460000000000002</v>
      </c>
      <c r="AK41" s="687">
        <f>FactSet!X8</f>
        <v>-4.0999999999999996</v>
      </c>
      <c r="AL41" s="687"/>
      <c r="AM41" s="687"/>
      <c r="AN41" s="687"/>
      <c r="AO41" s="687"/>
      <c r="AP41" s="687"/>
      <c r="AQ41" s="687"/>
      <c r="AR41" s="687"/>
      <c r="AS41" s="687"/>
      <c r="AX41" s="919"/>
    </row>
    <row r="42" spans="1:50" x14ac:dyDescent="0.35">
      <c r="A42" s="93" t="s">
        <v>73</v>
      </c>
      <c r="B42" s="2"/>
      <c r="C42" s="2"/>
      <c r="D42" s="2"/>
      <c r="E42" s="2"/>
      <c r="F42" s="2"/>
      <c r="G42" s="2"/>
      <c r="H42" s="2"/>
      <c r="I42" s="2"/>
      <c r="J42" s="2"/>
      <c r="K42" s="39"/>
      <c r="L42" s="39"/>
      <c r="M42" s="40"/>
      <c r="N42" s="40"/>
      <c r="O42" s="39"/>
      <c r="P42" s="2"/>
      <c r="Q42" s="705"/>
      <c r="R42" s="706"/>
      <c r="S42" s="706"/>
      <c r="T42" s="705"/>
      <c r="U42" s="2"/>
      <c r="V42" s="705"/>
      <c r="W42" s="706"/>
      <c r="X42" s="706"/>
      <c r="Y42" s="705"/>
      <c r="Z42" s="2"/>
      <c r="AA42" s="3"/>
      <c r="AB42" s="3"/>
      <c r="AC42" s="3"/>
      <c r="AD42" s="3"/>
      <c r="AE42" s="2"/>
      <c r="AF42" s="3"/>
      <c r="AG42" s="3"/>
      <c r="AH42" s="3"/>
      <c r="AI42" s="3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50" x14ac:dyDescent="0.35">
      <c r="A43" s="4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"/>
      <c r="N43" s="3"/>
      <c r="O43" s="2"/>
      <c r="P43" s="712"/>
      <c r="Q43" s="2"/>
      <c r="R43" s="3"/>
      <c r="S43" s="3"/>
      <c r="T43" s="707"/>
      <c r="U43" s="2"/>
      <c r="V43" s="2"/>
      <c r="W43" s="3"/>
      <c r="X43" s="3"/>
      <c r="Y43" s="707"/>
      <c r="Z43" s="2"/>
      <c r="AA43" s="3"/>
      <c r="AB43" s="3"/>
      <c r="AC43" s="3"/>
      <c r="AD43" s="3"/>
      <c r="AE43" s="2"/>
      <c r="AF43" s="3"/>
      <c r="AG43" s="3"/>
      <c r="AH43" s="3"/>
      <c r="AI43" s="3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50" ht="15" thickBo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3"/>
      <c r="O44" s="2"/>
      <c r="P44" s="2"/>
      <c r="Q44" s="2"/>
      <c r="R44" s="3"/>
      <c r="S44" s="3"/>
      <c r="T44" s="2"/>
      <c r="U44" s="2"/>
      <c r="V44" s="2"/>
      <c r="W44" s="3"/>
      <c r="X44" s="3"/>
      <c r="Y44" s="2"/>
      <c r="Z44" s="2"/>
      <c r="AA44" s="3"/>
      <c r="AB44" s="3"/>
      <c r="AC44" s="3"/>
      <c r="AD44" s="3"/>
      <c r="AE44" s="2"/>
      <c r="AF44" s="3"/>
      <c r="AG44" s="3"/>
      <c r="AH44" s="3"/>
      <c r="AI44" s="3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50" ht="15" thickBot="1" x14ac:dyDescent="0.4">
      <c r="A45" s="42" t="s">
        <v>28</v>
      </c>
      <c r="B45" s="6" t="str">
        <f t="shared" ref="B45:AS45" si="77">B4</f>
        <v>1Q19A</v>
      </c>
      <c r="C45" s="6" t="str">
        <f t="shared" si="77"/>
        <v>2Q19A</v>
      </c>
      <c r="D45" s="6" t="str">
        <f t="shared" si="77"/>
        <v>3Q19A</v>
      </c>
      <c r="E45" s="6" t="str">
        <f t="shared" si="77"/>
        <v>4Q19A</v>
      </c>
      <c r="F45" s="7" t="str">
        <f t="shared" si="77"/>
        <v>2019A</v>
      </c>
      <c r="G45" s="10" t="str">
        <f t="shared" si="77"/>
        <v>1Q20A</v>
      </c>
      <c r="H45" s="6" t="str">
        <f t="shared" si="77"/>
        <v>2Q20A</v>
      </c>
      <c r="I45" s="6" t="str">
        <f t="shared" si="77"/>
        <v>3Q20A</v>
      </c>
      <c r="J45" s="43" t="str">
        <f t="shared" si="77"/>
        <v>4Q20A</v>
      </c>
      <c r="K45" s="7" t="str">
        <f t="shared" si="77"/>
        <v>2020A</v>
      </c>
      <c r="L45" s="10" t="str">
        <f t="shared" si="77"/>
        <v>1Q21A</v>
      </c>
      <c r="M45" s="6" t="str">
        <f t="shared" si="77"/>
        <v>2Q21A</v>
      </c>
      <c r="N45" s="6" t="str">
        <f t="shared" si="77"/>
        <v>3Q21A</v>
      </c>
      <c r="O45" s="43" t="str">
        <f t="shared" si="77"/>
        <v>4Q21A</v>
      </c>
      <c r="P45" s="7" t="str">
        <f t="shared" si="77"/>
        <v>2021A</v>
      </c>
      <c r="Q45" s="10" t="str">
        <f t="shared" si="77"/>
        <v>1Q22A</v>
      </c>
      <c r="R45" s="6" t="str">
        <f t="shared" si="77"/>
        <v>2Q22A</v>
      </c>
      <c r="S45" s="6" t="str">
        <f t="shared" si="77"/>
        <v>3Q22A</v>
      </c>
      <c r="T45" s="43" t="str">
        <f t="shared" si="77"/>
        <v>4Q22A</v>
      </c>
      <c r="U45" s="7" t="str">
        <f t="shared" si="77"/>
        <v>2022A</v>
      </c>
      <c r="V45" s="10" t="str">
        <f t="shared" si="77"/>
        <v>1Q23A</v>
      </c>
      <c r="W45" s="6" t="str">
        <f t="shared" si="77"/>
        <v>2Q23A</v>
      </c>
      <c r="X45" s="6" t="str">
        <f t="shared" si="77"/>
        <v>3Q23A</v>
      </c>
      <c r="Y45" s="43" t="str">
        <f t="shared" si="77"/>
        <v>4Q23A</v>
      </c>
      <c r="Z45" s="7" t="str">
        <f t="shared" si="77"/>
        <v>2023A</v>
      </c>
      <c r="AA45" s="10" t="str">
        <f t="shared" si="77"/>
        <v>1Q25A</v>
      </c>
      <c r="AB45" s="6" t="str">
        <f t="shared" si="77"/>
        <v>2Q25A</v>
      </c>
      <c r="AC45" s="6" t="str">
        <f t="shared" si="77"/>
        <v>3Q25A</v>
      </c>
      <c r="AD45" s="43" t="str">
        <f t="shared" si="77"/>
        <v>4Q25A</v>
      </c>
      <c r="AE45" s="7" t="str">
        <f t="shared" si="77"/>
        <v>2025A</v>
      </c>
      <c r="AF45" s="10" t="str">
        <f t="shared" si="77"/>
        <v>1Q26E</v>
      </c>
      <c r="AG45" s="6" t="str">
        <f t="shared" si="77"/>
        <v>2Q26E</v>
      </c>
      <c r="AH45" s="6" t="str">
        <f t="shared" si="77"/>
        <v>3Q26E</v>
      </c>
      <c r="AI45" s="43" t="str">
        <f t="shared" si="77"/>
        <v>4Q26E</v>
      </c>
      <c r="AJ45" s="7" t="str">
        <f t="shared" si="77"/>
        <v>2026E</v>
      </c>
      <c r="AK45" s="7" t="str">
        <f t="shared" si="77"/>
        <v>2027E</v>
      </c>
      <c r="AL45" s="7" t="str">
        <f t="shared" si="77"/>
        <v>2028E</v>
      </c>
      <c r="AM45" s="7" t="str">
        <f t="shared" si="77"/>
        <v>2029E</v>
      </c>
      <c r="AN45" s="7" t="str">
        <f t="shared" si="77"/>
        <v>2030E</v>
      </c>
      <c r="AO45" s="7" t="str">
        <f t="shared" si="77"/>
        <v>2031E</v>
      </c>
      <c r="AP45" s="7" t="str">
        <f t="shared" si="77"/>
        <v>2032E</v>
      </c>
      <c r="AQ45" s="7" t="str">
        <f t="shared" si="77"/>
        <v>2033E</v>
      </c>
      <c r="AR45" s="7" t="str">
        <f t="shared" si="77"/>
        <v>2034E</v>
      </c>
      <c r="AS45" s="7" t="str">
        <f t="shared" si="77"/>
        <v>2035E</v>
      </c>
    </row>
    <row r="46" spans="1:50" x14ac:dyDescent="0.35">
      <c r="A46" s="11"/>
      <c r="B46" s="70"/>
      <c r="C46" s="97"/>
      <c r="D46" s="97"/>
      <c r="E46" s="98"/>
      <c r="F46" s="12"/>
      <c r="G46" s="11"/>
      <c r="H46" s="3"/>
      <c r="I46" s="3"/>
      <c r="J46" s="44"/>
      <c r="K46" s="12"/>
      <c r="L46" s="11"/>
      <c r="M46" s="3"/>
      <c r="N46" s="3"/>
      <c r="O46" s="3"/>
      <c r="P46" s="11"/>
      <c r="Q46" s="11"/>
      <c r="R46" s="3"/>
      <c r="S46" s="3"/>
      <c r="T46" s="3"/>
      <c r="U46" s="12"/>
      <c r="V46" s="11"/>
      <c r="W46" s="3"/>
      <c r="X46" s="3"/>
      <c r="Y46" s="3"/>
      <c r="Z46" s="12"/>
      <c r="AA46" s="11"/>
      <c r="AB46" s="3"/>
      <c r="AC46" s="3"/>
      <c r="AD46" s="44"/>
      <c r="AE46" s="12"/>
      <c r="AF46" s="11"/>
      <c r="AG46" s="3"/>
      <c r="AH46" s="3"/>
      <c r="AI46" s="44"/>
      <c r="AJ46" s="12"/>
      <c r="AK46" s="12"/>
      <c r="AL46" s="12"/>
      <c r="AM46" s="12"/>
      <c r="AN46" s="44"/>
      <c r="AO46" s="44"/>
      <c r="AP46" s="44"/>
      <c r="AQ46" s="44"/>
      <c r="AR46" s="44"/>
      <c r="AS46" s="44"/>
    </row>
    <row r="47" spans="1:50" x14ac:dyDescent="0.35">
      <c r="A47" s="11" t="s">
        <v>29</v>
      </c>
      <c r="B47" s="48"/>
      <c r="C47" s="33"/>
      <c r="D47" s="33"/>
      <c r="E47" s="49"/>
      <c r="F47" s="35"/>
      <c r="G47" s="46"/>
      <c r="H47" s="46"/>
      <c r="I47" s="46"/>
      <c r="J47" s="47"/>
      <c r="K47" s="35"/>
      <c r="L47" s="36"/>
      <c r="M47" s="46"/>
      <c r="N47" s="46"/>
      <c r="O47" s="46"/>
      <c r="P47" s="48"/>
      <c r="Q47" s="48"/>
      <c r="R47" s="33"/>
      <c r="S47" s="33"/>
      <c r="T47" s="33"/>
      <c r="U47" s="45"/>
      <c r="V47" s="48"/>
      <c r="W47" s="33"/>
      <c r="X47" s="33"/>
      <c r="Y47" s="33"/>
      <c r="Z47" s="616"/>
      <c r="AA47" s="48"/>
      <c r="AB47" s="33"/>
      <c r="AC47" s="33"/>
      <c r="AD47" s="49"/>
      <c r="AE47" s="45"/>
      <c r="AF47" s="48"/>
      <c r="AG47" s="33"/>
      <c r="AH47" s="33"/>
      <c r="AI47" s="49"/>
      <c r="AJ47" s="616">
        <v>1</v>
      </c>
      <c r="AK47" s="45">
        <v>1</v>
      </c>
      <c r="AL47" s="45">
        <v>1</v>
      </c>
      <c r="AM47" s="45">
        <v>1</v>
      </c>
      <c r="AN47" s="49">
        <v>1</v>
      </c>
      <c r="AO47" s="49">
        <v>1</v>
      </c>
      <c r="AP47" s="49">
        <v>1</v>
      </c>
      <c r="AQ47" s="49">
        <v>1</v>
      </c>
      <c r="AR47" s="49">
        <v>1</v>
      </c>
      <c r="AS47" s="49">
        <v>1</v>
      </c>
    </row>
    <row r="48" spans="1:50" x14ac:dyDescent="0.35">
      <c r="A48" s="11" t="s">
        <v>17</v>
      </c>
      <c r="B48" s="53"/>
      <c r="C48" s="51"/>
      <c r="D48" s="51"/>
      <c r="E48" s="52"/>
      <c r="F48" s="50"/>
      <c r="G48" s="51"/>
      <c r="H48" s="51"/>
      <c r="I48" s="51"/>
      <c r="J48" s="52"/>
      <c r="K48" s="50"/>
      <c r="L48" s="53"/>
      <c r="M48" s="51"/>
      <c r="N48" s="51"/>
      <c r="O48" s="51"/>
      <c r="P48" s="53"/>
      <c r="Q48" s="53"/>
      <c r="R48" s="51"/>
      <c r="S48" s="51"/>
      <c r="T48" s="51"/>
      <c r="U48" s="50"/>
      <c r="V48" s="53"/>
      <c r="W48" s="51"/>
      <c r="X48" s="51"/>
      <c r="Y48" s="51"/>
      <c r="Z48" s="50"/>
      <c r="AA48" s="53"/>
      <c r="AB48" s="51"/>
      <c r="AC48" s="51"/>
      <c r="AD48" s="52"/>
      <c r="AE48" s="50"/>
      <c r="AF48" s="53"/>
      <c r="AG48" s="51"/>
      <c r="AH48" s="51"/>
      <c r="AI48" s="52"/>
      <c r="AJ48" s="999" t="str">
        <f>IFERROR(AJ13/AJ$8,"NM")</f>
        <v>NM</v>
      </c>
      <c r="AK48" s="999" t="str">
        <f t="shared" ref="AK48:AS48" si="78">IFERROR(AK13/AK$8,"NM")</f>
        <v>NM</v>
      </c>
      <c r="AL48" s="999" t="str">
        <f t="shared" si="78"/>
        <v>NM</v>
      </c>
      <c r="AM48" s="50">
        <f t="shared" si="78"/>
        <v>7.4999999999999969E-2</v>
      </c>
      <c r="AN48" s="52">
        <f t="shared" si="78"/>
        <v>7.4999999999999969E-2</v>
      </c>
      <c r="AO48" s="52">
        <f t="shared" si="78"/>
        <v>7.4999999999999914E-2</v>
      </c>
      <c r="AP48" s="52">
        <f t="shared" si="78"/>
        <v>7.5000000000000053E-2</v>
      </c>
      <c r="AQ48" s="52">
        <f t="shared" si="78"/>
        <v>7.4999999999999886E-2</v>
      </c>
      <c r="AR48" s="52">
        <f t="shared" si="78"/>
        <v>7.49999999999999E-2</v>
      </c>
      <c r="AS48" s="52">
        <f t="shared" si="78"/>
        <v>7.4999999999999775E-2</v>
      </c>
    </row>
    <row r="49" spans="1:46" x14ac:dyDescent="0.35">
      <c r="A49" s="11" t="s">
        <v>30</v>
      </c>
      <c r="B49" s="53"/>
      <c r="C49" s="51"/>
      <c r="D49" s="51"/>
      <c r="E49" s="52"/>
      <c r="F49" s="50"/>
      <c r="G49" s="51"/>
      <c r="H49" s="51"/>
      <c r="I49" s="51"/>
      <c r="J49" s="52"/>
      <c r="K49" s="50"/>
      <c r="L49" s="53"/>
      <c r="M49" s="428"/>
      <c r="N49" s="51"/>
      <c r="O49" s="51"/>
      <c r="P49" s="53"/>
      <c r="Q49" s="53"/>
      <c r="R49" s="51"/>
      <c r="S49" s="51"/>
      <c r="T49" s="51"/>
      <c r="U49" s="50"/>
      <c r="V49" s="53"/>
      <c r="W49" s="51"/>
      <c r="X49" s="51"/>
      <c r="Y49" s="51"/>
      <c r="Z49" s="50"/>
      <c r="AA49" s="53"/>
      <c r="AB49" s="51"/>
      <c r="AC49" s="51"/>
      <c r="AD49" s="52"/>
      <c r="AE49" s="50"/>
      <c r="AF49" s="53"/>
      <c r="AG49" s="51"/>
      <c r="AH49" s="51"/>
      <c r="AI49" s="52"/>
      <c r="AJ49" s="1003" t="str">
        <f>IFERROR(AJ14/AJ$8,"NM")</f>
        <v>NM</v>
      </c>
      <c r="AK49" s="1003" t="str">
        <f t="shared" ref="AK49:AS49" si="79">IFERROR(AK14/AK$8,"NM")</f>
        <v>NM</v>
      </c>
      <c r="AL49" s="1003" t="str">
        <f t="shared" si="79"/>
        <v>NM</v>
      </c>
      <c r="AM49" s="1003">
        <f t="shared" si="79"/>
        <v>0.92500000000000004</v>
      </c>
      <c r="AN49" s="1003">
        <f t="shared" si="79"/>
        <v>0.92500000000000004</v>
      </c>
      <c r="AO49" s="1003">
        <f t="shared" si="79"/>
        <v>0.92500000000000004</v>
      </c>
      <c r="AP49" s="1003">
        <f t="shared" si="79"/>
        <v>0.92499999999999993</v>
      </c>
      <c r="AQ49" s="1003">
        <f t="shared" si="79"/>
        <v>0.92500000000000016</v>
      </c>
      <c r="AR49" s="1003">
        <f t="shared" si="79"/>
        <v>0.92500000000000016</v>
      </c>
      <c r="AS49" s="1003">
        <f t="shared" si="79"/>
        <v>0.92500000000000027</v>
      </c>
      <c r="AT49" s="63"/>
    </row>
    <row r="50" spans="1:46" x14ac:dyDescent="0.35">
      <c r="A50" s="11"/>
      <c r="B50" s="11"/>
      <c r="C50" s="3"/>
      <c r="D50" s="3"/>
      <c r="E50" s="44"/>
      <c r="F50" s="12"/>
      <c r="G50" s="11"/>
      <c r="H50" s="3"/>
      <c r="I50" s="3"/>
      <c r="J50" s="44"/>
      <c r="K50" s="12"/>
      <c r="L50" s="11"/>
      <c r="M50" s="3"/>
      <c r="N50" s="3"/>
      <c r="O50" s="3"/>
      <c r="P50" s="11"/>
      <c r="Q50" s="11"/>
      <c r="R50" s="3"/>
      <c r="S50" s="3"/>
      <c r="T50" s="3"/>
      <c r="U50" s="12"/>
      <c r="V50" s="11"/>
      <c r="W50" s="3"/>
      <c r="X50" s="3"/>
      <c r="Y50" s="3"/>
      <c r="Z50" s="12"/>
      <c r="AA50" s="11"/>
      <c r="AB50" s="3"/>
      <c r="AC50" s="3"/>
      <c r="AD50" s="44"/>
      <c r="AE50" s="12"/>
      <c r="AF50" s="11"/>
      <c r="AG50" s="3"/>
      <c r="AH50" s="3"/>
      <c r="AI50" s="44"/>
      <c r="AJ50" s="1004"/>
      <c r="AK50" s="1004"/>
      <c r="AL50" s="1004"/>
      <c r="AM50" s="1004"/>
      <c r="AN50" s="1005"/>
      <c r="AO50" s="1005"/>
      <c r="AP50" s="1005"/>
      <c r="AQ50" s="1005"/>
      <c r="AR50" s="1005"/>
      <c r="AS50" s="1005"/>
      <c r="AT50" s="63"/>
    </row>
    <row r="51" spans="1:46" x14ac:dyDescent="0.35">
      <c r="A51" s="11" t="s">
        <v>19</v>
      </c>
      <c r="B51" s="53"/>
      <c r="C51" s="51"/>
      <c r="D51" s="51"/>
      <c r="E51" s="52"/>
      <c r="F51" s="50"/>
      <c r="G51" s="53"/>
      <c r="H51" s="51"/>
      <c r="I51" s="51"/>
      <c r="J51" s="52"/>
      <c r="K51" s="50"/>
      <c r="L51" s="53"/>
      <c r="M51" s="51"/>
      <c r="N51" s="51"/>
      <c r="O51" s="51"/>
      <c r="P51" s="53"/>
      <c r="Q51" s="53"/>
      <c r="R51" s="51"/>
      <c r="S51" s="51"/>
      <c r="T51" s="51"/>
      <c r="U51" s="50"/>
      <c r="V51" s="53"/>
      <c r="W51" s="51"/>
      <c r="X51" s="51"/>
      <c r="Y51" s="51"/>
      <c r="Z51" s="50"/>
      <c r="AA51" s="53"/>
      <c r="AB51" s="51"/>
      <c r="AC51" s="51"/>
      <c r="AD51" s="52"/>
      <c r="AE51" s="50"/>
      <c r="AF51" s="53"/>
      <c r="AG51" s="51"/>
      <c r="AH51" s="51"/>
      <c r="AI51" s="52"/>
      <c r="AJ51" s="1003" t="str">
        <f>IFERROR(AJ16/AJ$8,"NM")</f>
        <v>NM</v>
      </c>
      <c r="AK51" s="1003" t="str">
        <f t="shared" ref="AK51:AS51" si="80">IFERROR(AK16/AK$8,"NM")</f>
        <v>NM</v>
      </c>
      <c r="AL51" s="1003" t="str">
        <f t="shared" si="80"/>
        <v>NM</v>
      </c>
      <c r="AM51" s="1003">
        <f t="shared" si="80"/>
        <v>6.9040525781748343</v>
      </c>
      <c r="AN51" s="1003">
        <f t="shared" si="80"/>
        <v>1.0921676217386751</v>
      </c>
      <c r="AO51" s="1003">
        <f t="shared" si="80"/>
        <v>0.46093888070882882</v>
      </c>
      <c r="AP51" s="1003">
        <f t="shared" si="80"/>
        <v>0.24717240948430064</v>
      </c>
      <c r="AQ51" s="1003">
        <f t="shared" si="80"/>
        <v>0.17690024435540153</v>
      </c>
      <c r="AR51" s="1003">
        <f t="shared" si="80"/>
        <v>0.14349835187859122</v>
      </c>
      <c r="AS51" s="1003">
        <f t="shared" si="80"/>
        <v>0.12424553051205932</v>
      </c>
      <c r="AT51" s="63"/>
    </row>
    <row r="52" spans="1:46" x14ac:dyDescent="0.35">
      <c r="A52" s="11" t="s">
        <v>20</v>
      </c>
      <c r="B52" s="53"/>
      <c r="C52" s="51"/>
      <c r="D52" s="51"/>
      <c r="E52" s="52"/>
      <c r="F52" s="50"/>
      <c r="G52" s="53"/>
      <c r="H52" s="51"/>
      <c r="I52" s="51"/>
      <c r="J52" s="52"/>
      <c r="K52" s="50"/>
      <c r="L52" s="53"/>
      <c r="M52" s="51"/>
      <c r="N52" s="51"/>
      <c r="O52" s="51"/>
      <c r="P52" s="53"/>
      <c r="Q52" s="53"/>
      <c r="R52" s="51"/>
      <c r="S52" s="51"/>
      <c r="T52" s="51"/>
      <c r="U52" s="50"/>
      <c r="V52" s="53"/>
      <c r="W52" s="51"/>
      <c r="X52" s="51"/>
      <c r="Y52" s="51"/>
      <c r="Z52" s="50"/>
      <c r="AA52" s="53"/>
      <c r="AB52" s="51"/>
      <c r="AC52" s="51"/>
      <c r="AD52" s="52"/>
      <c r="AE52" s="50"/>
      <c r="AF52" s="53"/>
      <c r="AG52" s="51"/>
      <c r="AH52" s="51"/>
      <c r="AI52" s="52"/>
      <c r="AJ52" s="1003" t="str">
        <f>IFERROR(AJ18/AJ$8,"NM")</f>
        <v>NM</v>
      </c>
      <c r="AK52" s="1003" t="str">
        <f t="shared" ref="AK52:AS52" si="81">IFERROR(AK18/AK$8,"NM")</f>
        <v>NM</v>
      </c>
      <c r="AL52" s="1003" t="str">
        <f t="shared" si="81"/>
        <v>NM</v>
      </c>
      <c r="AM52" s="1006">
        <f t="shared" si="81"/>
        <v>9.7664588142231938</v>
      </c>
      <c r="AN52" s="1006">
        <f t="shared" si="81"/>
        <v>1.1922683965526242</v>
      </c>
      <c r="AO52" s="1006">
        <f t="shared" si="81"/>
        <v>0.41885593374801044</v>
      </c>
      <c r="AP52" s="1006">
        <f t="shared" si="81"/>
        <v>0.22183693567668686</v>
      </c>
      <c r="AQ52" s="1006">
        <f t="shared" si="81"/>
        <v>0.15682933294003829</v>
      </c>
      <c r="AR52" s="1006">
        <f t="shared" si="81"/>
        <v>0.1256787792936408</v>
      </c>
      <c r="AS52" s="1006">
        <f t="shared" si="81"/>
        <v>0.10751322371357985</v>
      </c>
      <c r="AT52" s="63"/>
    </row>
    <row r="53" spans="1:46" x14ac:dyDescent="0.35">
      <c r="A53" s="11" t="s">
        <v>31</v>
      </c>
      <c r="B53" s="53"/>
      <c r="C53" s="51"/>
      <c r="D53" s="51"/>
      <c r="E53" s="52"/>
      <c r="F53" s="50"/>
      <c r="G53" s="53"/>
      <c r="H53" s="51"/>
      <c r="I53" s="51"/>
      <c r="J53" s="52"/>
      <c r="K53" s="50"/>
      <c r="L53" s="53"/>
      <c r="M53" s="51"/>
      <c r="N53" s="51"/>
      <c r="O53" s="51"/>
      <c r="P53" s="53"/>
      <c r="Q53" s="53"/>
      <c r="R53" s="51"/>
      <c r="S53" s="51"/>
      <c r="T53" s="51"/>
      <c r="U53" s="50"/>
      <c r="V53" s="53"/>
      <c r="W53" s="51"/>
      <c r="X53" s="51"/>
      <c r="Y53" s="51"/>
      <c r="Z53" s="50"/>
      <c r="AA53" s="53"/>
      <c r="AB53" s="51"/>
      <c r="AC53" s="51"/>
      <c r="AD53" s="52"/>
      <c r="AE53" s="50"/>
      <c r="AF53" s="53"/>
      <c r="AG53" s="51"/>
      <c r="AH53" s="51"/>
      <c r="AI53" s="52"/>
      <c r="AJ53" s="1003" t="str">
        <f>IFERROR(AJ24/AJ$8,"NM")</f>
        <v>NM</v>
      </c>
      <c r="AK53" s="1003" t="str">
        <f t="shared" ref="AK53:AS53" si="82">IFERROR(AK24/AK$8,"NM")</f>
        <v>NM</v>
      </c>
      <c r="AL53" s="1003" t="str">
        <f t="shared" si="82"/>
        <v>NM</v>
      </c>
      <c r="AM53" s="1006">
        <f t="shared" si="82"/>
        <v>-15.745511392398027</v>
      </c>
      <c r="AN53" s="1006">
        <f t="shared" si="82"/>
        <v>-1.3594360182912992</v>
      </c>
      <c r="AO53" s="1006">
        <f t="shared" si="82"/>
        <v>4.5205185543160838E-2</v>
      </c>
      <c r="AP53" s="1006">
        <f t="shared" si="82"/>
        <v>0.45599065483901247</v>
      </c>
      <c r="AQ53" s="1006">
        <f t="shared" si="82"/>
        <v>0.59127042270456032</v>
      </c>
      <c r="AR53" s="1006">
        <f t="shared" si="82"/>
        <v>0.65582286882776808</v>
      </c>
      <c r="AS53" s="1006">
        <f t="shared" si="82"/>
        <v>0.69324124577436108</v>
      </c>
      <c r="AT53" s="63"/>
    </row>
    <row r="54" spans="1:46" x14ac:dyDescent="0.35">
      <c r="A54" s="11"/>
      <c r="B54" s="53"/>
      <c r="C54" s="51"/>
      <c r="D54" s="51"/>
      <c r="E54" s="52"/>
      <c r="F54" s="50"/>
      <c r="G54" s="53"/>
      <c r="H54" s="51"/>
      <c r="I54" s="51"/>
      <c r="J54" s="52"/>
      <c r="K54" s="50"/>
      <c r="L54" s="53"/>
      <c r="M54" s="51"/>
      <c r="N54" s="51"/>
      <c r="O54" s="51"/>
      <c r="P54" s="53"/>
      <c r="Q54" s="53"/>
      <c r="R54" s="51"/>
      <c r="S54" s="51"/>
      <c r="T54" s="51"/>
      <c r="U54" s="50"/>
      <c r="V54" s="53"/>
      <c r="W54" s="51"/>
      <c r="X54" s="51"/>
      <c r="Y54" s="51"/>
      <c r="Z54" s="50"/>
      <c r="AA54" s="53"/>
      <c r="AB54" s="51"/>
      <c r="AC54" s="51"/>
      <c r="AD54" s="52"/>
      <c r="AE54" s="50"/>
      <c r="AF54" s="53"/>
      <c r="AG54" s="51"/>
      <c r="AH54" s="51"/>
      <c r="AI54" s="52"/>
      <c r="AJ54" s="1006"/>
      <c r="AK54" s="1006"/>
      <c r="AL54" s="1006"/>
      <c r="AM54" s="1006"/>
      <c r="AN54" s="1007"/>
      <c r="AO54" s="1007"/>
      <c r="AP54" s="1007"/>
      <c r="AQ54" s="1007"/>
      <c r="AR54" s="1007"/>
      <c r="AS54" s="1007"/>
      <c r="AT54" s="63"/>
    </row>
    <row r="55" spans="1:46" x14ac:dyDescent="0.35">
      <c r="A55" s="54" t="s">
        <v>32</v>
      </c>
      <c r="B55" s="53"/>
      <c r="C55" s="51"/>
      <c r="D55" s="51"/>
      <c r="E55" s="52"/>
      <c r="F55" s="50"/>
      <c r="G55" s="53"/>
      <c r="H55" s="51"/>
      <c r="I55" s="51"/>
      <c r="J55" s="52"/>
      <c r="K55" s="50"/>
      <c r="L55" s="53"/>
      <c r="M55" s="51"/>
      <c r="N55" s="51"/>
      <c r="O55" s="51"/>
      <c r="P55" s="53"/>
      <c r="Q55" s="53"/>
      <c r="R55" s="51"/>
      <c r="S55" s="51"/>
      <c r="T55" s="51"/>
      <c r="U55" s="50"/>
      <c r="V55" s="53"/>
      <c r="W55" s="51"/>
      <c r="X55" s="51"/>
      <c r="Y55" s="51"/>
      <c r="Z55" s="50"/>
      <c r="AA55" s="53"/>
      <c r="AB55" s="51"/>
      <c r="AC55" s="51"/>
      <c r="AD55" s="52"/>
      <c r="AE55" s="50"/>
      <c r="AF55" s="53"/>
      <c r="AG55" s="51"/>
      <c r="AH55" s="51"/>
      <c r="AI55" s="52"/>
      <c r="AJ55" s="1003" t="str">
        <f>IFERROR(AJ31/AJ$8, "NM")</f>
        <v>NM</v>
      </c>
      <c r="AK55" s="1003" t="str">
        <f t="shared" ref="AK55:AS55" si="83">IFERROR(AK31/AK$8, "NM")</f>
        <v>NM</v>
      </c>
      <c r="AL55" s="1003" t="str">
        <f t="shared" si="83"/>
        <v>NM</v>
      </c>
      <c r="AM55" s="1003">
        <f t="shared" si="83"/>
        <v>-15.117037205362438</v>
      </c>
      <c r="AN55" s="1003">
        <f t="shared" si="83"/>
        <v>-1.2741555158224303</v>
      </c>
      <c r="AO55" s="1003">
        <f t="shared" si="83"/>
        <v>7.7547289343909656E-2</v>
      </c>
      <c r="AP55" s="1003">
        <f t="shared" si="83"/>
        <v>0.47326832364256693</v>
      </c>
      <c r="AQ55" s="1003">
        <f t="shared" si="83"/>
        <v>0.60358865315082755</v>
      </c>
      <c r="AR55" s="1003">
        <f t="shared" si="83"/>
        <v>0.66577636731537038</v>
      </c>
      <c r="AS55" s="1003">
        <f t="shared" si="83"/>
        <v>0.70182530057652781</v>
      </c>
      <c r="AT55" s="63"/>
    </row>
    <row r="56" spans="1:46" ht="15" thickBot="1" x14ac:dyDescent="0.4">
      <c r="A56" s="55" t="s">
        <v>33</v>
      </c>
      <c r="B56" s="58"/>
      <c r="C56" s="56"/>
      <c r="D56" s="56"/>
      <c r="E56" s="59"/>
      <c r="F56" s="57"/>
      <c r="G56" s="58"/>
      <c r="H56" s="56"/>
      <c r="I56" s="56"/>
      <c r="J56" s="59"/>
      <c r="K56" s="57"/>
      <c r="L56" s="58"/>
      <c r="M56" s="56"/>
      <c r="N56" s="56"/>
      <c r="O56" s="56"/>
      <c r="P56" s="58"/>
      <c r="Q56" s="58"/>
      <c r="R56" s="56"/>
      <c r="S56" s="56"/>
      <c r="T56" s="56"/>
      <c r="U56" s="57"/>
      <c r="V56" s="58"/>
      <c r="W56" s="56"/>
      <c r="X56" s="56"/>
      <c r="Y56" s="56"/>
      <c r="Z56" s="57"/>
      <c r="AA56" s="58"/>
      <c r="AB56" s="56"/>
      <c r="AC56" s="56"/>
      <c r="AD56" s="59"/>
      <c r="AE56" s="57"/>
      <c r="AF56" s="58"/>
      <c r="AG56" s="56"/>
      <c r="AH56" s="56"/>
      <c r="AI56" s="59"/>
      <c r="AJ56" s="1008" t="str">
        <f>IFERROR(AJ35/AJ$8, "NM")</f>
        <v>NM</v>
      </c>
      <c r="AK56" s="1008" t="str">
        <f t="shared" ref="AK56:AS56" si="84">IFERROR(AK35/AK$8, "NM")</f>
        <v>NM</v>
      </c>
      <c r="AL56" s="1008" t="str">
        <f t="shared" si="84"/>
        <v>NM</v>
      </c>
      <c r="AM56" s="1008">
        <f t="shared" si="84"/>
        <v>-15.117037205362438</v>
      </c>
      <c r="AN56" s="1008">
        <f t="shared" si="84"/>
        <v>-1.2741555158224303</v>
      </c>
      <c r="AO56" s="1008">
        <f t="shared" si="84"/>
        <v>7.7547289343909656E-2</v>
      </c>
      <c r="AP56" s="1008">
        <f t="shared" si="84"/>
        <v>0.44960490746043857</v>
      </c>
      <c r="AQ56" s="1008">
        <f t="shared" si="84"/>
        <v>0.54322978783574483</v>
      </c>
      <c r="AR56" s="1008">
        <f t="shared" si="84"/>
        <v>0.52596333017914265</v>
      </c>
      <c r="AS56" s="1008">
        <f t="shared" si="84"/>
        <v>0.55444198745545703</v>
      </c>
      <c r="AT56" s="63"/>
    </row>
    <row r="57" spans="1:46" ht="15" thickBo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3"/>
      <c r="N57" s="3"/>
      <c r="O57" s="2"/>
      <c r="P57" s="2"/>
      <c r="Q57" s="2"/>
      <c r="R57" s="3"/>
      <c r="S57" s="3"/>
      <c r="T57" s="2"/>
      <c r="U57" s="2"/>
      <c r="V57" s="2"/>
      <c r="W57" s="3"/>
      <c r="X57" s="3"/>
      <c r="Y57" s="2"/>
      <c r="Z57" s="2"/>
      <c r="AA57" s="3"/>
      <c r="AB57" s="3"/>
      <c r="AC57" s="3"/>
      <c r="AD57" s="3"/>
      <c r="AE57" s="2"/>
      <c r="AF57" s="3"/>
      <c r="AG57" s="3"/>
      <c r="AH57" s="3"/>
      <c r="AI57" s="3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63"/>
    </row>
    <row r="58" spans="1:46" ht="15" thickBot="1" x14ac:dyDescent="0.4">
      <c r="A58" s="5" t="s">
        <v>34</v>
      </c>
      <c r="B58" s="6"/>
      <c r="C58" s="6"/>
      <c r="D58" s="6"/>
      <c r="E58" s="6"/>
      <c r="F58" s="7"/>
      <c r="G58" s="6"/>
      <c r="H58" s="6"/>
      <c r="I58" s="6"/>
      <c r="J58" s="6"/>
      <c r="K58" s="7"/>
      <c r="L58" s="10"/>
      <c r="M58" s="6"/>
      <c r="N58" s="6"/>
      <c r="O58" s="43"/>
      <c r="P58" s="7"/>
      <c r="Q58" s="10"/>
      <c r="R58" s="6"/>
      <c r="S58" s="6"/>
      <c r="T58" s="43"/>
      <c r="U58" s="7"/>
      <c r="V58" s="10"/>
      <c r="W58" s="6"/>
      <c r="X58" s="6"/>
      <c r="Y58" s="43"/>
      <c r="Z58" s="7" t="str">
        <f t="shared" ref="Z58:AS58" si="85">Z4</f>
        <v>2023A</v>
      </c>
      <c r="AA58" s="10" t="str">
        <f t="shared" si="85"/>
        <v>1Q25A</v>
      </c>
      <c r="AB58" s="6" t="str">
        <f t="shared" si="85"/>
        <v>2Q25A</v>
      </c>
      <c r="AC58" s="6" t="str">
        <f t="shared" si="85"/>
        <v>3Q25A</v>
      </c>
      <c r="AD58" s="43" t="str">
        <f t="shared" si="85"/>
        <v>4Q25A</v>
      </c>
      <c r="AE58" s="7" t="str">
        <f t="shared" si="85"/>
        <v>2025A</v>
      </c>
      <c r="AF58" s="10" t="str">
        <f t="shared" si="85"/>
        <v>1Q26E</v>
      </c>
      <c r="AG58" s="6" t="str">
        <f t="shared" si="85"/>
        <v>2Q26E</v>
      </c>
      <c r="AH58" s="6" t="str">
        <f t="shared" si="85"/>
        <v>3Q26E</v>
      </c>
      <c r="AI58" s="43" t="str">
        <f t="shared" si="85"/>
        <v>4Q26E</v>
      </c>
      <c r="AJ58" s="1009" t="str">
        <f t="shared" si="85"/>
        <v>2026E</v>
      </c>
      <c r="AK58" s="1009" t="str">
        <f t="shared" si="85"/>
        <v>2027E</v>
      </c>
      <c r="AL58" s="1009" t="str">
        <f t="shared" si="85"/>
        <v>2028E</v>
      </c>
      <c r="AM58" s="1009" t="str">
        <f t="shared" si="85"/>
        <v>2029E</v>
      </c>
      <c r="AN58" s="1009" t="str">
        <f t="shared" si="85"/>
        <v>2030E</v>
      </c>
      <c r="AO58" s="1009" t="str">
        <f t="shared" si="85"/>
        <v>2031E</v>
      </c>
      <c r="AP58" s="1009" t="str">
        <f t="shared" si="85"/>
        <v>2032E</v>
      </c>
      <c r="AQ58" s="1009" t="str">
        <f t="shared" si="85"/>
        <v>2033E</v>
      </c>
      <c r="AR58" s="1009" t="str">
        <f t="shared" si="85"/>
        <v>2034E</v>
      </c>
      <c r="AS58" s="1009" t="str">
        <f t="shared" si="85"/>
        <v>2035E</v>
      </c>
      <c r="AT58" s="63"/>
    </row>
    <row r="59" spans="1:46" x14ac:dyDescent="0.35">
      <c r="A59" s="11"/>
      <c r="B59" s="70"/>
      <c r="C59" s="97"/>
      <c r="D59" s="97"/>
      <c r="E59" s="98"/>
      <c r="F59" s="12"/>
      <c r="G59" s="3"/>
      <c r="H59" s="3"/>
      <c r="I59" s="3"/>
      <c r="J59" s="3"/>
      <c r="K59" s="12"/>
      <c r="L59" s="11"/>
      <c r="M59" s="3"/>
      <c r="N59" s="3"/>
      <c r="O59" s="44"/>
      <c r="P59" s="12"/>
      <c r="Q59" s="11"/>
      <c r="R59" s="3"/>
      <c r="S59" s="3"/>
      <c r="T59" s="44"/>
      <c r="U59" s="12"/>
      <c r="V59" s="11"/>
      <c r="W59" s="3"/>
      <c r="X59" s="3"/>
      <c r="Y59" s="44"/>
      <c r="Z59" s="12"/>
      <c r="AA59" s="11"/>
      <c r="AB59" s="3"/>
      <c r="AC59" s="3"/>
      <c r="AD59" s="44"/>
      <c r="AE59" s="12"/>
      <c r="AF59" s="11"/>
      <c r="AG59" s="3"/>
      <c r="AH59" s="3"/>
      <c r="AI59" s="44"/>
      <c r="AJ59" s="1004"/>
      <c r="AK59" s="1004"/>
      <c r="AL59" s="1004"/>
      <c r="AM59" s="1004"/>
      <c r="AN59" s="1005"/>
      <c r="AO59" s="1005"/>
      <c r="AP59" s="1005"/>
      <c r="AQ59" s="1005"/>
      <c r="AR59" s="1005"/>
      <c r="AS59" s="1005"/>
      <c r="AT59" s="63"/>
    </row>
    <row r="60" spans="1:46" x14ac:dyDescent="0.35">
      <c r="A60" s="11" t="s">
        <v>29</v>
      </c>
      <c r="B60" s="48"/>
      <c r="C60" s="33"/>
      <c r="D60" s="33"/>
      <c r="E60" s="49"/>
      <c r="F60" s="50"/>
      <c r="G60" s="33"/>
      <c r="H60" s="33"/>
      <c r="I60" s="33"/>
      <c r="J60" s="33"/>
      <c r="K60" s="50"/>
      <c r="L60" s="53"/>
      <c r="M60" s="51"/>
      <c r="N60" s="51"/>
      <c r="O60" s="52"/>
      <c r="P60" s="50"/>
      <c r="Q60" s="53"/>
      <c r="R60" s="51"/>
      <c r="S60" s="51"/>
      <c r="T60" s="52"/>
      <c r="U60" s="50"/>
      <c r="V60" s="53"/>
      <c r="W60" s="51"/>
      <c r="X60" s="51"/>
      <c r="Y60" s="52"/>
      <c r="Z60" s="50"/>
      <c r="AA60" s="53"/>
      <c r="AB60" s="51"/>
      <c r="AC60" s="51"/>
      <c r="AD60" s="52"/>
      <c r="AE60" s="50"/>
      <c r="AF60" s="53"/>
      <c r="AG60" s="51"/>
      <c r="AH60" s="51"/>
      <c r="AI60" s="52"/>
      <c r="AJ60" s="1006"/>
      <c r="AK60" s="1003" t="str">
        <f>IFERROR(AK8/AJ8-1,"NM")</f>
        <v>NM</v>
      </c>
      <c r="AL60" s="1003" t="str">
        <f t="shared" ref="AL60:AS60" si="86">IFERROR(AL8/AK8-1,"NM")</f>
        <v>NM</v>
      </c>
      <c r="AM60" s="1003" t="str">
        <f t="shared" si="86"/>
        <v>NM</v>
      </c>
      <c r="AN60" s="1006">
        <f t="shared" si="86"/>
        <v>6.59057925207415</v>
      </c>
      <c r="AO60" s="1006">
        <f t="shared" si="86"/>
        <v>1.7159308523677828</v>
      </c>
      <c r="AP60" s="1006">
        <f t="shared" si="86"/>
        <v>0.92805912033213711</v>
      </c>
      <c r="AQ60" s="1006">
        <f t="shared" si="86"/>
        <v>0.44468793186556255</v>
      </c>
      <c r="AR60" s="1006">
        <f t="shared" si="86"/>
        <v>0.27470530843587704</v>
      </c>
      <c r="AS60" s="1006">
        <f t="shared" si="86"/>
        <v>0.19431943044474798</v>
      </c>
      <c r="AT60" s="63"/>
    </row>
    <row r="61" spans="1:46" x14ac:dyDescent="0.35">
      <c r="A61" s="11" t="s">
        <v>17</v>
      </c>
      <c r="B61" s="53"/>
      <c r="C61" s="51"/>
      <c r="D61" s="51"/>
      <c r="E61" s="52"/>
      <c r="F61" s="50"/>
      <c r="G61" s="51"/>
      <c r="H61" s="51"/>
      <c r="I61" s="51"/>
      <c r="J61" s="51"/>
      <c r="K61" s="50"/>
      <c r="L61" s="53"/>
      <c r="M61" s="51"/>
      <c r="N61" s="51"/>
      <c r="O61" s="52"/>
      <c r="P61" s="50"/>
      <c r="Q61" s="53"/>
      <c r="R61" s="51"/>
      <c r="S61" s="51"/>
      <c r="T61" s="52"/>
      <c r="U61" s="50"/>
      <c r="V61" s="53"/>
      <c r="W61" s="51"/>
      <c r="X61" s="51"/>
      <c r="Y61" s="52"/>
      <c r="Z61" s="50"/>
      <c r="AA61" s="53"/>
      <c r="AB61" s="51"/>
      <c r="AC61" s="51"/>
      <c r="AD61" s="52"/>
      <c r="AE61" s="50"/>
      <c r="AF61" s="53"/>
      <c r="AG61" s="51"/>
      <c r="AH61" s="51"/>
      <c r="AI61" s="52"/>
      <c r="AJ61" s="1006"/>
      <c r="AK61" s="1003" t="str">
        <f>IFERROR(AK13/AJ13-1, "NM")</f>
        <v>NM</v>
      </c>
      <c r="AL61" s="1003" t="str">
        <f t="shared" ref="AL61:AS61" si="87">IFERROR(AL13/AK13-1, "NM")</f>
        <v>NM</v>
      </c>
      <c r="AM61" s="1003" t="str">
        <f t="shared" si="87"/>
        <v>NM</v>
      </c>
      <c r="AN61" s="1003">
        <f t="shared" si="87"/>
        <v>6.59057925207415</v>
      </c>
      <c r="AO61" s="1003">
        <f t="shared" si="87"/>
        <v>1.7159308523677805</v>
      </c>
      <c r="AP61" s="1003">
        <f t="shared" si="87"/>
        <v>0.92805912033214111</v>
      </c>
      <c r="AQ61" s="1003">
        <f t="shared" si="87"/>
        <v>0.44468793186555922</v>
      </c>
      <c r="AR61" s="1003">
        <f t="shared" si="87"/>
        <v>0.27470530843587704</v>
      </c>
      <c r="AS61" s="1003">
        <f t="shared" si="87"/>
        <v>0.19431943044474598</v>
      </c>
      <c r="AT61" s="63"/>
    </row>
    <row r="62" spans="1:46" x14ac:dyDescent="0.35">
      <c r="A62" s="11" t="s">
        <v>18</v>
      </c>
      <c r="B62" s="53"/>
      <c r="C62" s="51"/>
      <c r="D62" s="51"/>
      <c r="E62" s="52"/>
      <c r="F62" s="50"/>
      <c r="G62" s="51"/>
      <c r="H62" s="51"/>
      <c r="I62" s="51"/>
      <c r="J62" s="51"/>
      <c r="K62" s="50"/>
      <c r="L62" s="53"/>
      <c r="M62" s="51"/>
      <c r="N62" s="51"/>
      <c r="O62" s="52"/>
      <c r="P62" s="50"/>
      <c r="Q62" s="53"/>
      <c r="R62" s="51"/>
      <c r="S62" s="51"/>
      <c r="T62" s="52"/>
      <c r="U62" s="50"/>
      <c r="V62" s="53"/>
      <c r="W62" s="51"/>
      <c r="X62" s="51"/>
      <c r="Y62" s="52"/>
      <c r="Z62" s="50"/>
      <c r="AA62" s="53"/>
      <c r="AB62" s="51"/>
      <c r="AC62" s="51"/>
      <c r="AD62" s="52"/>
      <c r="AE62" s="50"/>
      <c r="AF62" s="53"/>
      <c r="AG62" s="51"/>
      <c r="AH62" s="51"/>
      <c r="AI62" s="52"/>
      <c r="AJ62" s="1006"/>
      <c r="AK62" s="1003" t="str">
        <f>IFERROR(AK14/AJ14-1, "NM")</f>
        <v>NM</v>
      </c>
      <c r="AL62" s="1003" t="str">
        <f t="shared" ref="AL62:AS62" si="88">IFERROR(AL14/AK14-1, "NM")</f>
        <v>NM</v>
      </c>
      <c r="AM62" s="1003" t="str">
        <f t="shared" si="88"/>
        <v>NM</v>
      </c>
      <c r="AN62" s="1003">
        <f t="shared" si="88"/>
        <v>6.59057925207415</v>
      </c>
      <c r="AO62" s="1003">
        <f t="shared" si="88"/>
        <v>1.7159308523677832</v>
      </c>
      <c r="AP62" s="1003">
        <f t="shared" si="88"/>
        <v>0.92805912033213689</v>
      </c>
      <c r="AQ62" s="1003">
        <f t="shared" si="88"/>
        <v>0.44468793186556277</v>
      </c>
      <c r="AR62" s="1003">
        <f t="shared" si="88"/>
        <v>0.27470530843587704</v>
      </c>
      <c r="AS62" s="1003">
        <f t="shared" si="88"/>
        <v>0.1943194304447482</v>
      </c>
      <c r="AT62" s="63"/>
    </row>
    <row r="63" spans="1:46" x14ac:dyDescent="0.35">
      <c r="A63" s="11"/>
      <c r="B63" s="11"/>
      <c r="C63" s="3"/>
      <c r="D63" s="3"/>
      <c r="E63" s="44"/>
      <c r="F63" s="12"/>
      <c r="G63" s="3"/>
      <c r="H63" s="3"/>
      <c r="I63" s="3"/>
      <c r="J63" s="3"/>
      <c r="K63" s="12"/>
      <c r="L63" s="11"/>
      <c r="M63" s="3"/>
      <c r="N63" s="3"/>
      <c r="O63" s="44"/>
      <c r="P63" s="12"/>
      <c r="Q63" s="11"/>
      <c r="R63" s="3"/>
      <c r="S63" s="3"/>
      <c r="T63" s="44"/>
      <c r="U63" s="12"/>
      <c r="V63" s="11"/>
      <c r="W63" s="3"/>
      <c r="X63" s="3"/>
      <c r="Y63" s="44"/>
      <c r="Z63" s="12"/>
      <c r="AA63" s="11"/>
      <c r="AB63" s="3"/>
      <c r="AC63" s="3"/>
      <c r="AD63" s="44"/>
      <c r="AE63" s="12"/>
      <c r="AF63" s="11"/>
      <c r="AG63" s="3"/>
      <c r="AH63" s="3"/>
      <c r="AI63" s="44"/>
      <c r="AJ63" s="1004"/>
      <c r="AK63" s="1004"/>
      <c r="AL63" s="1004"/>
      <c r="AM63" s="1004"/>
      <c r="AN63" s="1005"/>
      <c r="AO63" s="1005"/>
      <c r="AP63" s="1005"/>
      <c r="AQ63" s="1005"/>
      <c r="AR63" s="1005"/>
      <c r="AS63" s="1005"/>
      <c r="AT63" s="63"/>
    </row>
    <row r="64" spans="1:46" x14ac:dyDescent="0.35">
      <c r="A64" s="11" t="s">
        <v>19</v>
      </c>
      <c r="B64" s="53"/>
      <c r="C64" s="51"/>
      <c r="D64" s="51"/>
      <c r="E64" s="52"/>
      <c r="F64" s="50"/>
      <c r="G64" s="51"/>
      <c r="H64" s="51"/>
      <c r="I64" s="51"/>
      <c r="J64" s="51"/>
      <c r="K64" s="50"/>
      <c r="L64" s="53"/>
      <c r="M64" s="51"/>
      <c r="N64" s="51"/>
      <c r="O64" s="52"/>
      <c r="P64" s="50"/>
      <c r="Q64" s="53"/>
      <c r="R64" s="51"/>
      <c r="S64" s="51"/>
      <c r="T64" s="52"/>
      <c r="U64" s="50"/>
      <c r="V64" s="53"/>
      <c r="W64" s="51"/>
      <c r="X64" s="51"/>
      <c r="Y64" s="52"/>
      <c r="Z64" s="50"/>
      <c r="AA64" s="53"/>
      <c r="AB64" s="51"/>
      <c r="AC64" s="51"/>
      <c r="AD64" s="52"/>
      <c r="AE64" s="50"/>
      <c r="AF64" s="53"/>
      <c r="AG64" s="51"/>
      <c r="AH64" s="51"/>
      <c r="AI64" s="52"/>
      <c r="AJ64" s="1006"/>
      <c r="AK64" s="1006">
        <f t="shared" ref="AK64:AS64" si="89">AK16/AJ16-1</f>
        <v>3.0000000000000249E-2</v>
      </c>
      <c r="AL64" s="1006">
        <f t="shared" si="89"/>
        <v>0.38339888701096259</v>
      </c>
      <c r="AM64" s="1006">
        <f t="shared" si="89"/>
        <v>0.4274201596157623</v>
      </c>
      <c r="AN64" s="1007">
        <f t="shared" si="89"/>
        <v>0.20077082198993956</v>
      </c>
      <c r="AO64" s="1007">
        <f t="shared" si="89"/>
        <v>0.14623259493817908</v>
      </c>
      <c r="AP64" s="1007">
        <f t="shared" si="89"/>
        <v>3.3896332780215754E-2</v>
      </c>
      <c r="AQ64" s="1007">
        <f t="shared" si="89"/>
        <v>3.3957020921261627E-2</v>
      </c>
      <c r="AR64" s="1007">
        <f t="shared" si="89"/>
        <v>3.4018418448014787E-2</v>
      </c>
      <c r="AS64" s="1007">
        <f t="shared" si="89"/>
        <v>3.4080526318620796E-2</v>
      </c>
      <c r="AT64" s="63"/>
    </row>
    <row r="65" spans="1:46" x14ac:dyDescent="0.35">
      <c r="A65" s="11" t="s">
        <v>20</v>
      </c>
      <c r="B65" s="53"/>
      <c r="C65" s="51"/>
      <c r="D65" s="51"/>
      <c r="E65" s="52"/>
      <c r="F65" s="50"/>
      <c r="G65" s="51"/>
      <c r="H65" s="51"/>
      <c r="I65" s="51"/>
      <c r="J65" s="51"/>
      <c r="K65" s="50"/>
      <c r="L65" s="53"/>
      <c r="M65" s="51"/>
      <c r="N65" s="51"/>
      <c r="O65" s="52"/>
      <c r="P65" s="50"/>
      <c r="Q65" s="53"/>
      <c r="R65" s="51"/>
      <c r="S65" s="51"/>
      <c r="T65" s="52"/>
      <c r="U65" s="50"/>
      <c r="V65" s="53"/>
      <c r="W65" s="51"/>
      <c r="X65" s="51"/>
      <c r="Y65" s="52"/>
      <c r="Z65" s="50"/>
      <c r="AA65" s="53"/>
      <c r="AB65" s="51"/>
      <c r="AC65" s="51"/>
      <c r="AD65" s="52"/>
      <c r="AE65" s="50"/>
      <c r="AF65" s="53"/>
      <c r="AG65" s="51"/>
      <c r="AH65" s="51"/>
      <c r="AI65" s="52"/>
      <c r="AJ65" s="1006"/>
      <c r="AK65" s="1006">
        <f t="shared" ref="AK65:AS65" si="90">AK18/AJ18-1</f>
        <v>3.9428032683846759E-2</v>
      </c>
      <c r="AL65" s="1006">
        <f t="shared" si="90"/>
        <v>0.10079692573757493</v>
      </c>
      <c r="AM65" s="1006">
        <f t="shared" si="90"/>
        <v>-9.4366842854858413E-2</v>
      </c>
      <c r="AN65" s="1007">
        <f t="shared" si="90"/>
        <v>-7.3358325066987473E-2</v>
      </c>
      <c r="AO65" s="1007">
        <f t="shared" si="90"/>
        <v>-4.5866051257589358E-2</v>
      </c>
      <c r="AP65" s="1007">
        <f t="shared" si="90"/>
        <v>2.1149976868392262E-2</v>
      </c>
      <c r="AQ65" s="1007">
        <f t="shared" si="90"/>
        <v>2.1333277841568021E-2</v>
      </c>
      <c r="AR65" s="1007">
        <f t="shared" si="90"/>
        <v>2.151430551959721E-2</v>
      </c>
      <c r="AS65" s="1007">
        <f t="shared" si="90"/>
        <v>2.1693024332060995E-2</v>
      </c>
      <c r="AT65" s="63"/>
    </row>
    <row r="66" spans="1:46" x14ac:dyDescent="0.35">
      <c r="A66" s="11" t="s">
        <v>22</v>
      </c>
      <c r="B66" s="53"/>
      <c r="C66" s="51"/>
      <c r="D66" s="51"/>
      <c r="E66" s="52"/>
      <c r="F66" s="50"/>
      <c r="G66" s="51"/>
      <c r="H66" s="51"/>
      <c r="I66" s="51"/>
      <c r="J66" s="51"/>
      <c r="K66" s="50"/>
      <c r="L66" s="53"/>
      <c r="M66" s="51"/>
      <c r="N66" s="51"/>
      <c r="O66" s="52"/>
      <c r="P66" s="50"/>
      <c r="Q66" s="53"/>
      <c r="R66" s="51"/>
      <c r="S66" s="51"/>
      <c r="T66" s="52"/>
      <c r="U66" s="50"/>
      <c r="V66" s="53"/>
      <c r="W66" s="51"/>
      <c r="X66" s="51"/>
      <c r="Y66" s="52"/>
      <c r="Z66" s="50"/>
      <c r="AA66" s="53"/>
      <c r="AB66" s="51"/>
      <c r="AC66" s="51"/>
      <c r="AD66" s="52"/>
      <c r="AE66" s="50"/>
      <c r="AF66" s="53"/>
      <c r="AG66" s="51"/>
      <c r="AH66" s="51"/>
      <c r="AI66" s="52"/>
      <c r="AJ66" s="1006"/>
      <c r="AK66" s="1006">
        <f t="shared" ref="AK66:AS66" si="91">AK24/AJ24-1</f>
        <v>3.6931608133087046E-2</v>
      </c>
      <c r="AL66" s="1006">
        <f t="shared" si="91"/>
        <v>0.17512615829664147</v>
      </c>
      <c r="AM66" s="1006">
        <f t="shared" si="91"/>
        <v>7.9799924876851058E-3</v>
      </c>
      <c r="AN66" s="1007">
        <f t="shared" si="91"/>
        <v>-0.34464454168530689</v>
      </c>
      <c r="AO66" s="1007">
        <f t="shared" si="91"/>
        <v>-1.0903125681913282</v>
      </c>
      <c r="AP66" s="1007">
        <f t="shared" si="91"/>
        <v>18.448586047925062</v>
      </c>
      <c r="AQ66" s="1007">
        <f t="shared" si="91"/>
        <v>0.87328673315005534</v>
      </c>
      <c r="AR66" s="1007">
        <f t="shared" si="91"/>
        <v>0.41387233351619179</v>
      </c>
      <c r="AS66" s="1007">
        <f t="shared" si="91"/>
        <v>0.26246205975394066</v>
      </c>
      <c r="AT66" s="63"/>
    </row>
    <row r="67" spans="1:46" x14ac:dyDescent="0.35">
      <c r="A67" s="11"/>
      <c r="B67" s="53"/>
      <c r="C67" s="51"/>
      <c r="D67" s="51"/>
      <c r="E67" s="52"/>
      <c r="F67" s="12"/>
      <c r="G67" s="51"/>
      <c r="H67" s="51"/>
      <c r="I67" s="51"/>
      <c r="J67" s="51"/>
      <c r="K67" s="12"/>
      <c r="L67" s="11"/>
      <c r="M67" s="3"/>
      <c r="N67" s="3"/>
      <c r="O67" s="44"/>
      <c r="P67" s="12"/>
      <c r="Q67" s="11"/>
      <c r="R67" s="3"/>
      <c r="S67" s="3"/>
      <c r="T67" s="44"/>
      <c r="U67" s="12"/>
      <c r="V67" s="11"/>
      <c r="W67" s="3"/>
      <c r="X67" s="3"/>
      <c r="Y67" s="44"/>
      <c r="Z67" s="12"/>
      <c r="AA67" s="11"/>
      <c r="AB67" s="3"/>
      <c r="AC67" s="3"/>
      <c r="AD67" s="44"/>
      <c r="AE67" s="12"/>
      <c r="AF67" s="11"/>
      <c r="AG67" s="3"/>
      <c r="AH67" s="3"/>
      <c r="AI67" s="44"/>
      <c r="AJ67" s="1004"/>
      <c r="AK67" s="1004"/>
      <c r="AL67" s="1004"/>
      <c r="AM67" s="1004"/>
      <c r="AN67" s="1005"/>
      <c r="AO67" s="1005"/>
      <c r="AP67" s="1005"/>
      <c r="AQ67" s="1005"/>
      <c r="AR67" s="1005"/>
      <c r="AS67" s="1005"/>
      <c r="AT67" s="63"/>
    </row>
    <row r="68" spans="1:46" x14ac:dyDescent="0.35">
      <c r="A68" s="54" t="s">
        <v>24</v>
      </c>
      <c r="B68" s="53"/>
      <c r="C68" s="51"/>
      <c r="D68" s="51"/>
      <c r="E68" s="52"/>
      <c r="F68" s="50"/>
      <c r="G68" s="51"/>
      <c r="H68" s="51"/>
      <c r="I68" s="51"/>
      <c r="J68" s="51"/>
      <c r="K68" s="50"/>
      <c r="L68" s="53"/>
      <c r="M68" s="51"/>
      <c r="N68" s="51"/>
      <c r="O68" s="52"/>
      <c r="P68" s="50"/>
      <c r="Q68" s="53"/>
      <c r="R68" s="51"/>
      <c r="S68" s="51"/>
      <c r="T68" s="52"/>
      <c r="U68" s="50"/>
      <c r="V68" s="53"/>
      <c r="W68" s="51"/>
      <c r="X68" s="51"/>
      <c r="Y68" s="52"/>
      <c r="Z68" s="50"/>
      <c r="AA68" s="53"/>
      <c r="AB68" s="51"/>
      <c r="AC68" s="51"/>
      <c r="AD68" s="52"/>
      <c r="AE68" s="50"/>
      <c r="AF68" s="53"/>
      <c r="AG68" s="51"/>
      <c r="AH68" s="51"/>
      <c r="AI68" s="52"/>
      <c r="AJ68" s="1006"/>
      <c r="AK68" s="1006">
        <f t="shared" ref="AK68" si="92">AK31/AJ31-1</f>
        <v>3.8720930232558404E-2</v>
      </c>
      <c r="AL68" s="1006">
        <f t="shared" ref="AL68" si="93">AL31/AK31-1</f>
        <v>0.18189535482900454</v>
      </c>
      <c r="AM68" s="1006">
        <f t="shared" ref="AM68" si="94">AM31/AL31-1</f>
        <v>7.0849017027323491E-3</v>
      </c>
      <c r="AN68" s="1007">
        <f t="shared" ref="AN68" si="95">AN31/AM31-1</f>
        <v>-0.3602199762472772</v>
      </c>
      <c r="AO68" s="1007">
        <f t="shared" ref="AO68" si="96">AO31/AN31-1</f>
        <v>-1.1652962083758442</v>
      </c>
      <c r="AP68" s="1007">
        <f t="shared" ref="AP68" si="97">AP31/AO31-1</f>
        <v>10.766875612074724</v>
      </c>
      <c r="AQ68" s="1007">
        <f t="shared" ref="AQ68" si="98">AQ31/AP31-1</f>
        <v>0.84250075370892574</v>
      </c>
      <c r="AR68" s="1007">
        <f t="shared" ref="AR68" si="99">AR31/AQ31-1</f>
        <v>0.40603814405369176</v>
      </c>
      <c r="AS68" s="1007">
        <f t="shared" ref="AS68" si="100">AS31/AR31-1</f>
        <v>0.25898670245113342</v>
      </c>
      <c r="AT68" s="63"/>
    </row>
    <row r="69" spans="1:46" ht="15" thickBot="1" x14ac:dyDescent="0.4">
      <c r="A69" s="55" t="s">
        <v>27</v>
      </c>
      <c r="B69" s="58"/>
      <c r="C69" s="56"/>
      <c r="D69" s="56"/>
      <c r="E69" s="59"/>
      <c r="F69" s="57"/>
      <c r="G69" s="56"/>
      <c r="H69" s="56"/>
      <c r="I69" s="56"/>
      <c r="J69" s="56"/>
      <c r="K69" s="57"/>
      <c r="L69" s="58"/>
      <c r="M69" s="56"/>
      <c r="N69" s="56"/>
      <c r="O69" s="59"/>
      <c r="P69" s="57"/>
      <c r="Q69" s="58"/>
      <c r="R69" s="56"/>
      <c r="S69" s="56"/>
      <c r="T69" s="59"/>
      <c r="U69" s="57"/>
      <c r="V69" s="58"/>
      <c r="W69" s="56"/>
      <c r="X69" s="56"/>
      <c r="Y69" s="59"/>
      <c r="Z69" s="57"/>
      <c r="AA69" s="58"/>
      <c r="AB69" s="56"/>
      <c r="AC69" s="56"/>
      <c r="AD69" s="59"/>
      <c r="AE69" s="57"/>
      <c r="AF69" s="58"/>
      <c r="AG69" s="56"/>
      <c r="AH69" s="56"/>
      <c r="AI69" s="59"/>
      <c r="AJ69" s="1010"/>
      <c r="AK69" s="1010">
        <f t="shared" ref="AK69" si="101">AK35/AJ35-1</f>
        <v>3.8720930232558404E-2</v>
      </c>
      <c r="AL69" s="1010">
        <f t="shared" ref="AL69" si="102">AL35/AK35-1</f>
        <v>0.18189535482900454</v>
      </c>
      <c r="AM69" s="1010">
        <f t="shared" ref="AM69" si="103">AM35/AL35-1</f>
        <v>7.0849017027323491E-3</v>
      </c>
      <c r="AN69" s="1011">
        <f t="shared" ref="AN69" si="104">AN35/AM35-1</f>
        <v>-0.3602199762472772</v>
      </c>
      <c r="AO69" s="1011">
        <f t="shared" ref="AO69" si="105">AO35/AN35-1</f>
        <v>-1.1652962083758442</v>
      </c>
      <c r="AP69" s="1011">
        <f t="shared" ref="AP69" si="106">AP35/AO35-1</f>
        <v>10.178531831470988</v>
      </c>
      <c r="AQ69" s="1011">
        <f t="shared" ref="AQ69" si="107">AQ35/AP35-1</f>
        <v>0.74552702982950869</v>
      </c>
      <c r="AR69" s="1011">
        <f t="shared" ref="AR69" si="108">AR35/AQ35-1</f>
        <v>0.2341890375582405</v>
      </c>
      <c r="AS69" s="1011">
        <f t="shared" ref="AS69" si="109">AS35/AR35-1</f>
        <v>0.25898670245113342</v>
      </c>
      <c r="AT69" s="63"/>
    </row>
    <row r="70" spans="1:46" x14ac:dyDescent="0.35">
      <c r="A70" s="95" t="s">
        <v>73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3"/>
      <c r="O70" s="2"/>
      <c r="P70" s="2"/>
      <c r="Q70" s="2"/>
      <c r="R70" s="3"/>
      <c r="S70" s="3"/>
      <c r="T70" s="2"/>
      <c r="U70" s="2"/>
      <c r="V70" s="2"/>
      <c r="W70" s="3"/>
      <c r="X70" s="3"/>
      <c r="Y70" s="2"/>
      <c r="Z70" s="2"/>
      <c r="AA70" s="3"/>
      <c r="AB70" s="3"/>
      <c r="AC70" s="3"/>
      <c r="AD70" s="3"/>
      <c r="AE70" s="2"/>
      <c r="AF70" s="3"/>
      <c r="AG70" s="3"/>
      <c r="AH70" s="3"/>
      <c r="AI70" s="3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63"/>
    </row>
    <row r="71" spans="1:46" x14ac:dyDescent="0.35">
      <c r="A71" s="4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3"/>
      <c r="N71" s="3"/>
      <c r="O71" s="2"/>
      <c r="P71" s="2"/>
      <c r="Q71" s="2"/>
      <c r="R71" s="3"/>
      <c r="S71" s="3"/>
      <c r="T71" s="2"/>
      <c r="U71" s="2"/>
      <c r="V71" s="2"/>
      <c r="W71" s="3"/>
      <c r="X71" s="3"/>
      <c r="Y71" s="2"/>
      <c r="Z71" s="2"/>
      <c r="AA71" s="3"/>
      <c r="AB71" s="3"/>
      <c r="AC71" s="3"/>
      <c r="AD71" s="3"/>
      <c r="AE71" s="2"/>
      <c r="AF71" s="3"/>
      <c r="AG71" s="3"/>
      <c r="AH71" s="3"/>
      <c r="AI71" s="3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63"/>
    </row>
  </sheetData>
  <pageMargins left="0.7" right="0.7" top="0.75" bottom="0.75" header="0.3" footer="0.3"/>
  <pageSetup scale="4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FD50-62A3-4887-8BED-84B4ABFD7271}">
  <dimension ref="A1:AE102"/>
  <sheetViews>
    <sheetView zoomScale="70" zoomScaleNormal="70" workbookViewId="0">
      <pane xSplit="1" ySplit="3" topLeftCell="M4" activePane="bottomRight" state="frozen"/>
      <selection pane="topRight" activeCell="B1" sqref="B1"/>
      <selection pane="bottomLeft" activeCell="A4" sqref="A4"/>
      <selection pane="bottomRight" activeCell="U50" sqref="U50"/>
    </sheetView>
  </sheetViews>
  <sheetFormatPr defaultRowHeight="14.5" outlineLevelRow="1" outlineLevelCol="1" x14ac:dyDescent="0.35"/>
  <cols>
    <col min="1" max="1" width="44" customWidth="1"/>
    <col min="2" max="5" width="8.81640625" hidden="1" customWidth="1" outlineLevel="1"/>
    <col min="6" max="6" width="0" hidden="1" customWidth="1" collapsed="1"/>
    <col min="7" max="10" width="8.81640625" hidden="1" customWidth="1" outlineLevel="1"/>
    <col min="11" max="14" width="9.81640625" style="94" customWidth="1" outlineLevel="1"/>
    <col min="15" max="15" width="9.81640625" customWidth="1"/>
    <col min="16" max="19" width="9.81640625" style="94" customWidth="1" outlineLevel="1"/>
    <col min="20" max="29" width="9.81640625" customWidth="1"/>
  </cols>
  <sheetData>
    <row r="1" spans="1:31" x14ac:dyDescent="0.35">
      <c r="A1" s="100" t="s">
        <v>436</v>
      </c>
      <c r="B1" s="101"/>
      <c r="C1" s="101"/>
      <c r="D1" s="101"/>
      <c r="E1" s="101"/>
      <c r="F1" s="101"/>
      <c r="G1" s="101"/>
      <c r="H1" s="101"/>
      <c r="I1" s="101"/>
      <c r="J1" s="101"/>
      <c r="K1" s="102"/>
      <c r="L1" s="102"/>
      <c r="M1" s="102"/>
      <c r="N1" s="102"/>
      <c r="O1" s="101"/>
      <c r="P1" s="102"/>
      <c r="Q1" s="102"/>
      <c r="R1" s="102"/>
      <c r="S1" s="102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E1">
        <f>SOTP!R14</f>
        <v>37.175346474533157</v>
      </c>
    </row>
    <row r="2" spans="1:31" ht="15" thickBot="1" x14ac:dyDescent="0.4">
      <c r="A2" s="103" t="s">
        <v>1</v>
      </c>
      <c r="B2" s="175"/>
      <c r="C2" s="175"/>
      <c r="D2" s="175"/>
      <c r="E2" s="175"/>
      <c r="F2" s="101"/>
      <c r="G2" s="175"/>
      <c r="H2" s="175"/>
      <c r="I2" s="175"/>
      <c r="J2" s="175"/>
      <c r="K2" s="102"/>
      <c r="L2" s="102"/>
      <c r="M2" s="102"/>
      <c r="N2" s="102"/>
      <c r="O2" s="101"/>
      <c r="P2" s="102"/>
      <c r="Q2" s="102"/>
      <c r="R2" s="102"/>
      <c r="S2" s="102"/>
      <c r="T2" s="101"/>
      <c r="U2" s="101"/>
      <c r="V2" s="101"/>
      <c r="W2" s="101"/>
      <c r="X2" s="101"/>
      <c r="Y2" s="101"/>
      <c r="Z2" s="101"/>
      <c r="AA2" s="101"/>
      <c r="AB2" s="101"/>
      <c r="AC2" s="101"/>
    </row>
    <row r="3" spans="1:31" ht="15" thickBot="1" x14ac:dyDescent="0.4">
      <c r="A3" s="101"/>
      <c r="B3" s="107" t="str">
        <f>IS!B4</f>
        <v>1Q19A</v>
      </c>
      <c r="C3" s="105" t="str">
        <f>IS!C4</f>
        <v>2Q19A</v>
      </c>
      <c r="D3" s="105" t="str">
        <f>IS!D4</f>
        <v>3Q19A</v>
      </c>
      <c r="E3" s="108" t="str">
        <f>IS!E4</f>
        <v>4Q19A</v>
      </c>
      <c r="F3" s="106" t="str">
        <f>IS!F4</f>
        <v>2019A</v>
      </c>
      <c r="G3" s="176" t="str">
        <f>IS!G4</f>
        <v>1Q20A</v>
      </c>
      <c r="H3" s="177" t="str">
        <f>IS!H4</f>
        <v>2Q20A</v>
      </c>
      <c r="I3" s="177" t="str">
        <f>IS!I4</f>
        <v>3Q20A</v>
      </c>
      <c r="J3" s="178" t="str">
        <f>IS!J4</f>
        <v>4Q20A</v>
      </c>
      <c r="K3" s="107" t="str">
        <f>IS!AA4</f>
        <v>1Q25A</v>
      </c>
      <c r="L3" s="105" t="str">
        <f>IS!AB4</f>
        <v>2Q25A</v>
      </c>
      <c r="M3" s="105" t="str">
        <f>IS!AC4</f>
        <v>3Q25A</v>
      </c>
      <c r="N3" s="108" t="str">
        <f>IS!AD4</f>
        <v>4Q25A</v>
      </c>
      <c r="O3" s="107" t="str">
        <f>IS!AE4</f>
        <v>2025A</v>
      </c>
      <c r="P3" s="107" t="str">
        <f>IS!AF4</f>
        <v>1Q26E</v>
      </c>
      <c r="Q3" s="105" t="str">
        <f>IS!AG4</f>
        <v>2Q26E</v>
      </c>
      <c r="R3" s="105" t="str">
        <f>IS!AH4</f>
        <v>3Q26E</v>
      </c>
      <c r="S3" s="108" t="str">
        <f>IS!AI4</f>
        <v>4Q26E</v>
      </c>
      <c r="T3" s="107" t="str">
        <f>IS!AJ4</f>
        <v>2026E</v>
      </c>
      <c r="U3" s="106" t="str">
        <f>IS!AK4</f>
        <v>2027E</v>
      </c>
      <c r="V3" s="106" t="str">
        <f>IS!AL4</f>
        <v>2028E</v>
      </c>
      <c r="W3" s="106" t="str">
        <f>IS!AM4</f>
        <v>2029E</v>
      </c>
      <c r="X3" s="106" t="str">
        <f>IS!AN4</f>
        <v>2030E</v>
      </c>
      <c r="Y3" s="106" t="str">
        <f>IS!AO4</f>
        <v>2031E</v>
      </c>
      <c r="Z3" s="106" t="str">
        <f>IS!AP4</f>
        <v>2032E</v>
      </c>
      <c r="AA3" s="106" t="str">
        <f>IS!AQ4</f>
        <v>2033E</v>
      </c>
      <c r="AB3" s="106" t="str">
        <f>IS!AR4</f>
        <v>2034E</v>
      </c>
      <c r="AC3" s="106" t="str">
        <f>IS!AS4</f>
        <v>2035E</v>
      </c>
    </row>
    <row r="4" spans="1:31" ht="15" thickBot="1" x14ac:dyDescent="0.4">
      <c r="A4" s="101"/>
      <c r="B4" s="110"/>
      <c r="C4" s="111"/>
      <c r="D4" s="111"/>
      <c r="E4" s="112"/>
      <c r="F4" s="179"/>
      <c r="G4" s="110"/>
      <c r="H4" s="111"/>
      <c r="I4" s="111"/>
      <c r="J4" s="112"/>
      <c r="K4" s="211"/>
      <c r="L4" s="212"/>
      <c r="M4" s="212"/>
      <c r="N4" s="256"/>
      <c r="O4" s="180"/>
      <c r="P4" s="211"/>
      <c r="Q4" s="212"/>
      <c r="R4" s="212"/>
      <c r="S4" s="256"/>
      <c r="T4" s="180"/>
      <c r="U4" s="180"/>
      <c r="V4" s="180"/>
      <c r="W4" s="180"/>
      <c r="X4" s="180"/>
      <c r="Y4" s="180"/>
      <c r="Z4" s="180"/>
      <c r="AA4" s="180"/>
      <c r="AB4" s="180"/>
      <c r="AC4" s="180"/>
    </row>
    <row r="5" spans="1:31" ht="15" thickBot="1" x14ac:dyDescent="0.4">
      <c r="A5" s="181" t="s">
        <v>79</v>
      </c>
      <c r="B5" s="117"/>
      <c r="C5" s="102"/>
      <c r="D5" s="102"/>
      <c r="E5" s="118"/>
      <c r="F5" s="102"/>
      <c r="G5" s="117"/>
      <c r="H5" s="102"/>
      <c r="I5" s="102"/>
      <c r="J5" s="118"/>
      <c r="K5" s="117"/>
      <c r="L5" s="102"/>
      <c r="M5" s="102"/>
      <c r="N5" s="118"/>
      <c r="O5" s="113"/>
      <c r="P5" s="117"/>
      <c r="Q5" s="102"/>
      <c r="R5" s="102"/>
      <c r="S5" s="118"/>
      <c r="T5" s="113"/>
      <c r="U5" s="113"/>
      <c r="V5" s="113"/>
      <c r="W5" s="113"/>
      <c r="X5" s="113"/>
      <c r="Y5" s="113"/>
      <c r="Z5" s="113"/>
      <c r="AA5" s="113"/>
      <c r="AB5" s="113"/>
      <c r="AC5" s="113"/>
    </row>
    <row r="6" spans="1:31" x14ac:dyDescent="0.35">
      <c r="A6" s="185"/>
      <c r="B6" s="182"/>
      <c r="C6" s="179"/>
      <c r="D6" s="179"/>
      <c r="E6" s="183"/>
      <c r="F6" s="179"/>
      <c r="G6" s="182"/>
      <c r="H6" s="179"/>
      <c r="I6" s="179"/>
      <c r="J6" s="183"/>
      <c r="K6" s="881"/>
      <c r="L6" s="882"/>
      <c r="M6" s="882"/>
      <c r="N6" s="883"/>
      <c r="O6" s="276"/>
      <c r="P6" s="881"/>
      <c r="Q6" s="882"/>
      <c r="R6" s="882"/>
      <c r="S6" s="883"/>
      <c r="T6" s="276"/>
      <c r="U6" s="276"/>
      <c r="V6" s="276"/>
      <c r="W6" s="276"/>
      <c r="X6" s="276"/>
      <c r="Y6" s="276"/>
      <c r="Z6" s="276"/>
      <c r="AA6" s="276"/>
      <c r="AB6" s="276"/>
      <c r="AC6" s="276"/>
    </row>
    <row r="7" spans="1:31" x14ac:dyDescent="0.35">
      <c r="A7" s="752" t="s">
        <v>443</v>
      </c>
      <c r="B7" s="192"/>
      <c r="C7" s="189"/>
      <c r="D7" s="189"/>
      <c r="E7" s="190"/>
      <c r="F7" s="756">
        <v>13.895</v>
      </c>
      <c r="G7" s="123">
        <v>1.6679999999999999</v>
      </c>
      <c r="H7" s="124">
        <v>1.728</v>
      </c>
      <c r="I7" s="124">
        <v>0.79400000000000004</v>
      </c>
      <c r="J7" s="757">
        <v>1.3</v>
      </c>
      <c r="K7" s="125"/>
      <c r="L7" s="125"/>
      <c r="M7" s="148">
        <v>11.914999999999999</v>
      </c>
      <c r="N7" s="886">
        <v>20</v>
      </c>
      <c r="O7" s="989">
        <v>53.460999999999999</v>
      </c>
      <c r="P7" s="664">
        <v>15</v>
      </c>
      <c r="Q7" s="148">
        <v>16</v>
      </c>
      <c r="R7" s="148">
        <v>18</v>
      </c>
      <c r="S7" s="149">
        <v>20</v>
      </c>
      <c r="T7" s="617">
        <f>SUM(P7:S7)</f>
        <v>69</v>
      </c>
      <c r="U7" s="617">
        <f t="shared" ref="U7" si="0">T7*1.03</f>
        <v>71.070000000000007</v>
      </c>
      <c r="V7" s="676">
        <v>85</v>
      </c>
      <c r="W7" s="676">
        <v>65</v>
      </c>
      <c r="X7" s="676">
        <v>50</v>
      </c>
      <c r="Y7" s="676">
        <v>40</v>
      </c>
      <c r="Z7" s="617">
        <f>Y7</f>
        <v>40</v>
      </c>
      <c r="AA7" s="617">
        <f t="shared" ref="AA7" si="1">Z7</f>
        <v>40</v>
      </c>
      <c r="AB7" s="617">
        <f t="shared" ref="AB7" si="2">AA7</f>
        <v>40</v>
      </c>
      <c r="AC7" s="617">
        <f t="shared" ref="AC7" si="3">AB7</f>
        <v>40</v>
      </c>
    </row>
    <row r="8" spans="1:31" x14ac:dyDescent="0.35">
      <c r="A8" s="752" t="s">
        <v>440</v>
      </c>
      <c r="B8" s="192"/>
      <c r="C8" s="189"/>
      <c r="D8" s="189"/>
      <c r="E8" s="190"/>
      <c r="F8" s="775" t="e">
        <f>F7-#REF!-#REF!</f>
        <v>#REF!</v>
      </c>
      <c r="G8" s="195" t="e">
        <f>G7-#REF!-#REF!</f>
        <v>#REF!</v>
      </c>
      <c r="H8" s="193" t="e">
        <f>H7-#REF!-#REF!</f>
        <v>#REF!</v>
      </c>
      <c r="I8" s="193" t="e">
        <f>I7-#REF!-#REF!</f>
        <v>#REF!</v>
      </c>
      <c r="J8" s="194" t="e">
        <f>J7-#REF!-#REF!</f>
        <v>#REF!</v>
      </c>
      <c r="K8" s="697"/>
      <c r="L8" s="672"/>
      <c r="M8" s="147">
        <v>4.1749999999999998</v>
      </c>
      <c r="N8" s="885">
        <v>8</v>
      </c>
      <c r="O8" s="989">
        <v>18.265999999999998</v>
      </c>
      <c r="P8" s="664">
        <v>5</v>
      </c>
      <c r="Q8" s="148">
        <v>4</v>
      </c>
      <c r="R8" s="148">
        <v>3</v>
      </c>
      <c r="S8" s="149">
        <v>3</v>
      </c>
      <c r="T8" s="617">
        <f>SUM(P8:S8)</f>
        <v>15</v>
      </c>
      <c r="U8" s="676">
        <v>3</v>
      </c>
      <c r="V8" s="676">
        <v>3</v>
      </c>
      <c r="W8" s="617">
        <f t="shared" ref="W8:AC8" si="4">V8</f>
        <v>3</v>
      </c>
      <c r="X8" s="617">
        <f t="shared" si="4"/>
        <v>3</v>
      </c>
      <c r="Y8" s="617">
        <f t="shared" si="4"/>
        <v>3</v>
      </c>
      <c r="Z8" s="617">
        <f t="shared" si="4"/>
        <v>3</v>
      </c>
      <c r="AA8" s="617">
        <f t="shared" si="4"/>
        <v>3</v>
      </c>
      <c r="AB8" s="617">
        <f t="shared" si="4"/>
        <v>3</v>
      </c>
      <c r="AC8" s="617">
        <f t="shared" si="4"/>
        <v>3</v>
      </c>
    </row>
    <row r="9" spans="1:31" x14ac:dyDescent="0.35">
      <c r="A9" s="752" t="s">
        <v>285</v>
      </c>
      <c r="B9" s="192"/>
      <c r="C9" s="189"/>
      <c r="D9" s="189"/>
      <c r="E9" s="190"/>
      <c r="F9" s="756">
        <v>2.4430000000000001</v>
      </c>
      <c r="G9" s="123">
        <v>0.505</v>
      </c>
      <c r="H9" s="124">
        <v>0.35099999999999998</v>
      </c>
      <c r="I9" s="124">
        <v>-0.44400000000000001</v>
      </c>
      <c r="J9" s="757">
        <v>0.3</v>
      </c>
      <c r="K9" s="129"/>
      <c r="L9" s="125"/>
      <c r="M9" s="148">
        <v>2.7919999999999998</v>
      </c>
      <c r="N9" s="885">
        <v>5</v>
      </c>
      <c r="O9" s="989">
        <v>10.420999999999999</v>
      </c>
      <c r="P9" s="664">
        <v>12</v>
      </c>
      <c r="Q9" s="148">
        <v>10</v>
      </c>
      <c r="R9" s="148">
        <v>5</v>
      </c>
      <c r="S9" s="149">
        <v>5</v>
      </c>
      <c r="T9" s="617">
        <f>SUM(P9:S9)</f>
        <v>32</v>
      </c>
      <c r="U9" s="676">
        <f>S9*4*1.03</f>
        <v>20.6</v>
      </c>
      <c r="V9" s="617">
        <f>U9*1.03</f>
        <v>21.218000000000004</v>
      </c>
      <c r="W9" s="617">
        <f t="shared" ref="W9:AC9" si="5">V9*1.03</f>
        <v>21.854540000000004</v>
      </c>
      <c r="X9" s="617">
        <f t="shared" si="5"/>
        <v>22.510176200000004</v>
      </c>
      <c r="Y9" s="617">
        <f t="shared" si="5"/>
        <v>23.185481486000004</v>
      </c>
      <c r="Z9" s="617">
        <f t="shared" si="5"/>
        <v>23.881045930580004</v>
      </c>
      <c r="AA9" s="617">
        <f t="shared" si="5"/>
        <v>24.597477308497407</v>
      </c>
      <c r="AB9" s="617">
        <f t="shared" si="5"/>
        <v>25.335401627752329</v>
      </c>
      <c r="AC9" s="617">
        <f t="shared" si="5"/>
        <v>26.095463676584899</v>
      </c>
    </row>
    <row r="10" spans="1:31" x14ac:dyDescent="0.35">
      <c r="A10" s="185"/>
      <c r="B10" s="192"/>
      <c r="C10" s="189"/>
      <c r="D10" s="189"/>
      <c r="E10" s="190"/>
      <c r="F10" s="755"/>
      <c r="G10" s="146"/>
      <c r="H10" s="147"/>
      <c r="I10" s="147"/>
      <c r="J10" s="190"/>
      <c r="K10" s="664"/>
      <c r="L10" s="148"/>
      <c r="M10" s="148"/>
      <c r="N10" s="148"/>
      <c r="O10" s="275"/>
      <c r="P10" s="863"/>
      <c r="Q10" s="885"/>
      <c r="R10" s="885"/>
      <c r="S10" s="886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</row>
    <row r="11" spans="1:31" x14ac:dyDescent="0.35">
      <c r="A11" s="752" t="s">
        <v>442</v>
      </c>
      <c r="B11" s="192"/>
      <c r="C11" s="189"/>
      <c r="D11" s="189"/>
      <c r="E11" s="190"/>
      <c r="F11" s="755"/>
      <c r="G11" s="123">
        <v>0.23699999999999999</v>
      </c>
      <c r="H11" s="124">
        <v>0.46600000000000003</v>
      </c>
      <c r="I11" s="124">
        <v>1.8759999999999999</v>
      </c>
      <c r="J11" s="698" t="e">
        <f>#REF!-G11-H11-I11</f>
        <v>#REF!</v>
      </c>
      <c r="K11" s="129"/>
      <c r="L11" s="125"/>
      <c r="M11" s="148">
        <v>7.0430000000000001</v>
      </c>
      <c r="N11" s="885">
        <v>30</v>
      </c>
      <c r="O11" s="989">
        <v>51.061999999999998</v>
      </c>
      <c r="P11" s="664">
        <v>5</v>
      </c>
      <c r="Q11" s="148">
        <v>5</v>
      </c>
      <c r="R11" s="148">
        <v>5.05</v>
      </c>
      <c r="S11" s="149">
        <v>5.05</v>
      </c>
      <c r="T11" s="617">
        <f>SUM(P11:S11)</f>
        <v>20.100000000000001</v>
      </c>
      <c r="U11" s="617">
        <f t="shared" ref="U11:AC12" si="6">T11*1.03</f>
        <v>20.703000000000003</v>
      </c>
      <c r="V11" s="617">
        <f t="shared" si="6"/>
        <v>21.324090000000005</v>
      </c>
      <c r="W11" s="617">
        <f t="shared" si="6"/>
        <v>21.963812700000005</v>
      </c>
      <c r="X11" s="617">
        <f t="shared" si="6"/>
        <v>22.622727081000008</v>
      </c>
      <c r="Y11" s="617">
        <f t="shared" si="6"/>
        <v>23.301408893430008</v>
      </c>
      <c r="Z11" s="617">
        <f t="shared" si="6"/>
        <v>24.00045116023291</v>
      </c>
      <c r="AA11" s="617">
        <f t="shared" si="6"/>
        <v>24.720464695039897</v>
      </c>
      <c r="AB11" s="617">
        <f t="shared" si="6"/>
        <v>25.462078635891096</v>
      </c>
      <c r="AC11" s="617">
        <f t="shared" si="6"/>
        <v>26.225940994967829</v>
      </c>
    </row>
    <row r="12" spans="1:31" x14ac:dyDescent="0.35">
      <c r="A12" s="752" t="s">
        <v>441</v>
      </c>
      <c r="B12" s="192"/>
      <c r="C12" s="189"/>
      <c r="D12" s="189"/>
      <c r="E12" s="190"/>
      <c r="F12" s="756">
        <v>12.196999999999999</v>
      </c>
      <c r="G12" s="123">
        <v>2.7360000000000002</v>
      </c>
      <c r="H12" s="124">
        <v>1.1020000000000001</v>
      </c>
      <c r="I12" s="124">
        <v>0.97499999999999998</v>
      </c>
      <c r="J12" s="757">
        <v>1.2</v>
      </c>
      <c r="K12" s="129"/>
      <c r="L12" s="125"/>
      <c r="M12" s="148">
        <v>1.169</v>
      </c>
      <c r="N12" s="991">
        <f>N13-SUM(N7:N11)</f>
        <v>1.6230000000000047</v>
      </c>
      <c r="O12" s="989">
        <v>5.1390000000000002</v>
      </c>
      <c r="P12" s="664">
        <v>5</v>
      </c>
      <c r="Q12" s="148">
        <v>5.5</v>
      </c>
      <c r="R12" s="148">
        <v>6</v>
      </c>
      <c r="S12" s="149">
        <v>6.5</v>
      </c>
      <c r="T12" s="617">
        <f>SUM(P12:S12)</f>
        <v>23</v>
      </c>
      <c r="U12" s="617">
        <v>50</v>
      </c>
      <c r="V12" s="617">
        <f t="shared" si="6"/>
        <v>51.5</v>
      </c>
      <c r="W12" s="617">
        <f t="shared" si="6"/>
        <v>53.045000000000002</v>
      </c>
      <c r="X12" s="617">
        <f t="shared" ref="X12" si="7">W12*1.03</f>
        <v>54.63635</v>
      </c>
      <c r="Y12" s="617">
        <f t="shared" ref="Y12" si="8">X12*1.03</f>
        <v>56.275440500000002</v>
      </c>
      <c r="Z12" s="617">
        <f t="shared" ref="Z12" si="9">Y12*1.03</f>
        <v>57.963703715000001</v>
      </c>
      <c r="AA12" s="617">
        <f t="shared" ref="AA12" si="10">Z12*1.03</f>
        <v>59.702614826450002</v>
      </c>
      <c r="AB12" s="617">
        <f t="shared" ref="AB12" si="11">AA12*1.03</f>
        <v>61.493693271243501</v>
      </c>
      <c r="AC12" s="617">
        <f t="shared" ref="AC12" si="12">AB12*1.03</f>
        <v>63.338504069380811</v>
      </c>
    </row>
    <row r="13" spans="1:31" ht="15" thickBot="1" x14ac:dyDescent="0.4">
      <c r="A13" s="196" t="s">
        <v>80</v>
      </c>
      <c r="B13" s="197">
        <f>IS!B18</f>
        <v>0</v>
      </c>
      <c r="C13" s="198">
        <f>IS!C18</f>
        <v>0</v>
      </c>
      <c r="D13" s="198">
        <f>IS!D18</f>
        <v>0</v>
      </c>
      <c r="E13" s="199">
        <f>IS!E18</f>
        <v>0</v>
      </c>
      <c r="F13" s="198">
        <f>IS!F18</f>
        <v>43.709000000000003</v>
      </c>
      <c r="G13" s="197">
        <f>IS!G18</f>
        <v>9.4979999999999993</v>
      </c>
      <c r="H13" s="200">
        <f>IS!H18</f>
        <v>5.1289999999999996</v>
      </c>
      <c r="I13" s="198">
        <f>IS!I18</f>
        <v>5.0030000000000001</v>
      </c>
      <c r="J13" s="199">
        <f>IS!J18</f>
        <v>6.1080000000000005</v>
      </c>
      <c r="K13" s="200"/>
      <c r="L13" s="200"/>
      <c r="M13" s="200">
        <f>SUM(M7,M8,M9,M11:M12)</f>
        <v>27.093999999999998</v>
      </c>
      <c r="N13" s="990">
        <f>IS!AD18</f>
        <v>64.623000000000005</v>
      </c>
      <c r="O13" s="201">
        <f>SUM(O7,O8,O9,O11:O12)</f>
        <v>138.34899999999999</v>
      </c>
      <c r="P13" s="949">
        <f t="shared" ref="P13:AC13" si="13">SUM(P7,P8,P9,P11:P12)</f>
        <v>42</v>
      </c>
      <c r="Q13" s="950">
        <f t="shared" si="13"/>
        <v>40.5</v>
      </c>
      <c r="R13" s="950">
        <f t="shared" si="13"/>
        <v>37.049999999999997</v>
      </c>
      <c r="S13" s="665">
        <f t="shared" si="13"/>
        <v>39.549999999999997</v>
      </c>
      <c r="T13" s="201">
        <f t="shared" si="13"/>
        <v>159.1</v>
      </c>
      <c r="U13" s="201">
        <f t="shared" si="13"/>
        <v>165.37300000000002</v>
      </c>
      <c r="V13" s="201">
        <f t="shared" si="13"/>
        <v>182.04209</v>
      </c>
      <c r="W13" s="201">
        <f t="shared" si="13"/>
        <v>164.86335270000001</v>
      </c>
      <c r="X13" s="201">
        <f t="shared" si="13"/>
        <v>152.769253281</v>
      </c>
      <c r="Y13" s="201">
        <f t="shared" si="13"/>
        <v>145.76233087943001</v>
      </c>
      <c r="Z13" s="201">
        <f t="shared" si="13"/>
        <v>148.84520080581291</v>
      </c>
      <c r="AA13" s="201">
        <f t="shared" si="13"/>
        <v>152.0205568299873</v>
      </c>
      <c r="AB13" s="201">
        <f t="shared" si="13"/>
        <v>155.29117353488692</v>
      </c>
      <c r="AC13" s="201">
        <f t="shared" si="13"/>
        <v>158.65990874093353</v>
      </c>
    </row>
    <row r="14" spans="1:31" x14ac:dyDescent="0.35">
      <c r="A14" s="202" t="s">
        <v>16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4"/>
      <c r="L14" s="204"/>
      <c r="M14" s="204">
        <f>FactSet!P21</f>
        <v>27.1</v>
      </c>
      <c r="N14" s="204">
        <f>FactSet!Q21</f>
        <v>64.599999999999994</v>
      </c>
      <c r="O14" s="205">
        <f>FactSet!R21</f>
        <v>138.30000000000001</v>
      </c>
      <c r="P14" s="204">
        <f>FactSet!S21</f>
        <v>35.1</v>
      </c>
      <c r="Q14" s="204">
        <f>FactSet!T21</f>
        <v>36.766666000000001</v>
      </c>
      <c r="R14" s="204">
        <f>FactSet!U21</f>
        <v>38.1</v>
      </c>
      <c r="S14" s="204">
        <f>FactSet!V21</f>
        <v>40.766666000000001</v>
      </c>
      <c r="T14" s="205">
        <f>FactSet!W21</f>
        <v>150.66667000000001</v>
      </c>
      <c r="U14" s="203">
        <f>FactSet!X21</f>
        <v>175</v>
      </c>
      <c r="V14" s="203"/>
      <c r="W14" s="203"/>
      <c r="X14" s="203"/>
      <c r="Y14" s="203"/>
      <c r="Z14" s="203"/>
      <c r="AA14" s="203"/>
      <c r="AB14" s="203"/>
      <c r="AC14" s="203"/>
    </row>
    <row r="15" spans="1:31" s="431" customFormat="1" outlineLevel="1" x14ac:dyDescent="0.35">
      <c r="A15" s="753" t="s">
        <v>81</v>
      </c>
      <c r="B15" s="754"/>
      <c r="C15" s="754"/>
      <c r="D15" s="754"/>
      <c r="E15" s="754"/>
      <c r="F15" s="754" t="e">
        <f>SUM(F7,F9,F11,#REF!,F12) - F13</f>
        <v>#REF!</v>
      </c>
      <c r="G15" s="754" t="e">
        <f>SUM(G7,G9,G11,#REF!,G12) - G13</f>
        <v>#REF!</v>
      </c>
      <c r="H15" s="754" t="e">
        <f>SUM(H7,H9,H11,#REF!,H12) - H13</f>
        <v>#REF!</v>
      </c>
      <c r="I15" s="754" t="e">
        <f>SUM(I7,I9,I11,#REF!,I12) - I13</f>
        <v>#REF!</v>
      </c>
      <c r="J15" s="754" t="e">
        <f>SUM(J7,J9,J11,#REF!,J12) - J13</f>
        <v>#REF!</v>
      </c>
      <c r="K15" s="754"/>
      <c r="L15" s="754"/>
      <c r="M15" s="754">
        <f>SUM(M7,M9,M11,M8,M12) - M13</f>
        <v>0</v>
      </c>
      <c r="N15" s="754">
        <f>SUM(N7,N9,N11,N8,N12) - N13</f>
        <v>0</v>
      </c>
      <c r="O15" s="754">
        <f t="shared" ref="O15:AC15" si="14">SUM(O7,O9,O11,O8,O12) - O13</f>
        <v>0</v>
      </c>
      <c r="P15" s="754">
        <f t="shared" si="14"/>
        <v>0</v>
      </c>
      <c r="Q15" s="754">
        <f t="shared" si="14"/>
        <v>0</v>
      </c>
      <c r="R15" s="754">
        <f t="shared" si="14"/>
        <v>0</v>
      </c>
      <c r="S15" s="754">
        <f t="shared" si="14"/>
        <v>0</v>
      </c>
      <c r="T15" s="754">
        <f t="shared" si="14"/>
        <v>0</v>
      </c>
      <c r="U15" s="754">
        <f t="shared" si="14"/>
        <v>0</v>
      </c>
      <c r="V15" s="754">
        <f t="shared" si="14"/>
        <v>0</v>
      </c>
      <c r="W15" s="754">
        <f t="shared" si="14"/>
        <v>0</v>
      </c>
      <c r="X15" s="754">
        <f t="shared" si="14"/>
        <v>0</v>
      </c>
      <c r="Y15" s="754">
        <f t="shared" si="14"/>
        <v>0</v>
      </c>
      <c r="Z15" s="754">
        <f t="shared" si="14"/>
        <v>0</v>
      </c>
      <c r="AA15" s="754">
        <f t="shared" si="14"/>
        <v>0</v>
      </c>
      <c r="AB15" s="754">
        <f t="shared" si="14"/>
        <v>0</v>
      </c>
      <c r="AC15" s="754">
        <f t="shared" si="14"/>
        <v>0</v>
      </c>
    </row>
    <row r="16" spans="1:31" s="431" customFormat="1" outlineLevel="1" x14ac:dyDescent="0.35">
      <c r="A16" s="753"/>
      <c r="B16" s="754"/>
      <c r="C16" s="754"/>
      <c r="D16" s="754"/>
      <c r="E16" s="754"/>
      <c r="F16" s="754"/>
      <c r="G16" s="754"/>
      <c r="H16" s="754"/>
      <c r="I16" s="754"/>
      <c r="J16" s="754"/>
      <c r="K16" s="754"/>
      <c r="L16" s="754"/>
      <c r="M16" s="754"/>
      <c r="N16" s="754"/>
      <c r="O16" s="754"/>
      <c r="P16" s="754"/>
      <c r="Q16" s="754"/>
      <c r="R16" s="754"/>
      <c r="S16" s="754"/>
      <c r="T16" s="754"/>
      <c r="U16" s="754"/>
      <c r="V16" s="754"/>
      <c r="W16" s="754"/>
      <c r="X16" s="754"/>
      <c r="Y16" s="754"/>
      <c r="Z16" s="754"/>
      <c r="AA16" s="754"/>
      <c r="AB16" s="754"/>
      <c r="AC16" s="754"/>
    </row>
    <row r="17" spans="1:29" s="431" customFormat="1" outlineLevel="1" x14ac:dyDescent="0.35">
      <c r="A17" s="299" t="s">
        <v>473</v>
      </c>
      <c r="B17" s="754"/>
      <c r="C17" s="754"/>
      <c r="D17" s="754"/>
      <c r="E17" s="754"/>
      <c r="F17" s="754"/>
      <c r="G17" s="754"/>
      <c r="H17" s="754"/>
      <c r="I17" s="754"/>
      <c r="J17" s="754"/>
      <c r="K17" s="754"/>
      <c r="L17" s="754"/>
      <c r="M17" s="754"/>
      <c r="N17" s="754"/>
      <c r="O17" s="754"/>
      <c r="P17" s="261">
        <v>0.55000000000000004</v>
      </c>
      <c r="Q17" s="261">
        <f>P17</f>
        <v>0.55000000000000004</v>
      </c>
      <c r="R17" s="261">
        <f t="shared" ref="R17:S17" si="15">Q17</f>
        <v>0.55000000000000004</v>
      </c>
      <c r="S17" s="261">
        <f t="shared" si="15"/>
        <v>0.55000000000000004</v>
      </c>
      <c r="T17" s="261"/>
      <c r="U17" s="261">
        <v>0.45</v>
      </c>
      <c r="V17" s="261">
        <f>U17</f>
        <v>0.45</v>
      </c>
      <c r="W17" s="261">
        <v>0.2</v>
      </c>
      <c r="X17" s="261">
        <f t="shared" ref="X17:AC17" si="16">W17</f>
        <v>0.2</v>
      </c>
      <c r="Y17" s="261">
        <f t="shared" si="16"/>
        <v>0.2</v>
      </c>
      <c r="Z17" s="261">
        <f t="shared" si="16"/>
        <v>0.2</v>
      </c>
      <c r="AA17" s="261">
        <f t="shared" si="16"/>
        <v>0.2</v>
      </c>
      <c r="AB17" s="261">
        <f t="shared" si="16"/>
        <v>0.2</v>
      </c>
      <c r="AC17" s="261">
        <f t="shared" si="16"/>
        <v>0.2</v>
      </c>
    </row>
    <row r="18" spans="1:29" s="431" customFormat="1" outlineLevel="1" x14ac:dyDescent="0.35">
      <c r="A18" s="299" t="s">
        <v>474</v>
      </c>
      <c r="B18" s="754"/>
      <c r="C18" s="754"/>
      <c r="D18" s="754"/>
      <c r="E18" s="754"/>
      <c r="F18" s="754"/>
      <c r="G18" s="754"/>
      <c r="H18" s="754"/>
      <c r="I18" s="754"/>
      <c r="J18" s="754"/>
      <c r="K18" s="754"/>
      <c r="L18" s="754"/>
      <c r="M18" s="754"/>
      <c r="N18" s="754"/>
      <c r="O18" s="754"/>
      <c r="P18" s="261">
        <v>0.35</v>
      </c>
      <c r="Q18" s="261">
        <f>P18</f>
        <v>0.35</v>
      </c>
      <c r="R18" s="261">
        <f t="shared" ref="R18:S18" si="17">Q18</f>
        <v>0.35</v>
      </c>
      <c r="S18" s="261">
        <f t="shared" si="17"/>
        <v>0.35</v>
      </c>
      <c r="T18" s="261"/>
      <c r="U18" s="261">
        <v>0.45</v>
      </c>
      <c r="V18" s="261">
        <f>U18</f>
        <v>0.45</v>
      </c>
      <c r="W18" s="261">
        <v>0.55000000000000004</v>
      </c>
      <c r="X18" s="261">
        <f t="shared" ref="X18:AC18" si="18">W18</f>
        <v>0.55000000000000004</v>
      </c>
      <c r="Y18" s="261">
        <f t="shared" si="18"/>
        <v>0.55000000000000004</v>
      </c>
      <c r="Z18" s="261">
        <f t="shared" si="18"/>
        <v>0.55000000000000004</v>
      </c>
      <c r="AA18" s="261">
        <f t="shared" si="18"/>
        <v>0.55000000000000004</v>
      </c>
      <c r="AB18" s="261">
        <f t="shared" si="18"/>
        <v>0.55000000000000004</v>
      </c>
      <c r="AC18" s="261">
        <f t="shared" si="18"/>
        <v>0.55000000000000004</v>
      </c>
    </row>
    <row r="19" spans="1:29" s="431" customFormat="1" outlineLevel="1" x14ac:dyDescent="0.35">
      <c r="A19" s="299" t="s">
        <v>475</v>
      </c>
      <c r="B19" s="754"/>
      <c r="C19" s="754"/>
      <c r="D19" s="754"/>
      <c r="E19" s="754"/>
      <c r="F19" s="754"/>
      <c r="G19" s="754"/>
      <c r="H19" s="754"/>
      <c r="I19" s="754"/>
      <c r="J19" s="754"/>
      <c r="K19" s="754"/>
      <c r="L19" s="754"/>
      <c r="M19" s="754"/>
      <c r="N19" s="754"/>
      <c r="O19" s="754"/>
      <c r="P19" s="974">
        <f>P20-P18-P17</f>
        <v>9.9999999999999978E-2</v>
      </c>
      <c r="Q19" s="974">
        <f t="shared" ref="Q19:AC19" si="19">Q20-Q18-Q17</f>
        <v>9.9999999999999978E-2</v>
      </c>
      <c r="R19" s="974">
        <f t="shared" si="19"/>
        <v>9.9999999999999978E-2</v>
      </c>
      <c r="S19" s="974">
        <f t="shared" si="19"/>
        <v>9.9999999999999978E-2</v>
      </c>
      <c r="T19" s="974"/>
      <c r="U19" s="974">
        <f t="shared" si="19"/>
        <v>0.10000000000000003</v>
      </c>
      <c r="V19" s="974">
        <f t="shared" si="19"/>
        <v>0.10000000000000003</v>
      </c>
      <c r="W19" s="974">
        <f t="shared" si="19"/>
        <v>0.24999999999999994</v>
      </c>
      <c r="X19" s="974">
        <f t="shared" si="19"/>
        <v>0.24999999999999994</v>
      </c>
      <c r="Y19" s="974">
        <f t="shared" si="19"/>
        <v>0.24999999999999994</v>
      </c>
      <c r="Z19" s="974">
        <f t="shared" si="19"/>
        <v>0.24999999999999994</v>
      </c>
      <c r="AA19" s="974">
        <f t="shared" si="19"/>
        <v>0.24999999999999994</v>
      </c>
      <c r="AB19" s="974">
        <f t="shared" si="19"/>
        <v>0.24999999999999994</v>
      </c>
      <c r="AC19" s="974">
        <f t="shared" si="19"/>
        <v>0.24999999999999994</v>
      </c>
    </row>
    <row r="20" spans="1:29" s="431" customFormat="1" outlineLevel="1" x14ac:dyDescent="0.35">
      <c r="A20" s="753"/>
      <c r="B20" s="754"/>
      <c r="C20" s="754"/>
      <c r="D20" s="754"/>
      <c r="E20" s="754"/>
      <c r="F20" s="754"/>
      <c r="G20" s="754"/>
      <c r="H20" s="754"/>
      <c r="I20" s="754"/>
      <c r="J20" s="754"/>
      <c r="K20" s="754"/>
      <c r="L20" s="754"/>
      <c r="M20" s="754"/>
      <c r="N20" s="754"/>
      <c r="O20" s="754"/>
      <c r="P20" s="975">
        <v>1</v>
      </c>
      <c r="Q20" s="975">
        <v>1</v>
      </c>
      <c r="R20" s="975">
        <v>1</v>
      </c>
      <c r="S20" s="975">
        <v>1</v>
      </c>
      <c r="T20" s="975"/>
      <c r="U20" s="975">
        <v>1</v>
      </c>
      <c r="V20" s="975">
        <v>1</v>
      </c>
      <c r="W20" s="975">
        <v>1</v>
      </c>
      <c r="X20" s="975">
        <v>1</v>
      </c>
      <c r="Y20" s="975">
        <v>1</v>
      </c>
      <c r="Z20" s="975">
        <v>1</v>
      </c>
      <c r="AA20" s="975">
        <v>1</v>
      </c>
      <c r="AB20" s="975">
        <v>1</v>
      </c>
      <c r="AC20" s="975">
        <v>1</v>
      </c>
    </row>
    <row r="21" spans="1:29" s="431" customFormat="1" outlineLevel="1" x14ac:dyDescent="0.35">
      <c r="A21" s="753"/>
      <c r="B21" s="754"/>
      <c r="C21" s="754"/>
      <c r="D21" s="754"/>
      <c r="E21" s="754"/>
      <c r="F21" s="754"/>
      <c r="G21" s="754"/>
      <c r="H21" s="754"/>
      <c r="I21" s="754"/>
      <c r="J21" s="754"/>
      <c r="K21" s="754"/>
      <c r="L21" s="754"/>
      <c r="M21" s="754"/>
      <c r="N21" s="754"/>
      <c r="O21" s="754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</row>
    <row r="22" spans="1:29" s="431" customFormat="1" outlineLevel="1" x14ac:dyDescent="0.35">
      <c r="A22" s="299" t="s">
        <v>473</v>
      </c>
      <c r="B22" s="754"/>
      <c r="C22" s="754"/>
      <c r="D22" s="754"/>
      <c r="E22" s="754"/>
      <c r="F22" s="754"/>
      <c r="G22" s="754"/>
      <c r="H22" s="754"/>
      <c r="I22" s="754"/>
      <c r="J22" s="754"/>
      <c r="K22" s="754"/>
      <c r="L22" s="754"/>
      <c r="M22" s="754"/>
      <c r="N22" s="754"/>
      <c r="O22" s="754"/>
      <c r="P22" s="191">
        <f>P17*P$7</f>
        <v>8.25</v>
      </c>
      <c r="Q22" s="191">
        <f t="shared" ref="Q22:S22" si="20">Q17*Q$7</f>
        <v>8.8000000000000007</v>
      </c>
      <c r="R22" s="191">
        <f t="shared" si="20"/>
        <v>9.9</v>
      </c>
      <c r="S22" s="191">
        <f t="shared" si="20"/>
        <v>11</v>
      </c>
      <c r="T22" s="191">
        <f>SUM(P22:S22)</f>
        <v>37.950000000000003</v>
      </c>
      <c r="U22" s="191">
        <f t="shared" ref="U22:AC22" si="21">U17*U$7</f>
        <v>31.981500000000004</v>
      </c>
      <c r="V22" s="191">
        <f t="shared" si="21"/>
        <v>38.25</v>
      </c>
      <c r="W22" s="191">
        <f t="shared" si="21"/>
        <v>13</v>
      </c>
      <c r="X22" s="191">
        <f t="shared" si="21"/>
        <v>10</v>
      </c>
      <c r="Y22" s="191">
        <f t="shared" si="21"/>
        <v>8</v>
      </c>
      <c r="Z22" s="191">
        <f t="shared" si="21"/>
        <v>8</v>
      </c>
      <c r="AA22" s="191">
        <f t="shared" si="21"/>
        <v>8</v>
      </c>
      <c r="AB22" s="191">
        <f t="shared" si="21"/>
        <v>8</v>
      </c>
      <c r="AC22" s="191">
        <f t="shared" si="21"/>
        <v>8</v>
      </c>
    </row>
    <row r="23" spans="1:29" s="431" customFormat="1" outlineLevel="1" x14ac:dyDescent="0.35">
      <c r="A23" s="299" t="s">
        <v>474</v>
      </c>
      <c r="B23" s="754"/>
      <c r="C23" s="754"/>
      <c r="D23" s="754"/>
      <c r="E23" s="754"/>
      <c r="F23" s="754"/>
      <c r="G23" s="754"/>
      <c r="H23" s="754"/>
      <c r="I23" s="754"/>
      <c r="J23" s="754"/>
      <c r="K23" s="754"/>
      <c r="L23" s="754"/>
      <c r="M23" s="754"/>
      <c r="N23" s="754"/>
      <c r="O23" s="754"/>
      <c r="P23" s="191">
        <f t="shared" ref="P23:S23" si="22">P18*P$7</f>
        <v>5.25</v>
      </c>
      <c r="Q23" s="191">
        <f t="shared" si="22"/>
        <v>5.6</v>
      </c>
      <c r="R23" s="191">
        <f t="shared" si="22"/>
        <v>6.3</v>
      </c>
      <c r="S23" s="191">
        <f t="shared" si="22"/>
        <v>7</v>
      </c>
      <c r="T23" s="191">
        <f t="shared" ref="T23:T24" si="23">SUM(P23:S23)</f>
        <v>24.15</v>
      </c>
      <c r="U23" s="191">
        <f t="shared" ref="U23:AC23" si="24">U18*U$7</f>
        <v>31.981500000000004</v>
      </c>
      <c r="V23" s="191">
        <f t="shared" si="24"/>
        <v>38.25</v>
      </c>
      <c r="W23" s="191">
        <f t="shared" si="24"/>
        <v>35.75</v>
      </c>
      <c r="X23" s="191">
        <f t="shared" si="24"/>
        <v>27.500000000000004</v>
      </c>
      <c r="Y23" s="191">
        <f t="shared" si="24"/>
        <v>22</v>
      </c>
      <c r="Z23" s="191">
        <f t="shared" si="24"/>
        <v>22</v>
      </c>
      <c r="AA23" s="191">
        <f t="shared" si="24"/>
        <v>22</v>
      </c>
      <c r="AB23" s="191">
        <f t="shared" si="24"/>
        <v>22</v>
      </c>
      <c r="AC23" s="191">
        <f t="shared" si="24"/>
        <v>22</v>
      </c>
    </row>
    <row r="24" spans="1:29" s="431" customFormat="1" outlineLevel="1" x14ac:dyDescent="0.35">
      <c r="A24" s="299" t="s">
        <v>475</v>
      </c>
      <c r="B24" s="754"/>
      <c r="C24" s="754"/>
      <c r="D24" s="754"/>
      <c r="E24" s="754"/>
      <c r="F24" s="754"/>
      <c r="G24" s="754"/>
      <c r="H24" s="754"/>
      <c r="I24" s="754"/>
      <c r="J24" s="754"/>
      <c r="K24" s="754"/>
      <c r="L24" s="754"/>
      <c r="M24" s="754"/>
      <c r="N24" s="754"/>
      <c r="O24" s="754"/>
      <c r="P24" s="191">
        <f t="shared" ref="P24:S24" si="25">P19*P$7</f>
        <v>1.4999999999999996</v>
      </c>
      <c r="Q24" s="191">
        <f t="shared" si="25"/>
        <v>1.5999999999999996</v>
      </c>
      <c r="R24" s="191">
        <f t="shared" si="25"/>
        <v>1.7999999999999996</v>
      </c>
      <c r="S24" s="191">
        <f t="shared" si="25"/>
        <v>1.9999999999999996</v>
      </c>
      <c r="T24" s="191">
        <f t="shared" si="23"/>
        <v>6.8999999999999986</v>
      </c>
      <c r="U24" s="191">
        <f t="shared" ref="U24:AC24" si="26">U19*U$7</f>
        <v>7.1070000000000029</v>
      </c>
      <c r="V24" s="191">
        <f t="shared" si="26"/>
        <v>8.5000000000000036</v>
      </c>
      <c r="W24" s="191">
        <f t="shared" si="26"/>
        <v>16.249999999999996</v>
      </c>
      <c r="X24" s="191">
        <f t="shared" si="26"/>
        <v>12.499999999999996</v>
      </c>
      <c r="Y24" s="191">
        <f t="shared" si="26"/>
        <v>9.9999999999999982</v>
      </c>
      <c r="Z24" s="191">
        <f t="shared" si="26"/>
        <v>9.9999999999999982</v>
      </c>
      <c r="AA24" s="191">
        <f t="shared" si="26"/>
        <v>9.9999999999999982</v>
      </c>
      <c r="AB24" s="191">
        <f t="shared" si="26"/>
        <v>9.9999999999999982</v>
      </c>
      <c r="AC24" s="191">
        <f t="shared" si="26"/>
        <v>9.9999999999999982</v>
      </c>
    </row>
    <row r="25" spans="1:29" s="431" customFormat="1" outlineLevel="1" x14ac:dyDescent="0.35">
      <c r="A25" s="753"/>
      <c r="B25" s="754"/>
      <c r="C25" s="754"/>
      <c r="D25" s="754"/>
      <c r="E25" s="754"/>
      <c r="F25" s="754"/>
      <c r="G25" s="754"/>
      <c r="H25" s="754"/>
      <c r="I25" s="754"/>
      <c r="J25" s="754"/>
      <c r="K25" s="754"/>
      <c r="L25" s="754"/>
      <c r="M25" s="754"/>
      <c r="N25" s="754"/>
      <c r="O25" s="754"/>
      <c r="P25" s="237">
        <f>SUM(P22:P24)</f>
        <v>15</v>
      </c>
      <c r="Q25" s="237">
        <f t="shared" ref="Q25:U25" si="27">SUM(Q22:Q24)</f>
        <v>16</v>
      </c>
      <c r="R25" s="237">
        <f t="shared" si="27"/>
        <v>18</v>
      </c>
      <c r="S25" s="237">
        <f t="shared" si="27"/>
        <v>20</v>
      </c>
      <c r="T25" s="237">
        <f t="shared" si="27"/>
        <v>69</v>
      </c>
      <c r="U25" s="237">
        <f t="shared" si="27"/>
        <v>71.070000000000007</v>
      </c>
      <c r="V25" s="237">
        <f t="shared" ref="V25" si="28">SUM(V22:V24)</f>
        <v>85</v>
      </c>
      <c r="W25" s="237">
        <f t="shared" ref="W25" si="29">SUM(W22:W24)</f>
        <v>65</v>
      </c>
      <c r="X25" s="237">
        <f t="shared" ref="X25" si="30">SUM(X22:X24)</f>
        <v>50</v>
      </c>
      <c r="Y25" s="237">
        <f t="shared" ref="Y25" si="31">SUM(Y22:Y24)</f>
        <v>40</v>
      </c>
      <c r="Z25" s="237">
        <f t="shared" ref="Z25" si="32">SUM(Z22:Z24)</f>
        <v>40</v>
      </c>
      <c r="AA25" s="237">
        <f t="shared" ref="AA25" si="33">SUM(AA22:AA24)</f>
        <v>40</v>
      </c>
      <c r="AB25" s="237">
        <f t="shared" ref="AB25" si="34">SUM(AB22:AB24)</f>
        <v>40</v>
      </c>
      <c r="AC25" s="237">
        <f t="shared" ref="AC25" si="35">SUM(AC22:AC24)</f>
        <v>40</v>
      </c>
    </row>
    <row r="26" spans="1:29" ht="15" thickBot="1" x14ac:dyDescent="0.4">
      <c r="A26" s="147"/>
      <c r="B26" s="208"/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</row>
    <row r="27" spans="1:29" ht="15" thickBot="1" x14ac:dyDescent="0.4">
      <c r="A27" s="101"/>
      <c r="B27" s="209" t="str">
        <f t="shared" ref="B27:J27" si="36">B3</f>
        <v>1Q19A</v>
      </c>
      <c r="C27" s="210" t="str">
        <f t="shared" si="36"/>
        <v>2Q19A</v>
      </c>
      <c r="D27" s="210" t="str">
        <f t="shared" si="36"/>
        <v>3Q19A</v>
      </c>
      <c r="E27" s="210" t="str">
        <f t="shared" si="36"/>
        <v>4Q19A</v>
      </c>
      <c r="F27" s="106" t="str">
        <f t="shared" si="36"/>
        <v>2019A</v>
      </c>
      <c r="G27" s="210" t="str">
        <f t="shared" si="36"/>
        <v>1Q20A</v>
      </c>
      <c r="H27" s="210" t="str">
        <f t="shared" si="36"/>
        <v>2Q20A</v>
      </c>
      <c r="I27" s="210" t="str">
        <f t="shared" si="36"/>
        <v>3Q20A</v>
      </c>
      <c r="J27" s="210" t="str">
        <f t="shared" si="36"/>
        <v>4Q20A</v>
      </c>
      <c r="K27" s="107"/>
      <c r="L27" s="105"/>
      <c r="M27" s="105" t="str">
        <f t="shared" ref="M27:AC27" si="37">M3</f>
        <v>3Q25A</v>
      </c>
      <c r="N27" s="108" t="str">
        <f t="shared" si="37"/>
        <v>4Q25A</v>
      </c>
      <c r="O27" s="106" t="str">
        <f t="shared" si="37"/>
        <v>2025A</v>
      </c>
      <c r="P27" s="105" t="str">
        <f t="shared" si="37"/>
        <v>1Q26E</v>
      </c>
      <c r="Q27" s="105" t="str">
        <f t="shared" si="37"/>
        <v>2Q26E</v>
      </c>
      <c r="R27" s="105" t="str">
        <f t="shared" si="37"/>
        <v>3Q26E</v>
      </c>
      <c r="S27" s="108" t="str">
        <f t="shared" si="37"/>
        <v>4Q26E</v>
      </c>
      <c r="T27" s="106" t="str">
        <f t="shared" si="37"/>
        <v>2026E</v>
      </c>
      <c r="U27" s="106" t="str">
        <f t="shared" si="37"/>
        <v>2027E</v>
      </c>
      <c r="V27" s="106" t="str">
        <f t="shared" si="37"/>
        <v>2028E</v>
      </c>
      <c r="W27" s="106" t="str">
        <f t="shared" si="37"/>
        <v>2029E</v>
      </c>
      <c r="X27" s="106" t="str">
        <f t="shared" si="37"/>
        <v>2030E</v>
      </c>
      <c r="Y27" s="106" t="str">
        <f t="shared" si="37"/>
        <v>2031E</v>
      </c>
      <c r="Z27" s="106" t="str">
        <f t="shared" si="37"/>
        <v>2032E</v>
      </c>
      <c r="AA27" s="106" t="str">
        <f t="shared" si="37"/>
        <v>2033E</v>
      </c>
      <c r="AB27" s="106" t="str">
        <f t="shared" si="37"/>
        <v>2034E</v>
      </c>
      <c r="AC27" s="106" t="str">
        <f t="shared" si="37"/>
        <v>2035E</v>
      </c>
    </row>
    <row r="28" spans="1:29" ht="15" thickBot="1" x14ac:dyDescent="0.4">
      <c r="A28" s="117"/>
      <c r="B28" s="211"/>
      <c r="C28" s="212"/>
      <c r="D28" s="212"/>
      <c r="E28" s="212"/>
      <c r="F28" s="184"/>
      <c r="G28" s="212"/>
      <c r="H28" s="212"/>
      <c r="I28" s="212"/>
      <c r="J28" s="212"/>
      <c r="K28" s="222"/>
      <c r="L28" s="179"/>
      <c r="M28" s="179"/>
      <c r="N28" s="183"/>
      <c r="O28" s="184"/>
      <c r="P28" s="222"/>
      <c r="Q28" s="179"/>
      <c r="R28" s="179"/>
      <c r="S28" s="183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</row>
    <row r="29" spans="1:29" ht="15" thickBot="1" x14ac:dyDescent="0.4">
      <c r="A29" s="181" t="s">
        <v>82</v>
      </c>
      <c r="B29" s="117"/>
      <c r="C29" s="102"/>
      <c r="D29" s="102"/>
      <c r="E29" s="102"/>
      <c r="F29" s="113"/>
      <c r="G29" s="102"/>
      <c r="H29" s="102"/>
      <c r="I29" s="102"/>
      <c r="J29" s="102"/>
      <c r="K29" s="117"/>
      <c r="L29" s="102"/>
      <c r="M29" s="102"/>
      <c r="N29" s="118"/>
      <c r="O29" s="113"/>
      <c r="P29" s="117"/>
      <c r="Q29" s="102"/>
      <c r="R29" s="102"/>
      <c r="S29" s="118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</row>
    <row r="30" spans="1:29" x14ac:dyDescent="0.35">
      <c r="A30" s="104"/>
      <c r="B30" s="179"/>
      <c r="C30" s="179"/>
      <c r="D30" s="179"/>
      <c r="E30" s="179"/>
      <c r="F30" s="184"/>
      <c r="G30" s="179"/>
      <c r="H30" s="179"/>
      <c r="I30" s="179"/>
      <c r="J30" s="179"/>
      <c r="K30" s="222"/>
      <c r="L30" s="179"/>
      <c r="M30" s="179"/>
      <c r="N30" s="183"/>
      <c r="O30" s="184"/>
      <c r="P30" s="222"/>
      <c r="Q30" s="179"/>
      <c r="R30" s="179"/>
      <c r="S30" s="183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</row>
    <row r="31" spans="1:29" x14ac:dyDescent="0.35">
      <c r="A31" s="188" t="s">
        <v>444</v>
      </c>
      <c r="B31" s="147">
        <f t="shared" ref="B31:E31" si="38">B33-B32</f>
        <v>-0.432</v>
      </c>
      <c r="C31" s="147">
        <f t="shared" si="38"/>
        <v>-1.103</v>
      </c>
      <c r="D31" s="147">
        <f t="shared" si="38"/>
        <v>-1.302</v>
      </c>
      <c r="E31" s="186">
        <f t="shared" si="38"/>
        <v>2.8370000000000002</v>
      </c>
      <c r="F31" s="755"/>
      <c r="G31" s="193">
        <f t="shared" ref="G31:J31" si="39">G33-G32</f>
        <v>3.1419999999999999</v>
      </c>
      <c r="H31" s="193">
        <f t="shared" si="39"/>
        <v>2.3980000000000001</v>
      </c>
      <c r="I31" s="193">
        <f t="shared" si="39"/>
        <v>3.9619999999999997</v>
      </c>
      <c r="J31" s="193" t="e">
        <f t="shared" si="39"/>
        <v>#REF!</v>
      </c>
      <c r="K31" s="193"/>
      <c r="L31" s="193"/>
      <c r="M31" s="147">
        <v>2</v>
      </c>
      <c r="N31" s="885">
        <v>7</v>
      </c>
      <c r="O31" s="676">
        <v>9.0459999999999994</v>
      </c>
      <c r="P31" s="664">
        <v>8</v>
      </c>
      <c r="Q31" s="148">
        <v>9</v>
      </c>
      <c r="R31" s="148">
        <v>10</v>
      </c>
      <c r="S31" s="149">
        <v>10</v>
      </c>
      <c r="T31" s="617">
        <f>SUM(P31:S31)</f>
        <v>37</v>
      </c>
      <c r="U31" s="617">
        <f t="shared" ref="U31:AC32" si="40">T31*1.03</f>
        <v>38.11</v>
      </c>
      <c r="V31" s="617">
        <f t="shared" si="40"/>
        <v>39.253300000000003</v>
      </c>
      <c r="W31" s="617">
        <f t="shared" ref="W31" si="41">V31*1.03</f>
        <v>40.430899000000004</v>
      </c>
      <c r="X31" s="617">
        <f t="shared" ref="X31" si="42">W31*1.03</f>
        <v>41.643825970000002</v>
      </c>
      <c r="Y31" s="617">
        <f t="shared" ref="Y31" si="43">X31*1.03</f>
        <v>42.893140749100006</v>
      </c>
      <c r="Z31" s="617">
        <f t="shared" ref="Z31" si="44">Y31*1.03</f>
        <v>44.179934971573005</v>
      </c>
      <c r="AA31" s="617">
        <f t="shared" ref="AA31" si="45">Z31*1.03</f>
        <v>45.505333020720194</v>
      </c>
      <c r="AB31" s="617">
        <f t="shared" ref="AB31" si="46">AA31*1.03</f>
        <v>46.8704930113418</v>
      </c>
      <c r="AC31" s="617">
        <f t="shared" ref="AC31" si="47">AB31*1.03</f>
        <v>48.276607801682054</v>
      </c>
    </row>
    <row r="32" spans="1:29" x14ac:dyDescent="0.35">
      <c r="A32" s="162" t="s">
        <v>442</v>
      </c>
      <c r="B32" s="147">
        <v>0.432</v>
      </c>
      <c r="C32" s="147">
        <v>1.103</v>
      </c>
      <c r="D32" s="147">
        <v>1.302</v>
      </c>
      <c r="E32" s="186">
        <f>F32-D32-C32-B32</f>
        <v>-2.8370000000000002</v>
      </c>
      <c r="F32" s="755"/>
      <c r="G32" s="147">
        <v>0.53200000000000003</v>
      </c>
      <c r="H32" s="147">
        <v>0.40400000000000003</v>
      </c>
      <c r="I32" s="147">
        <v>1.6359999999999999</v>
      </c>
      <c r="J32" s="194" t="e">
        <f>#REF!-G32-H32-I32</f>
        <v>#REF!</v>
      </c>
      <c r="K32" s="664"/>
      <c r="L32" s="148"/>
      <c r="M32" s="148">
        <v>1.9039999999999999</v>
      </c>
      <c r="N32" s="885">
        <f>N33-N31</f>
        <v>11.754999999999999</v>
      </c>
      <c r="O32" s="676">
        <v>21.687999999999999</v>
      </c>
      <c r="P32" s="664">
        <v>5</v>
      </c>
      <c r="Q32" s="148">
        <v>5.0999999999999996</v>
      </c>
      <c r="R32" s="148">
        <v>5</v>
      </c>
      <c r="S32" s="149">
        <v>5.2</v>
      </c>
      <c r="T32" s="617">
        <f>SUM(P32:S32)</f>
        <v>20.3</v>
      </c>
      <c r="U32" s="617">
        <f t="shared" si="40"/>
        <v>20.909000000000002</v>
      </c>
      <c r="V32" s="617">
        <f t="shared" si="40"/>
        <v>21.536270000000002</v>
      </c>
      <c r="W32" s="617">
        <f t="shared" si="40"/>
        <v>22.182358100000002</v>
      </c>
      <c r="X32" s="617">
        <f t="shared" si="40"/>
        <v>22.847828843000002</v>
      </c>
      <c r="Y32" s="617">
        <f t="shared" si="40"/>
        <v>23.533263708290004</v>
      </c>
      <c r="Z32" s="617">
        <f t="shared" si="40"/>
        <v>24.239261619538706</v>
      </c>
      <c r="AA32" s="617">
        <f t="shared" si="40"/>
        <v>24.966439468124868</v>
      </c>
      <c r="AB32" s="617">
        <f t="shared" si="40"/>
        <v>25.715432652168616</v>
      </c>
      <c r="AC32" s="617">
        <f t="shared" si="40"/>
        <v>26.486895631733674</v>
      </c>
    </row>
    <row r="33" spans="1:29" x14ac:dyDescent="0.35">
      <c r="A33" s="213" t="s">
        <v>83</v>
      </c>
      <c r="B33" s="214">
        <f t="shared" ref="B33:J33" si="48">B68-B66</f>
        <v>0</v>
      </c>
      <c r="C33" s="215">
        <f t="shared" si="48"/>
        <v>0</v>
      </c>
      <c r="D33" s="214">
        <f t="shared" si="48"/>
        <v>0</v>
      </c>
      <c r="E33" s="214">
        <f t="shared" si="48"/>
        <v>0</v>
      </c>
      <c r="F33" s="216">
        <f t="shared" si="48"/>
        <v>10.968</v>
      </c>
      <c r="G33" s="214">
        <f t="shared" si="48"/>
        <v>3.6739999999999999</v>
      </c>
      <c r="H33" s="215">
        <f t="shared" si="48"/>
        <v>2.802</v>
      </c>
      <c r="I33" s="214">
        <f t="shared" si="48"/>
        <v>5.5979999999999999</v>
      </c>
      <c r="J33" s="214">
        <f t="shared" si="48"/>
        <v>5.3480000000000008</v>
      </c>
      <c r="K33" s="217"/>
      <c r="L33" s="217"/>
      <c r="M33" s="217">
        <f t="shared" ref="M33" si="49">M68-M66</f>
        <v>4.4039999999999999</v>
      </c>
      <c r="N33" s="993">
        <f>N68</f>
        <v>18.754999999999999</v>
      </c>
      <c r="O33" s="219">
        <f t="shared" ref="O33:X33" si="50">SUM(O31:O32)</f>
        <v>30.733999999999998</v>
      </c>
      <c r="P33" s="218">
        <f t="shared" ref="P33:S33" si="51">SUM(P31:P32)</f>
        <v>13</v>
      </c>
      <c r="Q33" s="218">
        <f t="shared" si="51"/>
        <v>14.1</v>
      </c>
      <c r="R33" s="218">
        <f t="shared" si="51"/>
        <v>15</v>
      </c>
      <c r="S33" s="218">
        <f t="shared" si="51"/>
        <v>15.2</v>
      </c>
      <c r="T33" s="219">
        <f t="shared" si="50"/>
        <v>57.3</v>
      </c>
      <c r="U33" s="219">
        <f t="shared" si="50"/>
        <v>59.019000000000005</v>
      </c>
      <c r="V33" s="219">
        <f t="shared" si="50"/>
        <v>60.789570000000005</v>
      </c>
      <c r="W33" s="219">
        <f t="shared" si="50"/>
        <v>62.613257100000006</v>
      </c>
      <c r="X33" s="219">
        <f t="shared" si="50"/>
        <v>64.491654812999997</v>
      </c>
      <c r="Y33" s="219">
        <f t="shared" ref="Y33:Z33" si="52">SUM(Y31:Y32)</f>
        <v>66.426404457390007</v>
      </c>
      <c r="Z33" s="219">
        <f t="shared" si="52"/>
        <v>68.419196591111714</v>
      </c>
      <c r="AA33" s="219">
        <f t="shared" ref="AA33:AB33" si="53">SUM(AA31:AA32)</f>
        <v>70.471772488845062</v>
      </c>
      <c r="AB33" s="219">
        <f t="shared" si="53"/>
        <v>72.585925663510409</v>
      </c>
      <c r="AC33" s="219">
        <f t="shared" ref="AC33" si="54">SUM(AC31:AC32)</f>
        <v>74.763503433415735</v>
      </c>
    </row>
    <row r="34" spans="1:29" ht="15" thickBot="1" x14ac:dyDescent="0.4">
      <c r="A34" s="220"/>
      <c r="B34" s="208"/>
      <c r="C34" s="208"/>
      <c r="D34" s="208"/>
      <c r="E34" s="208"/>
      <c r="F34" s="221"/>
      <c r="G34" s="208"/>
      <c r="H34" s="208"/>
      <c r="I34" s="208"/>
      <c r="J34" s="208"/>
      <c r="K34" s="123"/>
      <c r="L34" s="124"/>
      <c r="M34" s="124"/>
      <c r="N34" s="666"/>
      <c r="O34" s="221"/>
      <c r="P34" s="123"/>
      <c r="Q34" s="124"/>
      <c r="R34" s="124"/>
      <c r="S34" s="666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</row>
    <row r="35" spans="1:29" ht="15" thickBot="1" x14ac:dyDescent="0.4">
      <c r="A35" s="181" t="s">
        <v>84</v>
      </c>
      <c r="B35" s="117"/>
      <c r="C35" s="102"/>
      <c r="D35" s="102"/>
      <c r="E35" s="102"/>
      <c r="F35" s="113"/>
      <c r="G35" s="102"/>
      <c r="H35" s="102"/>
      <c r="I35" s="102"/>
      <c r="J35" s="102"/>
      <c r="K35" s="117"/>
      <c r="L35" s="102"/>
      <c r="M35" s="102"/>
      <c r="N35" s="118"/>
      <c r="O35" s="113"/>
      <c r="P35" s="117"/>
      <c r="Q35" s="102"/>
      <c r="R35" s="102"/>
      <c r="S35" s="118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</row>
    <row r="36" spans="1:29" x14ac:dyDescent="0.35">
      <c r="A36" s="117"/>
      <c r="B36" s="222"/>
      <c r="C36" s="179"/>
      <c r="D36" s="179"/>
      <c r="E36" s="179"/>
      <c r="F36" s="184"/>
      <c r="G36" s="179"/>
      <c r="H36" s="179"/>
      <c r="I36" s="179"/>
      <c r="J36" s="179"/>
      <c r="K36" s="222"/>
      <c r="L36" s="179"/>
      <c r="M36" s="179"/>
      <c r="N36" s="183"/>
      <c r="O36" s="184"/>
      <c r="P36" s="222"/>
      <c r="Q36" s="179"/>
      <c r="R36" s="179"/>
      <c r="S36" s="183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</row>
    <row r="37" spans="1:29" x14ac:dyDescent="0.35">
      <c r="A37" s="223" t="s">
        <v>85</v>
      </c>
      <c r="B37" s="224"/>
      <c r="C37" s="208"/>
      <c r="D37" s="208"/>
      <c r="E37" s="208"/>
      <c r="F37" s="225"/>
      <c r="G37" s="208"/>
      <c r="H37" s="208"/>
      <c r="I37" s="208"/>
      <c r="J37" s="208"/>
      <c r="K37" s="224"/>
      <c r="L37" s="208"/>
      <c r="M37" s="208"/>
      <c r="N37" s="667"/>
      <c r="O37" s="225"/>
      <c r="P37" s="224"/>
      <c r="Q37" s="208"/>
      <c r="R37" s="208"/>
      <c r="S37" s="667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</row>
    <row r="38" spans="1:29" x14ac:dyDescent="0.35">
      <c r="A38" s="117"/>
      <c r="B38" s="222"/>
      <c r="C38" s="179"/>
      <c r="D38" s="179"/>
      <c r="E38" s="179"/>
      <c r="F38" s="184"/>
      <c r="G38" s="179"/>
      <c r="H38" s="179"/>
      <c r="I38" s="179"/>
      <c r="J38" s="179"/>
      <c r="K38" s="222"/>
      <c r="L38" s="179"/>
      <c r="M38" s="179"/>
      <c r="N38" s="183"/>
      <c r="O38" s="184"/>
      <c r="P38" s="222"/>
      <c r="Q38" s="179"/>
      <c r="R38" s="179"/>
      <c r="S38" s="183"/>
      <c r="T38" s="184"/>
      <c r="U38" s="184"/>
      <c r="V38" s="276"/>
      <c r="W38" s="276"/>
      <c r="X38" s="276"/>
      <c r="Y38" s="276"/>
      <c r="Z38" s="276"/>
      <c r="AA38" s="276"/>
      <c r="AB38" s="276"/>
      <c r="AC38" s="276"/>
    </row>
    <row r="39" spans="1:29" x14ac:dyDescent="0.35">
      <c r="A39" s="185" t="s">
        <v>473</v>
      </c>
      <c r="B39" s="226"/>
      <c r="C39" s="227"/>
      <c r="D39" s="227"/>
      <c r="E39" s="228"/>
      <c r="F39" s="229"/>
      <c r="G39" s="228"/>
      <c r="H39" s="228"/>
      <c r="I39" s="228"/>
      <c r="J39" s="228"/>
      <c r="K39" s="226"/>
      <c r="L39" s="227"/>
      <c r="M39" s="227"/>
      <c r="N39" s="669"/>
      <c r="O39" s="231"/>
      <c r="P39" s="226"/>
      <c r="Q39" s="227"/>
      <c r="R39" s="227"/>
      <c r="S39" s="669"/>
      <c r="T39" s="231"/>
      <c r="U39" s="231"/>
      <c r="V39" s="996">
        <v>25</v>
      </c>
      <c r="W39" s="996">
        <v>60</v>
      </c>
      <c r="X39" s="997">
        <f t="shared" ref="X39:AC39" si="55">W39</f>
        <v>60</v>
      </c>
      <c r="Y39" s="997">
        <f t="shared" si="55"/>
        <v>60</v>
      </c>
      <c r="Z39" s="997">
        <f t="shared" si="55"/>
        <v>60</v>
      </c>
      <c r="AA39" s="997">
        <f t="shared" si="55"/>
        <v>60</v>
      </c>
      <c r="AB39" s="997">
        <f t="shared" si="55"/>
        <v>60</v>
      </c>
      <c r="AC39" s="997">
        <f t="shared" si="55"/>
        <v>60</v>
      </c>
    </row>
    <row r="40" spans="1:29" x14ac:dyDescent="0.35">
      <c r="A40" s="185" t="s">
        <v>474</v>
      </c>
      <c r="B40" s="226"/>
      <c r="C40" s="227"/>
      <c r="D40" s="227"/>
      <c r="E40" s="227"/>
      <c r="F40" s="231"/>
      <c r="G40" s="227"/>
      <c r="H40" s="227"/>
      <c r="I40" s="227"/>
      <c r="J40" s="227"/>
      <c r="K40" s="226"/>
      <c r="L40" s="227"/>
      <c r="M40" s="227"/>
      <c r="N40" s="669"/>
      <c r="O40" s="231"/>
      <c r="P40" s="226"/>
      <c r="Q40" s="227"/>
      <c r="R40" s="227"/>
      <c r="S40" s="669"/>
      <c r="T40" s="231"/>
      <c r="U40" s="231"/>
      <c r="V40" s="996"/>
      <c r="W40" s="996">
        <v>100</v>
      </c>
      <c r="X40" s="996">
        <v>150</v>
      </c>
      <c r="Y40" s="996">
        <v>200</v>
      </c>
      <c r="Z40" s="997">
        <f t="shared" ref="Z40:AC40" si="56">Y40</f>
        <v>200</v>
      </c>
      <c r="AA40" s="997">
        <f t="shared" si="56"/>
        <v>200</v>
      </c>
      <c r="AB40" s="997">
        <f t="shared" si="56"/>
        <v>200</v>
      </c>
      <c r="AC40" s="997">
        <f t="shared" si="56"/>
        <v>200</v>
      </c>
    </row>
    <row r="41" spans="1:29" x14ac:dyDescent="0.35">
      <c r="A41" s="185" t="s">
        <v>475</v>
      </c>
      <c r="B41" s="226"/>
      <c r="C41" s="227"/>
      <c r="D41" s="227"/>
      <c r="E41" s="227"/>
      <c r="F41" s="231"/>
      <c r="G41" s="227"/>
      <c r="H41" s="227"/>
      <c r="I41" s="227"/>
      <c r="J41" s="227"/>
      <c r="K41" s="226"/>
      <c r="L41" s="227"/>
      <c r="M41" s="227"/>
      <c r="N41" s="669"/>
      <c r="O41" s="231"/>
      <c r="P41" s="226"/>
      <c r="Q41" s="227"/>
      <c r="R41" s="227"/>
      <c r="S41" s="669"/>
      <c r="T41" s="231"/>
      <c r="U41" s="231"/>
      <c r="V41" s="996"/>
      <c r="W41" s="996">
        <v>0</v>
      </c>
      <c r="X41" s="996">
        <v>0</v>
      </c>
      <c r="Y41" s="997">
        <f t="shared" ref="Y41" si="57">X41</f>
        <v>0</v>
      </c>
      <c r="Z41" s="997">
        <f t="shared" ref="Z41" si="58">Y41</f>
        <v>0</v>
      </c>
      <c r="AA41" s="997">
        <f t="shared" ref="AA41" si="59">Z41</f>
        <v>0</v>
      </c>
      <c r="AB41" s="997">
        <f t="shared" ref="AB41" si="60">AA41</f>
        <v>0</v>
      </c>
      <c r="AC41" s="997">
        <f t="shared" ref="AC41" si="61">AB41</f>
        <v>0</v>
      </c>
    </row>
    <row r="42" spans="1:29" x14ac:dyDescent="0.35">
      <c r="A42" s="119" t="s">
        <v>86</v>
      </c>
      <c r="B42" s="226"/>
      <c r="C42" s="227"/>
      <c r="D42" s="227"/>
      <c r="E42" s="227"/>
      <c r="F42" s="231"/>
      <c r="G42" s="227"/>
      <c r="H42" s="227"/>
      <c r="I42" s="227"/>
      <c r="J42" s="227"/>
      <c r="K42" s="226"/>
      <c r="L42" s="227"/>
      <c r="M42" s="227"/>
      <c r="N42" s="669"/>
      <c r="O42" s="231"/>
      <c r="P42" s="226"/>
      <c r="Q42" s="227"/>
      <c r="R42" s="227"/>
      <c r="S42" s="669"/>
      <c r="T42" s="231"/>
      <c r="U42" s="231"/>
      <c r="V42" s="997"/>
      <c r="W42" s="997"/>
      <c r="X42" s="997"/>
      <c r="Y42" s="997"/>
      <c r="Z42" s="997"/>
      <c r="AA42" s="997"/>
      <c r="AB42" s="997"/>
      <c r="AC42" s="997"/>
    </row>
    <row r="43" spans="1:29" x14ac:dyDescent="0.35">
      <c r="A43" s="119" t="s">
        <v>87</v>
      </c>
      <c r="B43" s="232"/>
      <c r="C43" s="228"/>
      <c r="D43" s="228"/>
      <c r="E43" s="228"/>
      <c r="F43" s="229"/>
      <c r="G43" s="228"/>
      <c r="H43" s="228"/>
      <c r="I43" s="228"/>
      <c r="J43" s="228"/>
      <c r="K43" s="232"/>
      <c r="L43" s="228"/>
      <c r="M43" s="228"/>
      <c r="N43" s="668"/>
      <c r="O43" s="229">
        <f t="shared" ref="O43:X43" si="62">SUM(O39:O42)</f>
        <v>0</v>
      </c>
      <c r="P43" s="232"/>
      <c r="Q43" s="228"/>
      <c r="R43" s="228"/>
      <c r="S43" s="668"/>
      <c r="T43" s="229"/>
      <c r="U43" s="229">
        <f t="shared" si="62"/>
        <v>0</v>
      </c>
      <c r="V43" s="998">
        <f t="shared" si="62"/>
        <v>25</v>
      </c>
      <c r="W43" s="998">
        <f t="shared" si="62"/>
        <v>160</v>
      </c>
      <c r="X43" s="998">
        <f t="shared" si="62"/>
        <v>210</v>
      </c>
      <c r="Y43" s="998">
        <f t="shared" ref="Y43:Z43" si="63">SUM(Y39:Y42)</f>
        <v>260</v>
      </c>
      <c r="Z43" s="998">
        <f t="shared" si="63"/>
        <v>260</v>
      </c>
      <c r="AA43" s="998">
        <f t="shared" ref="AA43:AB43" si="64">SUM(AA39:AA42)</f>
        <v>260</v>
      </c>
      <c r="AB43" s="998">
        <f t="shared" si="64"/>
        <v>260</v>
      </c>
      <c r="AC43" s="998">
        <f t="shared" ref="AC43" si="65">SUM(AC39:AC42)</f>
        <v>260</v>
      </c>
    </row>
    <row r="44" spans="1:29" x14ac:dyDescent="0.35">
      <c r="A44" s="119"/>
      <c r="B44" s="166"/>
      <c r="C44" s="233"/>
      <c r="D44" s="233"/>
      <c r="E44" s="227"/>
      <c r="F44" s="231"/>
      <c r="G44" s="233"/>
      <c r="H44" s="233"/>
      <c r="I44" s="233"/>
      <c r="J44" s="227"/>
      <c r="K44" s="902"/>
      <c r="L44" s="903"/>
      <c r="M44" s="903"/>
      <c r="N44" s="904"/>
      <c r="O44" s="230"/>
      <c r="P44" s="902"/>
      <c r="Q44" s="903"/>
      <c r="R44" s="903"/>
      <c r="S44" s="904"/>
      <c r="T44" s="230"/>
      <c r="U44" s="231"/>
      <c r="V44" s="997"/>
      <c r="W44" s="997"/>
      <c r="X44" s="997"/>
      <c r="Y44" s="997"/>
      <c r="Z44" s="997"/>
      <c r="AA44" s="997"/>
      <c r="AB44" s="997"/>
      <c r="AC44" s="997"/>
    </row>
    <row r="45" spans="1:29" x14ac:dyDescent="0.35">
      <c r="A45" s="119" t="s">
        <v>88</v>
      </c>
      <c r="B45" s="226"/>
      <c r="C45" s="227"/>
      <c r="D45" s="227"/>
      <c r="E45" s="227"/>
      <c r="F45" s="231"/>
      <c r="G45" s="227"/>
      <c r="H45" s="227"/>
      <c r="I45" s="227"/>
      <c r="J45" s="227"/>
      <c r="K45" s="902"/>
      <c r="L45" s="903"/>
      <c r="M45" s="903"/>
      <c r="N45" s="904"/>
      <c r="O45" s="231">
        <v>290000</v>
      </c>
      <c r="P45" s="902">
        <f>O45*1.03</f>
        <v>298700</v>
      </c>
      <c r="Q45" s="903">
        <f>P45</f>
        <v>298700</v>
      </c>
      <c r="R45" s="903">
        <f>Q45</f>
        <v>298700</v>
      </c>
      <c r="S45" s="903">
        <f>R45</f>
        <v>298700</v>
      </c>
      <c r="T45" s="230">
        <f>O45*1.03</f>
        <v>298700</v>
      </c>
      <c r="U45" s="230">
        <f t="shared" ref="U45:AC45" si="66">T45*1.03</f>
        <v>307661</v>
      </c>
      <c r="V45" s="997">
        <f t="shared" si="66"/>
        <v>316890.83</v>
      </c>
      <c r="W45" s="997">
        <f t="shared" si="66"/>
        <v>326397.55490000005</v>
      </c>
      <c r="X45" s="997">
        <f t="shared" si="66"/>
        <v>336189.48154700006</v>
      </c>
      <c r="Y45" s="997">
        <f t="shared" si="66"/>
        <v>346275.16599341005</v>
      </c>
      <c r="Z45" s="997">
        <f t="shared" si="66"/>
        <v>356663.42097321234</v>
      </c>
      <c r="AA45" s="997">
        <f t="shared" si="66"/>
        <v>367363.32360240869</v>
      </c>
      <c r="AB45" s="997">
        <f t="shared" si="66"/>
        <v>378384.22331048094</v>
      </c>
      <c r="AC45" s="997">
        <f t="shared" si="66"/>
        <v>389735.75000979536</v>
      </c>
    </row>
    <row r="46" spans="1:29" x14ac:dyDescent="0.35">
      <c r="A46" s="119"/>
      <c r="B46" s="166"/>
      <c r="C46" s="233"/>
      <c r="D46" s="233"/>
      <c r="E46" s="227"/>
      <c r="F46" s="231"/>
      <c r="G46" s="233"/>
      <c r="H46" s="233"/>
      <c r="I46" s="233"/>
      <c r="J46" s="227"/>
      <c r="K46" s="226"/>
      <c r="L46" s="227"/>
      <c r="M46" s="227"/>
      <c r="N46" s="669"/>
      <c r="O46" s="231"/>
      <c r="P46" s="226"/>
      <c r="Q46" s="227"/>
      <c r="R46" s="227"/>
      <c r="S46" s="669"/>
      <c r="T46" s="231"/>
      <c r="U46" s="231"/>
      <c r="V46" s="996"/>
      <c r="W46" s="996"/>
      <c r="X46" s="996"/>
      <c r="Y46" s="996"/>
      <c r="Z46" s="996"/>
      <c r="AA46" s="996"/>
      <c r="AB46" s="996"/>
      <c r="AC46" s="996"/>
    </row>
    <row r="47" spans="1:29" x14ac:dyDescent="0.35">
      <c r="A47" s="185" t="s">
        <v>476</v>
      </c>
      <c r="B47" s="234"/>
      <c r="C47" s="191"/>
      <c r="D47" s="191"/>
      <c r="E47" s="191"/>
      <c r="F47" s="165"/>
      <c r="G47" s="191"/>
      <c r="H47" s="191"/>
      <c r="I47" s="191"/>
      <c r="J47" s="191"/>
      <c r="K47" s="234"/>
      <c r="L47" s="191"/>
      <c r="M47" s="191"/>
      <c r="N47" s="266"/>
      <c r="O47" s="165">
        <f t="shared" ref="O47:X49" si="67">O39*O$45/10^6</f>
        <v>0</v>
      </c>
      <c r="P47" s="234">
        <f t="shared" ref="P47:S47" si="68">P39*P$45/10^6</f>
        <v>0</v>
      </c>
      <c r="Q47" s="191">
        <f t="shared" si="68"/>
        <v>0</v>
      </c>
      <c r="R47" s="191">
        <f t="shared" si="68"/>
        <v>0</v>
      </c>
      <c r="S47" s="266">
        <f t="shared" si="68"/>
        <v>0</v>
      </c>
      <c r="T47" s="165">
        <f>SUM(P47:S47)</f>
        <v>0</v>
      </c>
      <c r="U47" s="165">
        <f t="shared" si="67"/>
        <v>0</v>
      </c>
      <c r="V47" s="617">
        <f t="shared" si="67"/>
        <v>7.92227075</v>
      </c>
      <c r="W47" s="617">
        <f t="shared" si="67"/>
        <v>19.583853294000004</v>
      </c>
      <c r="X47" s="617">
        <f t="shared" si="67"/>
        <v>20.171368892820006</v>
      </c>
      <c r="Y47" s="617">
        <f t="shared" ref="Y47:Z47" si="69">Y39*Y$45/10^6</f>
        <v>20.776509959604603</v>
      </c>
      <c r="Z47" s="617">
        <f t="shared" si="69"/>
        <v>21.399805258392739</v>
      </c>
      <c r="AA47" s="617">
        <f t="shared" ref="AA47:AB47" si="70">AA39*AA$45/10^6</f>
        <v>22.041799416144521</v>
      </c>
      <c r="AB47" s="617">
        <f t="shared" si="70"/>
        <v>22.703053398628857</v>
      </c>
      <c r="AC47" s="617">
        <f t="shared" ref="AC47" si="71">AC39*AC$45/10^6</f>
        <v>23.384145000587722</v>
      </c>
    </row>
    <row r="48" spans="1:29" x14ac:dyDescent="0.35">
      <c r="A48" s="185" t="s">
        <v>477</v>
      </c>
      <c r="B48" s="234"/>
      <c r="C48" s="191"/>
      <c r="D48" s="191"/>
      <c r="E48" s="191"/>
      <c r="F48" s="165"/>
      <c r="G48" s="191"/>
      <c r="H48" s="191"/>
      <c r="I48" s="191"/>
      <c r="J48" s="191"/>
      <c r="K48" s="234"/>
      <c r="L48" s="191"/>
      <c r="M48" s="191"/>
      <c r="N48" s="266"/>
      <c r="O48" s="165">
        <f t="shared" si="67"/>
        <v>0</v>
      </c>
      <c r="P48" s="234">
        <f t="shared" ref="P48:Q48" si="72">P40*P$45/10^6</f>
        <v>0</v>
      </c>
      <c r="Q48" s="191">
        <f t="shared" si="72"/>
        <v>0</v>
      </c>
      <c r="R48" s="191">
        <f>R40*R$45/10^6/4</f>
        <v>0</v>
      </c>
      <c r="S48" s="266">
        <f>S40*S$45/10^6/4</f>
        <v>0</v>
      </c>
      <c r="T48" s="165">
        <f>SUM(P48:S48)</f>
        <v>0</v>
      </c>
      <c r="U48" s="165">
        <f t="shared" si="67"/>
        <v>0</v>
      </c>
      <c r="V48" s="617">
        <f t="shared" si="67"/>
        <v>0</v>
      </c>
      <c r="W48" s="617">
        <f t="shared" si="67"/>
        <v>32.639755490000006</v>
      </c>
      <c r="X48" s="617">
        <f t="shared" si="67"/>
        <v>50.428422232050011</v>
      </c>
      <c r="Y48" s="617">
        <f t="shared" ref="Y48:Z48" si="73">Y40*Y$45/10^6</f>
        <v>69.255033198682014</v>
      </c>
      <c r="Z48" s="617">
        <f t="shared" si="73"/>
        <v>71.332684194642468</v>
      </c>
      <c r="AA48" s="617">
        <f t="shared" ref="AA48:AB48" si="74">AA40*AA$45/10^6</f>
        <v>73.472664720481745</v>
      </c>
      <c r="AB48" s="617">
        <f t="shared" si="74"/>
        <v>75.676844662096187</v>
      </c>
      <c r="AC48" s="617">
        <f t="shared" ref="AC48" si="75">AC40*AC$45/10^6</f>
        <v>77.947150001959074</v>
      </c>
    </row>
    <row r="49" spans="1:31" x14ac:dyDescent="0.35">
      <c r="A49" s="185" t="s">
        <v>478</v>
      </c>
      <c r="B49" s="185"/>
      <c r="C49" s="235"/>
      <c r="D49" s="191"/>
      <c r="E49" s="191"/>
      <c r="F49" s="165"/>
      <c r="G49" s="191"/>
      <c r="H49" s="191"/>
      <c r="I49" s="191"/>
      <c r="J49" s="191"/>
      <c r="K49" s="234"/>
      <c r="L49" s="191"/>
      <c r="M49" s="191"/>
      <c r="N49" s="266"/>
      <c r="O49" s="165">
        <f t="shared" si="67"/>
        <v>0</v>
      </c>
      <c r="P49" s="234">
        <f t="shared" ref="P49:Q49" si="76">P41*P$45/10^6</f>
        <v>0</v>
      </c>
      <c r="Q49" s="191">
        <f t="shared" si="76"/>
        <v>0</v>
      </c>
      <c r="R49" s="191">
        <f>R41*R$45/10^6/4</f>
        <v>0</v>
      </c>
      <c r="S49" s="266">
        <f>S41*S$45/10^6/4</f>
        <v>0</v>
      </c>
      <c r="T49" s="165">
        <f>SUM(P49:S49)</f>
        <v>0</v>
      </c>
      <c r="U49" s="165">
        <f t="shared" si="67"/>
        <v>0</v>
      </c>
      <c r="V49" s="617">
        <f t="shared" si="67"/>
        <v>0</v>
      </c>
      <c r="W49" s="617">
        <f t="shared" si="67"/>
        <v>0</v>
      </c>
      <c r="X49" s="617">
        <f t="shared" si="67"/>
        <v>0</v>
      </c>
      <c r="Y49" s="617">
        <f t="shared" ref="Y49:Z49" si="77">Y41*Y$45/10^6</f>
        <v>0</v>
      </c>
      <c r="Z49" s="617">
        <f t="shared" si="77"/>
        <v>0</v>
      </c>
      <c r="AA49" s="617">
        <f t="shared" ref="AA49:AB49" si="78">AA41*AA$45/10^6</f>
        <v>0</v>
      </c>
      <c r="AB49" s="617">
        <f t="shared" si="78"/>
        <v>0</v>
      </c>
      <c r="AC49" s="617">
        <f t="shared" ref="AC49" si="79">AC41*AC$45/10^6</f>
        <v>0</v>
      </c>
    </row>
    <row r="50" spans="1:31" x14ac:dyDescent="0.35">
      <c r="A50" s="185" t="s">
        <v>89</v>
      </c>
      <c r="B50" s="234"/>
      <c r="C50" s="191"/>
      <c r="D50" s="191"/>
      <c r="E50" s="191"/>
      <c r="F50" s="165"/>
      <c r="G50" s="191"/>
      <c r="H50" s="191"/>
      <c r="I50" s="191"/>
      <c r="J50" s="191"/>
      <c r="K50" s="234"/>
      <c r="L50" s="191"/>
      <c r="M50" s="191"/>
      <c r="N50" s="266"/>
      <c r="O50" s="165">
        <f t="shared" ref="O50:X50" si="80">O42*O$45</f>
        <v>0</v>
      </c>
      <c r="P50" s="234">
        <f t="shared" ref="P50:S50" si="81">P42*P$45</f>
        <v>0</v>
      </c>
      <c r="Q50" s="191">
        <f t="shared" si="81"/>
        <v>0</v>
      </c>
      <c r="R50" s="191">
        <f t="shared" si="81"/>
        <v>0</v>
      </c>
      <c r="S50" s="266">
        <f t="shared" si="81"/>
        <v>0</v>
      </c>
      <c r="T50" s="165">
        <f>SUM(P50:S50)</f>
        <v>0</v>
      </c>
      <c r="U50" s="165">
        <f t="shared" si="80"/>
        <v>0</v>
      </c>
      <c r="V50" s="617">
        <f t="shared" si="80"/>
        <v>0</v>
      </c>
      <c r="W50" s="617">
        <f t="shared" si="80"/>
        <v>0</v>
      </c>
      <c r="X50" s="617">
        <f t="shared" si="80"/>
        <v>0</v>
      </c>
      <c r="Y50" s="617">
        <f t="shared" ref="Y50:Z50" si="82">Y42*Y$45</f>
        <v>0</v>
      </c>
      <c r="Z50" s="617">
        <f t="shared" si="82"/>
        <v>0</v>
      </c>
      <c r="AA50" s="617">
        <f t="shared" ref="AA50:AB50" si="83">AA42*AA$45</f>
        <v>0</v>
      </c>
      <c r="AB50" s="617">
        <f t="shared" si="83"/>
        <v>0</v>
      </c>
      <c r="AC50" s="617">
        <f t="shared" ref="AC50" si="84">AC42*AC$45</f>
        <v>0</v>
      </c>
    </row>
    <row r="51" spans="1:31" x14ac:dyDescent="0.35">
      <c r="A51" s="223" t="s">
        <v>90</v>
      </c>
      <c r="B51" s="236"/>
      <c r="C51" s="237"/>
      <c r="D51" s="237"/>
      <c r="E51" s="237"/>
      <c r="F51" s="238"/>
      <c r="G51" s="237"/>
      <c r="H51" s="237"/>
      <c r="I51" s="237"/>
      <c r="J51" s="237"/>
      <c r="K51" s="236"/>
      <c r="L51" s="237"/>
      <c r="M51" s="237"/>
      <c r="N51" s="263"/>
      <c r="O51" s="238">
        <f t="shared" ref="O51:X51" si="85">SUM(O47:O50)</f>
        <v>0</v>
      </c>
      <c r="P51" s="236">
        <f t="shared" ref="P51:S51" si="86">SUM(P47:P50)</f>
        <v>0</v>
      </c>
      <c r="Q51" s="237">
        <f t="shared" si="86"/>
        <v>0</v>
      </c>
      <c r="R51" s="237">
        <f t="shared" si="86"/>
        <v>0</v>
      </c>
      <c r="S51" s="263">
        <f t="shared" si="86"/>
        <v>0</v>
      </c>
      <c r="T51" s="165">
        <f>SUM(P51:S51)</f>
        <v>0</v>
      </c>
      <c r="U51" s="238">
        <f t="shared" si="85"/>
        <v>0</v>
      </c>
      <c r="V51" s="132">
        <f t="shared" si="85"/>
        <v>7.92227075</v>
      </c>
      <c r="W51" s="132">
        <f t="shared" si="85"/>
        <v>52.223608784000007</v>
      </c>
      <c r="X51" s="132">
        <f t="shared" si="85"/>
        <v>70.599791124870023</v>
      </c>
      <c r="Y51" s="132">
        <f t="shared" ref="Y51:Z51" si="87">SUM(Y47:Y50)</f>
        <v>90.03154315828661</v>
      </c>
      <c r="Z51" s="132">
        <f t="shared" si="87"/>
        <v>92.732489453035214</v>
      </c>
      <c r="AA51" s="132">
        <f t="shared" ref="AA51:AB51" si="88">SUM(AA47:AA50)</f>
        <v>95.514464136626259</v>
      </c>
      <c r="AB51" s="132">
        <f t="shared" si="88"/>
        <v>98.37989806072504</v>
      </c>
      <c r="AC51" s="132">
        <f t="shared" ref="AC51" si="89">SUM(AC47:AC50)</f>
        <v>101.3312950025468</v>
      </c>
    </row>
    <row r="52" spans="1:31" x14ac:dyDescent="0.35">
      <c r="A52" s="119"/>
      <c r="B52" s="146"/>
      <c r="C52" s="147"/>
      <c r="D52" s="233"/>
      <c r="E52" s="191"/>
      <c r="F52" s="165"/>
      <c r="G52" s="147"/>
      <c r="H52" s="189"/>
      <c r="I52" s="233"/>
      <c r="J52" s="191"/>
      <c r="K52" s="234"/>
      <c r="L52" s="191"/>
      <c r="M52" s="191"/>
      <c r="N52" s="266"/>
      <c r="O52" s="165"/>
      <c r="P52" s="234"/>
      <c r="Q52" s="191"/>
      <c r="R52" s="191"/>
      <c r="S52" s="266"/>
      <c r="T52" s="165"/>
      <c r="U52" s="165"/>
      <c r="V52" s="617"/>
      <c r="W52" s="617"/>
      <c r="X52" s="617"/>
      <c r="Y52" s="617"/>
      <c r="Z52" s="617"/>
      <c r="AA52" s="617"/>
      <c r="AB52" s="617"/>
      <c r="AC52" s="617"/>
    </row>
    <row r="53" spans="1:31" x14ac:dyDescent="0.35">
      <c r="A53" s="223" t="s">
        <v>91</v>
      </c>
      <c r="B53" s="166"/>
      <c r="C53" s="233"/>
      <c r="D53" s="233"/>
      <c r="E53" s="233"/>
      <c r="F53" s="165"/>
      <c r="G53" s="233"/>
      <c r="H53" s="233"/>
      <c r="I53" s="233"/>
      <c r="J53" s="233"/>
      <c r="K53" s="234"/>
      <c r="L53" s="191"/>
      <c r="M53" s="191"/>
      <c r="N53" s="266"/>
      <c r="O53" s="165"/>
      <c r="P53" s="234"/>
      <c r="Q53" s="191"/>
      <c r="R53" s="191"/>
      <c r="S53" s="266"/>
      <c r="T53" s="165"/>
      <c r="U53" s="165"/>
      <c r="V53" s="617"/>
      <c r="W53" s="617"/>
      <c r="X53" s="617"/>
      <c r="Y53" s="617"/>
      <c r="Z53" s="617"/>
      <c r="AA53" s="617"/>
      <c r="AB53" s="617"/>
      <c r="AC53" s="617"/>
    </row>
    <row r="54" spans="1:31" x14ac:dyDescent="0.35">
      <c r="A54" s="185" t="s">
        <v>479</v>
      </c>
      <c r="B54" s="239"/>
      <c r="C54" s="240"/>
      <c r="D54" s="241"/>
      <c r="E54" s="241"/>
      <c r="F54" s="165"/>
      <c r="G54" s="241"/>
      <c r="H54" s="241"/>
      <c r="I54" s="241"/>
      <c r="J54" s="241"/>
      <c r="K54" s="146"/>
      <c r="L54" s="147"/>
      <c r="M54" s="147"/>
      <c r="N54" s="159"/>
      <c r="O54" s="187"/>
      <c r="P54" s="146"/>
      <c r="Q54" s="148"/>
      <c r="R54" s="148"/>
      <c r="S54" s="149"/>
      <c r="T54" s="676"/>
      <c r="U54" s="676"/>
      <c r="V54" s="676">
        <v>30</v>
      </c>
      <c r="W54" s="676">
        <v>50</v>
      </c>
      <c r="X54" s="617">
        <f>W54+10</f>
        <v>60</v>
      </c>
      <c r="Y54" s="617">
        <f t="shared" ref="Y54:AC54" si="90">X54*1.03</f>
        <v>61.800000000000004</v>
      </c>
      <c r="Z54" s="617">
        <f t="shared" si="90"/>
        <v>63.654000000000003</v>
      </c>
      <c r="AA54" s="617">
        <f t="shared" si="90"/>
        <v>65.56362</v>
      </c>
      <c r="AB54" s="617">
        <f t="shared" si="90"/>
        <v>67.530528599999997</v>
      </c>
      <c r="AC54" s="617">
        <f t="shared" si="90"/>
        <v>69.556444458000001</v>
      </c>
    </row>
    <row r="55" spans="1:31" x14ac:dyDescent="0.35">
      <c r="A55" s="185" t="s">
        <v>480</v>
      </c>
      <c r="B55" s="239"/>
      <c r="C55" s="240"/>
      <c r="D55" s="240"/>
      <c r="E55" s="240"/>
      <c r="F55" s="187"/>
      <c r="G55" s="240"/>
      <c r="H55" s="240"/>
      <c r="I55" s="240"/>
      <c r="J55" s="191"/>
      <c r="K55" s="146"/>
      <c r="L55" s="147"/>
      <c r="M55" s="147"/>
      <c r="N55" s="159"/>
      <c r="O55" s="187"/>
      <c r="P55" s="146"/>
      <c r="Q55" s="148"/>
      <c r="R55" s="148"/>
      <c r="S55" s="149"/>
      <c r="T55" s="617"/>
      <c r="U55" s="676"/>
      <c r="V55" s="676"/>
      <c r="W55" s="676">
        <v>30</v>
      </c>
      <c r="X55" s="676">
        <v>75</v>
      </c>
      <c r="Y55" s="676">
        <v>125</v>
      </c>
      <c r="Z55" s="617">
        <f t="shared" ref="Z55:AC55" si="91">Y55*1.05</f>
        <v>131.25</v>
      </c>
      <c r="AA55" s="617">
        <f t="shared" si="91"/>
        <v>137.8125</v>
      </c>
      <c r="AB55" s="617">
        <f t="shared" si="91"/>
        <v>144.703125</v>
      </c>
      <c r="AC55" s="617">
        <f t="shared" si="91"/>
        <v>151.93828125000002</v>
      </c>
    </row>
    <row r="56" spans="1:31" x14ac:dyDescent="0.35">
      <c r="A56" s="185" t="s">
        <v>481</v>
      </c>
      <c r="B56" s="239"/>
      <c r="C56" s="240"/>
      <c r="D56" s="240"/>
      <c r="E56" s="240"/>
      <c r="F56" s="187"/>
      <c r="G56" s="240"/>
      <c r="H56" s="240"/>
      <c r="I56" s="240"/>
      <c r="J56" s="191"/>
      <c r="K56" s="146"/>
      <c r="L56" s="147"/>
      <c r="M56" s="147"/>
      <c r="N56" s="159"/>
      <c r="O56" s="187"/>
      <c r="P56" s="146"/>
      <c r="Q56" s="148"/>
      <c r="R56" s="148"/>
      <c r="S56" s="149"/>
      <c r="T56" s="617"/>
      <c r="U56" s="617"/>
      <c r="V56" s="617"/>
      <c r="W56" s="617"/>
      <c r="X56" s="617">
        <f t="shared" ref="X56:AC56" si="92">W56*1.03</f>
        <v>0</v>
      </c>
      <c r="Y56" s="617">
        <f t="shared" si="92"/>
        <v>0</v>
      </c>
      <c r="Z56" s="617">
        <f t="shared" si="92"/>
        <v>0</v>
      </c>
      <c r="AA56" s="617">
        <f t="shared" si="92"/>
        <v>0</v>
      </c>
      <c r="AB56" s="617">
        <f t="shared" si="92"/>
        <v>0</v>
      </c>
      <c r="AC56" s="617">
        <f t="shared" si="92"/>
        <v>0</v>
      </c>
    </row>
    <row r="57" spans="1:31" x14ac:dyDescent="0.35">
      <c r="A57" s="185" t="s">
        <v>92</v>
      </c>
      <c r="B57" s="239"/>
      <c r="C57" s="240"/>
      <c r="D57" s="240"/>
      <c r="E57" s="240"/>
      <c r="F57" s="187"/>
      <c r="G57" s="240"/>
      <c r="H57" s="240"/>
      <c r="I57" s="240"/>
      <c r="J57" s="191"/>
      <c r="K57" s="234"/>
      <c r="L57" s="191"/>
      <c r="M57" s="191"/>
      <c r="N57" s="266"/>
      <c r="O57" s="676"/>
      <c r="P57" s="664"/>
      <c r="Q57" s="148"/>
      <c r="R57" s="148"/>
      <c r="S57" s="149"/>
      <c r="T57" s="617"/>
      <c r="U57" s="617"/>
      <c r="V57" s="617"/>
      <c r="W57" s="617"/>
      <c r="X57" s="617"/>
      <c r="Y57" s="617"/>
      <c r="Z57" s="617"/>
      <c r="AA57" s="617"/>
      <c r="AB57" s="617"/>
      <c r="AC57" s="617"/>
    </row>
    <row r="58" spans="1:31" x14ac:dyDescent="0.35">
      <c r="A58" s="223" t="s">
        <v>93</v>
      </c>
      <c r="B58" s="242"/>
      <c r="C58" s="243"/>
      <c r="D58" s="244"/>
      <c r="E58" s="244"/>
      <c r="F58" s="245"/>
      <c r="G58" s="244"/>
      <c r="H58" s="244"/>
      <c r="I58" s="244"/>
      <c r="J58" s="244"/>
      <c r="K58" s="236"/>
      <c r="L58" s="237"/>
      <c r="M58" s="237"/>
      <c r="N58" s="263"/>
      <c r="O58" s="238">
        <f t="shared" ref="O58:X58" si="93">SUM(O54:O57)</f>
        <v>0</v>
      </c>
      <c r="P58" s="236">
        <f t="shared" si="93"/>
        <v>0</v>
      </c>
      <c r="Q58" s="237">
        <f t="shared" si="93"/>
        <v>0</v>
      </c>
      <c r="R58" s="237">
        <f t="shared" si="93"/>
        <v>0</v>
      </c>
      <c r="S58" s="263">
        <f t="shared" si="93"/>
        <v>0</v>
      </c>
      <c r="T58" s="238">
        <f t="shared" si="93"/>
        <v>0</v>
      </c>
      <c r="U58" s="238">
        <f t="shared" si="93"/>
        <v>0</v>
      </c>
      <c r="V58" s="132">
        <f t="shared" si="93"/>
        <v>30</v>
      </c>
      <c r="W58" s="132">
        <f t="shared" si="93"/>
        <v>80</v>
      </c>
      <c r="X58" s="132">
        <f t="shared" si="93"/>
        <v>135</v>
      </c>
      <c r="Y58" s="132">
        <f t="shared" ref="Y58:Z58" si="94">SUM(Y54:Y57)</f>
        <v>186.8</v>
      </c>
      <c r="Z58" s="132">
        <f t="shared" si="94"/>
        <v>194.904</v>
      </c>
      <c r="AA58" s="132">
        <f t="shared" ref="AA58:AB58" si="95">SUM(AA54:AA57)</f>
        <v>203.37612000000001</v>
      </c>
      <c r="AB58" s="132">
        <f t="shared" si="95"/>
        <v>212.2336536</v>
      </c>
      <c r="AC58" s="132">
        <f t="shared" ref="AC58" si="96">SUM(AC54:AC57)</f>
        <v>221.49472570800003</v>
      </c>
    </row>
    <row r="59" spans="1:31" x14ac:dyDescent="0.35">
      <c r="A59" s="119"/>
      <c r="B59" s="246"/>
      <c r="C59" s="247"/>
      <c r="D59" s="247"/>
      <c r="E59" s="247"/>
      <c r="F59" s="187"/>
      <c r="G59" s="247"/>
      <c r="H59" s="247"/>
      <c r="I59" s="248"/>
      <c r="J59" s="147"/>
      <c r="K59" s="146"/>
      <c r="L59" s="147"/>
      <c r="M59" s="147"/>
      <c r="N59" s="159"/>
      <c r="O59" s="187"/>
      <c r="P59" s="146"/>
      <c r="Q59" s="147"/>
      <c r="R59" s="147"/>
      <c r="S59" s="159"/>
      <c r="T59" s="187"/>
      <c r="U59" s="187"/>
      <c r="V59" s="676"/>
      <c r="W59" s="676"/>
      <c r="X59" s="676"/>
      <c r="Y59" s="676"/>
      <c r="Z59" s="676"/>
      <c r="AA59" s="676"/>
      <c r="AB59" s="676"/>
      <c r="AC59" s="676"/>
    </row>
    <row r="60" spans="1:31" ht="15" thickBot="1" x14ac:dyDescent="0.4">
      <c r="A60" s="223" t="s">
        <v>94</v>
      </c>
      <c r="B60" s="246"/>
      <c r="C60" s="247"/>
      <c r="D60" s="247"/>
      <c r="E60" s="247"/>
      <c r="F60" s="187"/>
      <c r="G60" s="247"/>
      <c r="H60" s="247"/>
      <c r="I60" s="248"/>
      <c r="J60" s="147"/>
      <c r="K60" s="146"/>
      <c r="L60" s="147"/>
      <c r="M60" s="147"/>
      <c r="N60" s="159"/>
      <c r="O60" s="187"/>
      <c r="P60" s="146"/>
      <c r="Q60" s="147"/>
      <c r="R60" s="147"/>
      <c r="S60" s="159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E60" s="173" t="s">
        <v>77</v>
      </c>
    </row>
    <row r="61" spans="1:31" ht="15" thickBot="1" x14ac:dyDescent="0.4">
      <c r="A61" s="185" t="s">
        <v>482</v>
      </c>
      <c r="B61" s="246"/>
      <c r="C61" s="247"/>
      <c r="D61" s="247"/>
      <c r="E61" s="247"/>
      <c r="F61" s="187"/>
      <c r="G61" s="247"/>
      <c r="H61" s="247"/>
      <c r="I61" s="248"/>
      <c r="J61" s="147"/>
      <c r="K61" s="234"/>
      <c r="L61" s="191"/>
      <c r="M61" s="191"/>
      <c r="N61" s="266"/>
      <c r="O61" s="165">
        <f>(O47+O54)*$AE61</f>
        <v>0</v>
      </c>
      <c r="P61" s="234">
        <f t="shared" ref="P61" si="97">(P47+P54)*$AE61</f>
        <v>0</v>
      </c>
      <c r="Q61" s="191">
        <f t="shared" ref="Q61" si="98">(Q47+Q54)*$AE61</f>
        <v>0</v>
      </c>
      <c r="R61" s="191">
        <f t="shared" ref="R61" si="99">(R47+R54)*$AE61</f>
        <v>0</v>
      </c>
      <c r="S61" s="266">
        <f t="shared" ref="S61" si="100">(S47+S54)*$AE61</f>
        <v>0</v>
      </c>
      <c r="T61" s="165">
        <f t="shared" ref="T61:AC61" si="101">(T47+T54)*$AE61</f>
        <v>0</v>
      </c>
      <c r="U61" s="165">
        <f t="shared" si="101"/>
        <v>0</v>
      </c>
      <c r="V61" s="165">
        <f t="shared" si="101"/>
        <v>20.857248912500005</v>
      </c>
      <c r="W61" s="165">
        <f t="shared" si="101"/>
        <v>38.271119311700005</v>
      </c>
      <c r="X61" s="165">
        <f t="shared" si="101"/>
        <v>44.094252891051006</v>
      </c>
      <c r="Y61" s="165">
        <f t="shared" si="101"/>
        <v>45.417080477782541</v>
      </c>
      <c r="Z61" s="165">
        <f t="shared" si="101"/>
        <v>46.779592892116014</v>
      </c>
      <c r="AA61" s="165">
        <f t="shared" si="101"/>
        <v>48.182980678879488</v>
      </c>
      <c r="AB61" s="165">
        <f t="shared" si="101"/>
        <v>49.628470099245874</v>
      </c>
      <c r="AC61" s="165">
        <f t="shared" si="101"/>
        <v>51.117324202223251</v>
      </c>
      <c r="AE61" s="1012">
        <f>REVENUE!AY7</f>
        <v>0.55000000000000004</v>
      </c>
    </row>
    <row r="62" spans="1:31" ht="15" thickBot="1" x14ac:dyDescent="0.4">
      <c r="A62" s="185" t="s">
        <v>483</v>
      </c>
      <c r="B62" s="246"/>
      <c r="C62" s="247"/>
      <c r="D62" s="247"/>
      <c r="E62" s="247"/>
      <c r="F62" s="187"/>
      <c r="G62" s="247"/>
      <c r="H62" s="247"/>
      <c r="I62" s="248"/>
      <c r="J62" s="147"/>
      <c r="K62" s="234"/>
      <c r="L62" s="191"/>
      <c r="M62" s="191"/>
      <c r="N62" s="266"/>
      <c r="O62" s="165">
        <f>(O48+O55)*$AE62</f>
        <v>0</v>
      </c>
      <c r="P62" s="234">
        <f t="shared" ref="P62:AC62" si="102">(P48+P55)*$AE62</f>
        <v>0</v>
      </c>
      <c r="Q62" s="191">
        <f t="shared" si="102"/>
        <v>0</v>
      </c>
      <c r="R62" s="191">
        <f t="shared" si="102"/>
        <v>0</v>
      </c>
      <c r="S62" s="266">
        <f t="shared" si="102"/>
        <v>0</v>
      </c>
      <c r="T62" s="165">
        <f t="shared" si="102"/>
        <v>0</v>
      </c>
      <c r="U62" s="165">
        <f t="shared" si="102"/>
        <v>0</v>
      </c>
      <c r="V62" s="165">
        <f t="shared" si="102"/>
        <v>0</v>
      </c>
      <c r="W62" s="165">
        <f t="shared" si="102"/>
        <v>15.659938872500001</v>
      </c>
      <c r="X62" s="165">
        <f t="shared" si="102"/>
        <v>31.357105558012503</v>
      </c>
      <c r="Y62" s="165">
        <f t="shared" si="102"/>
        <v>48.563758299670504</v>
      </c>
      <c r="Z62" s="165">
        <f t="shared" si="102"/>
        <v>50.645671048660617</v>
      </c>
      <c r="AA62" s="165">
        <f t="shared" si="102"/>
        <v>52.82129118012044</v>
      </c>
      <c r="AB62" s="165">
        <f t="shared" si="102"/>
        <v>55.094992415524047</v>
      </c>
      <c r="AC62" s="165">
        <f t="shared" si="102"/>
        <v>57.471357812989773</v>
      </c>
      <c r="AE62" s="1013">
        <f>REVENUE!AY12</f>
        <v>0.25</v>
      </c>
    </row>
    <row r="63" spans="1:31" ht="15" thickBot="1" x14ac:dyDescent="0.4">
      <c r="A63" s="185" t="s">
        <v>484</v>
      </c>
      <c r="B63" s="246"/>
      <c r="C63" s="247"/>
      <c r="D63" s="247"/>
      <c r="E63" s="247"/>
      <c r="F63" s="187"/>
      <c r="G63" s="247"/>
      <c r="H63" s="247"/>
      <c r="I63" s="248"/>
      <c r="J63" s="147"/>
      <c r="K63" s="234"/>
      <c r="L63" s="191"/>
      <c r="M63" s="191"/>
      <c r="N63" s="266"/>
      <c r="O63" s="165">
        <f>(O49+O56)*$AE63</f>
        <v>0</v>
      </c>
      <c r="P63" s="234">
        <f t="shared" ref="P63:AC63" si="103">(P49+P56)*$AE63</f>
        <v>0</v>
      </c>
      <c r="Q63" s="191">
        <f t="shared" si="103"/>
        <v>0</v>
      </c>
      <c r="R63" s="191">
        <f t="shared" si="103"/>
        <v>0</v>
      </c>
      <c r="S63" s="266">
        <f t="shared" si="103"/>
        <v>0</v>
      </c>
      <c r="T63" s="165">
        <f t="shared" si="103"/>
        <v>0</v>
      </c>
      <c r="U63" s="165">
        <f t="shared" si="103"/>
        <v>0</v>
      </c>
      <c r="V63" s="165">
        <f t="shared" si="103"/>
        <v>0</v>
      </c>
      <c r="W63" s="165">
        <f t="shared" si="103"/>
        <v>0</v>
      </c>
      <c r="X63" s="165">
        <f t="shared" si="103"/>
        <v>0</v>
      </c>
      <c r="Y63" s="165">
        <f t="shared" si="103"/>
        <v>0</v>
      </c>
      <c r="Z63" s="165">
        <f t="shared" si="103"/>
        <v>0</v>
      </c>
      <c r="AA63" s="165">
        <f t="shared" si="103"/>
        <v>0</v>
      </c>
      <c r="AB63" s="165">
        <f t="shared" si="103"/>
        <v>0</v>
      </c>
      <c r="AC63" s="165">
        <f t="shared" si="103"/>
        <v>0</v>
      </c>
      <c r="AE63" s="1014">
        <f>REVENUE!AY24</f>
        <v>0.05</v>
      </c>
    </row>
    <row r="64" spans="1:31" ht="15" thickBot="1" x14ac:dyDescent="0.4">
      <c r="A64" s="185" t="s">
        <v>95</v>
      </c>
      <c r="B64" s="246"/>
      <c r="C64" s="247"/>
      <c r="D64" s="247"/>
      <c r="E64" s="247"/>
      <c r="F64" s="187"/>
      <c r="G64" s="247"/>
      <c r="H64" s="247"/>
      <c r="I64" s="248"/>
      <c r="J64" s="147"/>
      <c r="K64" s="234"/>
      <c r="L64" s="191"/>
      <c r="M64" s="191"/>
      <c r="N64" s="266"/>
      <c r="O64" s="165">
        <f>(O50+O57)*$AE64</f>
        <v>0</v>
      </c>
      <c r="P64" s="234">
        <f t="shared" ref="P64:AC64" si="104">(P50+P57)*$AE64</f>
        <v>0</v>
      </c>
      <c r="Q64" s="191">
        <f t="shared" si="104"/>
        <v>0</v>
      </c>
      <c r="R64" s="191">
        <f t="shared" si="104"/>
        <v>0</v>
      </c>
      <c r="S64" s="266">
        <f t="shared" si="104"/>
        <v>0</v>
      </c>
      <c r="T64" s="165">
        <f t="shared" si="104"/>
        <v>0</v>
      </c>
      <c r="U64" s="165">
        <f t="shared" si="104"/>
        <v>0</v>
      </c>
      <c r="V64" s="165">
        <f t="shared" si="104"/>
        <v>0</v>
      </c>
      <c r="W64" s="165">
        <f t="shared" si="104"/>
        <v>0</v>
      </c>
      <c r="X64" s="165">
        <f t="shared" si="104"/>
        <v>0</v>
      </c>
      <c r="Y64" s="165">
        <f t="shared" si="104"/>
        <v>0</v>
      </c>
      <c r="Z64" s="165">
        <f t="shared" si="104"/>
        <v>0</v>
      </c>
      <c r="AA64" s="165">
        <f t="shared" si="104"/>
        <v>0</v>
      </c>
      <c r="AB64" s="165">
        <f t="shared" si="104"/>
        <v>0</v>
      </c>
      <c r="AC64" s="165">
        <f t="shared" si="104"/>
        <v>0</v>
      </c>
      <c r="AE64" s="1015">
        <v>1</v>
      </c>
    </row>
    <row r="65" spans="1:29" x14ac:dyDescent="0.35">
      <c r="A65" s="119"/>
      <c r="B65" s="246"/>
      <c r="C65" s="247"/>
      <c r="D65" s="247"/>
      <c r="E65" s="247"/>
      <c r="F65" s="187"/>
      <c r="G65" s="247"/>
      <c r="H65" s="247"/>
      <c r="I65" s="248"/>
      <c r="J65" s="147"/>
      <c r="K65" s="146"/>
      <c r="L65" s="147"/>
      <c r="M65" s="147"/>
      <c r="N65" s="159"/>
      <c r="O65" s="187"/>
      <c r="P65" s="146"/>
      <c r="Q65" s="147"/>
      <c r="R65" s="147"/>
      <c r="S65" s="159"/>
      <c r="T65" s="187"/>
      <c r="U65" s="187"/>
      <c r="V65" s="187"/>
      <c r="W65" s="187"/>
      <c r="X65" s="187"/>
      <c r="Y65" s="187"/>
      <c r="Z65" s="187"/>
      <c r="AA65" s="187"/>
      <c r="AB65" s="187"/>
      <c r="AC65" s="187"/>
    </row>
    <row r="66" spans="1:29" x14ac:dyDescent="0.35">
      <c r="A66" s="249" t="s">
        <v>96</v>
      </c>
      <c r="B66" s="250"/>
      <c r="C66" s="251"/>
      <c r="D66" s="214"/>
      <c r="E66" s="214"/>
      <c r="F66" s="216"/>
      <c r="G66" s="214"/>
      <c r="H66" s="215"/>
      <c r="I66" s="214"/>
      <c r="J66" s="214"/>
      <c r="K66" s="631"/>
      <c r="L66" s="218"/>
      <c r="M66" s="218">
        <f t="shared" ref="M66:S66" si="105">SUM(M61:M64)</f>
        <v>0</v>
      </c>
      <c r="N66" s="630">
        <f t="shared" si="105"/>
        <v>0</v>
      </c>
      <c r="O66" s="219">
        <f>SUM(O61:O64)</f>
        <v>0</v>
      </c>
      <c r="P66" s="631">
        <f t="shared" si="105"/>
        <v>0</v>
      </c>
      <c r="Q66" s="218">
        <f t="shared" si="105"/>
        <v>0</v>
      </c>
      <c r="R66" s="218">
        <f t="shared" si="105"/>
        <v>0</v>
      </c>
      <c r="S66" s="630">
        <f t="shared" si="105"/>
        <v>0</v>
      </c>
      <c r="T66" s="219">
        <f t="shared" ref="T66:X66" si="106">SUM(T61:T64)</f>
        <v>0</v>
      </c>
      <c r="U66" s="219">
        <f t="shared" si="106"/>
        <v>0</v>
      </c>
      <c r="V66" s="219">
        <f t="shared" si="106"/>
        <v>20.857248912500005</v>
      </c>
      <c r="W66" s="219">
        <f t="shared" si="106"/>
        <v>53.931058184200005</v>
      </c>
      <c r="X66" s="219">
        <f t="shared" si="106"/>
        <v>75.451358449063505</v>
      </c>
      <c r="Y66" s="219">
        <f t="shared" ref="Y66:Z66" si="107">SUM(Y61:Y64)</f>
        <v>93.980838777453044</v>
      </c>
      <c r="Z66" s="219">
        <f t="shared" si="107"/>
        <v>97.425263940776631</v>
      </c>
      <c r="AA66" s="219">
        <f t="shared" ref="AA66:AB66" si="108">SUM(AA61:AA64)</f>
        <v>101.00427185899993</v>
      </c>
      <c r="AB66" s="219">
        <f t="shared" si="108"/>
        <v>104.72346251476992</v>
      </c>
      <c r="AC66" s="219">
        <f t="shared" ref="AC66" si="109">SUM(AC61:AC64)</f>
        <v>108.58868201521302</v>
      </c>
    </row>
    <row r="67" spans="1:29" x14ac:dyDescent="0.35">
      <c r="A67" s="223"/>
      <c r="B67" s="166"/>
      <c r="C67" s="233"/>
      <c r="D67" s="233"/>
      <c r="E67" s="233"/>
      <c r="F67" s="164"/>
      <c r="G67" s="233"/>
      <c r="H67" s="233"/>
      <c r="I67" s="233"/>
      <c r="J67" s="233"/>
      <c r="K67" s="166"/>
      <c r="L67" s="233"/>
      <c r="M67" s="233"/>
      <c r="N67" s="658"/>
      <c r="O67" s="164"/>
      <c r="P67" s="166"/>
      <c r="Q67" s="233"/>
      <c r="R67" s="233"/>
      <c r="S67" s="658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spans="1:29" s="63" customFormat="1" ht="15" thickBot="1" x14ac:dyDescent="0.4">
      <c r="A68" s="252" t="s">
        <v>97</v>
      </c>
      <c r="B68" s="253">
        <f>IS!B16</f>
        <v>0</v>
      </c>
      <c r="C68" s="254">
        <f>IS!C16</f>
        <v>0</v>
      </c>
      <c r="D68" s="254">
        <f>IS!D16</f>
        <v>0</v>
      </c>
      <c r="E68" s="254">
        <f>IS!E16</f>
        <v>0</v>
      </c>
      <c r="F68" s="255">
        <f>IS!F16</f>
        <v>10.968</v>
      </c>
      <c r="G68" s="254">
        <f>IS!G16</f>
        <v>3.6739999999999999</v>
      </c>
      <c r="H68" s="254">
        <f>IS!H16</f>
        <v>2.802</v>
      </c>
      <c r="I68" s="254">
        <f>IS!I16</f>
        <v>5.5979999999999999</v>
      </c>
      <c r="J68" s="254">
        <f>IS!J16</f>
        <v>5.3480000000000008</v>
      </c>
      <c r="K68" s="254"/>
      <c r="L68" s="254"/>
      <c r="M68" s="254">
        <f>IS!AC16</f>
        <v>4.4039999999999999</v>
      </c>
      <c r="N68" s="992">
        <f>IS!AD16</f>
        <v>18.754999999999999</v>
      </c>
      <c r="O68" s="255">
        <f t="shared" ref="O68:X68" si="110">SUM(O33,O66)</f>
        <v>30.733999999999998</v>
      </c>
      <c r="P68" s="951">
        <f t="shared" ref="P68:S68" si="111">SUM(P33,P66)</f>
        <v>13</v>
      </c>
      <c r="Q68" s="952">
        <f t="shared" si="111"/>
        <v>14.1</v>
      </c>
      <c r="R68" s="952">
        <f t="shared" si="111"/>
        <v>15</v>
      </c>
      <c r="S68" s="670">
        <f t="shared" si="111"/>
        <v>15.2</v>
      </c>
      <c r="T68" s="255">
        <f>SUM(T33,T66)</f>
        <v>57.3</v>
      </c>
      <c r="U68" s="255">
        <f t="shared" si="110"/>
        <v>59.019000000000005</v>
      </c>
      <c r="V68" s="255">
        <f t="shared" si="110"/>
        <v>81.646818912500009</v>
      </c>
      <c r="W68" s="255">
        <f t="shared" si="110"/>
        <v>116.54431528420001</v>
      </c>
      <c r="X68" s="255">
        <f t="shared" si="110"/>
        <v>139.94301326206352</v>
      </c>
      <c r="Y68" s="255">
        <f t="shared" ref="Y68:Z68" si="112">SUM(Y33,Y66)</f>
        <v>160.40724323484307</v>
      </c>
      <c r="Z68" s="255">
        <f t="shared" si="112"/>
        <v>165.84446053188833</v>
      </c>
      <c r="AA68" s="255">
        <f t="shared" ref="AA68:AB68" si="113">SUM(AA33,AA66)</f>
        <v>171.476044347845</v>
      </c>
      <c r="AB68" s="255">
        <f t="shared" si="113"/>
        <v>177.30938817828033</v>
      </c>
      <c r="AC68" s="255">
        <f t="shared" ref="AC68" si="114">SUM(AC33,AC66)</f>
        <v>183.35218544862875</v>
      </c>
    </row>
    <row r="69" spans="1:29" x14ac:dyDescent="0.35">
      <c r="A69" s="202" t="s">
        <v>16</v>
      </c>
      <c r="B69" s="203"/>
      <c r="C69" s="203"/>
      <c r="D69" s="203"/>
      <c r="E69" s="203"/>
      <c r="F69" s="203"/>
      <c r="G69" s="203"/>
      <c r="H69" s="203"/>
      <c r="I69" s="203"/>
      <c r="J69" s="203"/>
      <c r="K69" s="204"/>
      <c r="L69" s="204"/>
      <c r="M69" s="204">
        <f>FactSet!P20</f>
        <v>4.4000000000000004</v>
      </c>
      <c r="N69" s="204">
        <f>FactSet!Q20</f>
        <v>18.8</v>
      </c>
      <c r="O69" s="204">
        <f>FactSet!R20</f>
        <v>30.7</v>
      </c>
      <c r="P69" s="204">
        <f>FactSet!S20</f>
        <v>8.5</v>
      </c>
      <c r="Q69" s="204">
        <f>FactSet!T20</f>
        <v>9.033334</v>
      </c>
      <c r="R69" s="204">
        <f>FactSet!U20</f>
        <v>9.7333339999999993</v>
      </c>
      <c r="S69" s="204">
        <f>FactSet!V20</f>
        <v>10.166667</v>
      </c>
      <c r="T69" s="204">
        <f>FactSet!W20</f>
        <v>37.433334000000002</v>
      </c>
      <c r="U69" s="204">
        <f>FactSet!X20</f>
        <v>42.1</v>
      </c>
      <c r="V69" s="203"/>
      <c r="W69" s="203"/>
      <c r="X69" s="203"/>
      <c r="Y69" s="203"/>
      <c r="Z69" s="203"/>
      <c r="AA69" s="203"/>
      <c r="AB69" s="203"/>
      <c r="AC69" s="203"/>
    </row>
    <row r="70" spans="1:29" ht="15" thickBot="1" x14ac:dyDescent="0.4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2"/>
      <c r="L70" s="102"/>
      <c r="M70" s="102"/>
      <c r="N70" s="102"/>
      <c r="O70" s="101"/>
      <c r="P70" s="102"/>
      <c r="Q70" s="102"/>
      <c r="R70" s="102"/>
      <c r="S70" s="102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</row>
    <row r="71" spans="1:29" ht="15" thickBot="1" x14ac:dyDescent="0.4">
      <c r="A71" s="101"/>
      <c r="B71" s="209" t="str">
        <f t="shared" ref="B71:J71" si="115">B3</f>
        <v>1Q19A</v>
      </c>
      <c r="C71" s="210" t="str">
        <f t="shared" si="115"/>
        <v>2Q19A</v>
      </c>
      <c r="D71" s="210" t="str">
        <f t="shared" si="115"/>
        <v>3Q19A</v>
      </c>
      <c r="E71" s="210" t="str">
        <f t="shared" si="115"/>
        <v>4Q19A</v>
      </c>
      <c r="F71" s="106" t="str">
        <f t="shared" si="115"/>
        <v>2019A</v>
      </c>
      <c r="G71" s="210" t="str">
        <f t="shared" si="115"/>
        <v>1Q20A</v>
      </c>
      <c r="H71" s="210" t="str">
        <f t="shared" si="115"/>
        <v>2Q20A</v>
      </c>
      <c r="I71" s="210" t="str">
        <f t="shared" si="115"/>
        <v>3Q20A</v>
      </c>
      <c r="J71" s="210" t="str">
        <f t="shared" si="115"/>
        <v>4Q20A</v>
      </c>
      <c r="K71" s="107"/>
      <c r="L71" s="105"/>
      <c r="M71" s="105" t="str">
        <f t="shared" ref="M71:AC71" si="116">M3</f>
        <v>3Q25A</v>
      </c>
      <c r="N71" s="108" t="str">
        <f t="shared" si="116"/>
        <v>4Q25A</v>
      </c>
      <c r="O71" s="106" t="str">
        <f t="shared" si="116"/>
        <v>2025A</v>
      </c>
      <c r="P71" s="107" t="str">
        <f t="shared" si="116"/>
        <v>1Q26E</v>
      </c>
      <c r="Q71" s="105" t="str">
        <f t="shared" si="116"/>
        <v>2Q26E</v>
      </c>
      <c r="R71" s="105" t="str">
        <f t="shared" si="116"/>
        <v>3Q26E</v>
      </c>
      <c r="S71" s="108" t="str">
        <f t="shared" si="116"/>
        <v>4Q26E</v>
      </c>
      <c r="T71" s="106" t="str">
        <f t="shared" si="116"/>
        <v>2026E</v>
      </c>
      <c r="U71" s="106" t="str">
        <f t="shared" si="116"/>
        <v>2027E</v>
      </c>
      <c r="V71" s="106" t="str">
        <f t="shared" si="116"/>
        <v>2028E</v>
      </c>
      <c r="W71" s="106" t="str">
        <f t="shared" si="116"/>
        <v>2029E</v>
      </c>
      <c r="X71" s="106" t="str">
        <f t="shared" si="116"/>
        <v>2030E</v>
      </c>
      <c r="Y71" s="106" t="str">
        <f t="shared" si="116"/>
        <v>2031E</v>
      </c>
      <c r="Z71" s="106" t="str">
        <f t="shared" si="116"/>
        <v>2032E</v>
      </c>
      <c r="AA71" s="106" t="str">
        <f t="shared" si="116"/>
        <v>2033E</v>
      </c>
      <c r="AB71" s="106" t="str">
        <f t="shared" si="116"/>
        <v>2034E</v>
      </c>
      <c r="AC71" s="106" t="str">
        <f t="shared" si="116"/>
        <v>2035E</v>
      </c>
    </row>
    <row r="72" spans="1:29" ht="15" thickBot="1" x14ac:dyDescent="0.4">
      <c r="A72" s="117"/>
      <c r="B72" s="211"/>
      <c r="C72" s="212"/>
      <c r="D72" s="212"/>
      <c r="E72" s="256"/>
      <c r="F72" s="183"/>
      <c r="G72" s="211"/>
      <c r="H72" s="212"/>
      <c r="I72" s="212"/>
      <c r="J72" s="256"/>
      <c r="K72" s="222"/>
      <c r="L72" s="179"/>
      <c r="M72" s="179"/>
      <c r="N72" s="183"/>
      <c r="O72" s="184"/>
      <c r="P72" s="222"/>
      <c r="Q72" s="179"/>
      <c r="R72" s="179"/>
      <c r="S72" s="183"/>
      <c r="T72" s="184"/>
      <c r="U72" s="184"/>
      <c r="V72" s="222"/>
      <c r="W72" s="184"/>
      <c r="X72" s="184"/>
      <c r="Y72" s="184"/>
      <c r="Z72" s="184"/>
      <c r="AA72" s="184"/>
      <c r="AB72" s="184"/>
      <c r="AC72" s="184"/>
    </row>
    <row r="73" spans="1:29" ht="15" thickBot="1" x14ac:dyDescent="0.4">
      <c r="A73" s="181" t="s">
        <v>98</v>
      </c>
      <c r="B73" s="117"/>
      <c r="C73" s="102"/>
      <c r="D73" s="102"/>
      <c r="E73" s="118"/>
      <c r="F73" s="102"/>
      <c r="G73" s="117"/>
      <c r="H73" s="102"/>
      <c r="I73" s="102"/>
      <c r="J73" s="118"/>
      <c r="K73" s="117"/>
      <c r="L73" s="102"/>
      <c r="M73" s="102"/>
      <c r="N73" s="118"/>
      <c r="O73" s="113"/>
      <c r="P73" s="117"/>
      <c r="Q73" s="102"/>
      <c r="R73" s="102"/>
      <c r="S73" s="118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</row>
    <row r="74" spans="1:29" x14ac:dyDescent="0.35">
      <c r="A74" s="117"/>
      <c r="B74" s="222"/>
      <c r="C74" s="179"/>
      <c r="D74" s="179"/>
      <c r="E74" s="183"/>
      <c r="F74" s="179"/>
      <c r="G74" s="222"/>
      <c r="H74" s="179"/>
      <c r="I74" s="179"/>
      <c r="J74" s="183"/>
      <c r="K74" s="222"/>
      <c r="L74" s="179"/>
      <c r="M74" s="179"/>
      <c r="N74" s="183"/>
      <c r="O74" s="184"/>
      <c r="P74" s="222"/>
      <c r="Q74" s="179"/>
      <c r="R74" s="179"/>
      <c r="S74" s="183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</row>
    <row r="75" spans="1:29" x14ac:dyDescent="0.35">
      <c r="A75" s="223" t="s">
        <v>30</v>
      </c>
      <c r="B75" s="222"/>
      <c r="C75" s="179"/>
      <c r="D75" s="179"/>
      <c r="E75" s="183"/>
      <c r="F75" s="179"/>
      <c r="G75" s="222"/>
      <c r="H75" s="179"/>
      <c r="I75" s="179"/>
      <c r="J75" s="183"/>
      <c r="K75" s="222"/>
      <c r="L75" s="179"/>
      <c r="M75" s="179"/>
      <c r="N75" s="183"/>
      <c r="O75" s="184"/>
      <c r="P75" s="222"/>
      <c r="Q75" s="179"/>
      <c r="R75" s="179"/>
      <c r="S75" s="183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</row>
    <row r="76" spans="1:29" x14ac:dyDescent="0.35">
      <c r="A76" s="185" t="s">
        <v>485</v>
      </c>
      <c r="B76" s="239"/>
      <c r="C76" s="240"/>
      <c r="D76" s="257"/>
      <c r="E76" s="258"/>
      <c r="F76" s="147"/>
      <c r="G76" s="506"/>
      <c r="H76" s="257"/>
      <c r="I76" s="257"/>
      <c r="J76" s="158"/>
      <c r="K76" s="506"/>
      <c r="L76" s="257"/>
      <c r="M76" s="257"/>
      <c r="N76" s="258"/>
      <c r="O76" s="259">
        <v>0</v>
      </c>
      <c r="P76" s="151">
        <v>0.92500000000000004</v>
      </c>
      <c r="Q76" s="257">
        <f t="shared" ref="Q76:S79" si="117">P76</f>
        <v>0.92500000000000004</v>
      </c>
      <c r="R76" s="257">
        <f t="shared" si="117"/>
        <v>0.92500000000000004</v>
      </c>
      <c r="S76" s="257">
        <f t="shared" si="117"/>
        <v>0.92500000000000004</v>
      </c>
      <c r="T76" s="973" t="str">
        <f>IFERROR(T83/T97,"NM")</f>
        <v>NM</v>
      </c>
      <c r="U76" s="259">
        <f>S76</f>
        <v>0.92500000000000004</v>
      </c>
      <c r="V76" s="259">
        <f t="shared" ref="V76:AC78" si="118">U76</f>
        <v>0.92500000000000004</v>
      </c>
      <c r="W76" s="259">
        <f t="shared" si="118"/>
        <v>0.92500000000000004</v>
      </c>
      <c r="X76" s="259">
        <f t="shared" si="118"/>
        <v>0.92500000000000004</v>
      </c>
      <c r="Y76" s="259">
        <f t="shared" si="118"/>
        <v>0.92500000000000004</v>
      </c>
      <c r="Z76" s="259">
        <f t="shared" si="118"/>
        <v>0.92500000000000004</v>
      </c>
      <c r="AA76" s="259">
        <f t="shared" si="118"/>
        <v>0.92500000000000004</v>
      </c>
      <c r="AB76" s="259">
        <f t="shared" si="118"/>
        <v>0.92500000000000004</v>
      </c>
      <c r="AC76" s="259">
        <f t="shared" si="118"/>
        <v>0.92500000000000004</v>
      </c>
    </row>
    <row r="77" spans="1:29" x14ac:dyDescent="0.35">
      <c r="A77" s="185" t="s">
        <v>486</v>
      </c>
      <c r="B77" s="239"/>
      <c r="C77" s="240"/>
      <c r="D77" s="240"/>
      <c r="E77" s="260"/>
      <c r="F77" s="147"/>
      <c r="G77" s="239"/>
      <c r="H77" s="240"/>
      <c r="I77" s="240"/>
      <c r="J77" s="266"/>
      <c r="K77" s="506"/>
      <c r="L77" s="257"/>
      <c r="M77" s="257"/>
      <c r="N77" s="258"/>
      <c r="O77" s="259">
        <v>0</v>
      </c>
      <c r="P77" s="151">
        <v>0.92500000000000004</v>
      </c>
      <c r="Q77" s="257">
        <f t="shared" si="117"/>
        <v>0.92500000000000004</v>
      </c>
      <c r="R77" s="257">
        <f t="shared" si="117"/>
        <v>0.92500000000000004</v>
      </c>
      <c r="S77" s="257">
        <f t="shared" si="117"/>
        <v>0.92500000000000004</v>
      </c>
      <c r="T77" s="973" t="str">
        <f t="shared" ref="T77:T79" si="119">IFERROR(T84/T98,"NM")</f>
        <v>NM</v>
      </c>
      <c r="U77" s="259">
        <f t="shared" ref="U77:U79" si="120">S77</f>
        <v>0.92500000000000004</v>
      </c>
      <c r="V77" s="259">
        <f t="shared" si="118"/>
        <v>0.92500000000000004</v>
      </c>
      <c r="W77" s="259">
        <f t="shared" si="118"/>
        <v>0.92500000000000004</v>
      </c>
      <c r="X77" s="259">
        <f t="shared" si="118"/>
        <v>0.92500000000000004</v>
      </c>
      <c r="Y77" s="259">
        <f t="shared" si="118"/>
        <v>0.92500000000000004</v>
      </c>
      <c r="Z77" s="259">
        <f t="shared" si="118"/>
        <v>0.92500000000000004</v>
      </c>
      <c r="AA77" s="259">
        <f t="shared" si="118"/>
        <v>0.92500000000000004</v>
      </c>
      <c r="AB77" s="259">
        <f t="shared" si="118"/>
        <v>0.92500000000000004</v>
      </c>
      <c r="AC77" s="259">
        <f t="shared" si="118"/>
        <v>0.92500000000000004</v>
      </c>
    </row>
    <row r="78" spans="1:29" x14ac:dyDescent="0.35">
      <c r="A78" s="185" t="s">
        <v>487</v>
      </c>
      <c r="B78" s="239"/>
      <c r="C78" s="240"/>
      <c r="D78" s="240"/>
      <c r="E78" s="260"/>
      <c r="F78" s="147"/>
      <c r="G78" s="239"/>
      <c r="H78" s="240"/>
      <c r="I78" s="240"/>
      <c r="J78" s="266"/>
      <c r="K78" s="506"/>
      <c r="L78" s="257"/>
      <c r="M78" s="257"/>
      <c r="N78" s="258"/>
      <c r="O78" s="259">
        <v>0</v>
      </c>
      <c r="P78" s="151">
        <v>0.92500000000000004</v>
      </c>
      <c r="Q78" s="257">
        <f t="shared" si="117"/>
        <v>0.92500000000000004</v>
      </c>
      <c r="R78" s="257">
        <f t="shared" si="117"/>
        <v>0.92500000000000004</v>
      </c>
      <c r="S78" s="257">
        <f t="shared" si="117"/>
        <v>0.92500000000000004</v>
      </c>
      <c r="T78" s="973" t="str">
        <f t="shared" si="119"/>
        <v>NM</v>
      </c>
      <c r="U78" s="259">
        <f t="shared" si="120"/>
        <v>0.92500000000000004</v>
      </c>
      <c r="V78" s="259">
        <f t="shared" si="118"/>
        <v>0.92500000000000004</v>
      </c>
      <c r="W78" s="259">
        <f t="shared" si="118"/>
        <v>0.92500000000000004</v>
      </c>
      <c r="X78" s="259">
        <f t="shared" si="118"/>
        <v>0.92500000000000004</v>
      </c>
      <c r="Y78" s="259">
        <f t="shared" si="118"/>
        <v>0.92500000000000004</v>
      </c>
      <c r="Z78" s="259">
        <f t="shared" si="118"/>
        <v>0.92500000000000004</v>
      </c>
      <c r="AA78" s="259">
        <f t="shared" si="118"/>
        <v>0.92500000000000004</v>
      </c>
      <c r="AB78" s="259">
        <f t="shared" si="118"/>
        <v>0.92500000000000004</v>
      </c>
      <c r="AC78" s="259">
        <f t="shared" si="118"/>
        <v>0.92500000000000004</v>
      </c>
    </row>
    <row r="79" spans="1:29" x14ac:dyDescent="0.35">
      <c r="A79" s="185" t="s">
        <v>76</v>
      </c>
      <c r="B79" s="239"/>
      <c r="C79" s="240"/>
      <c r="D79" s="240"/>
      <c r="E79" s="260"/>
      <c r="F79" s="147"/>
      <c r="G79" s="239"/>
      <c r="H79" s="240"/>
      <c r="I79" s="240"/>
      <c r="J79" s="266"/>
      <c r="K79" s="506"/>
      <c r="L79" s="257"/>
      <c r="M79" s="257"/>
      <c r="N79" s="258"/>
      <c r="O79" s="259">
        <v>0</v>
      </c>
      <c r="P79" s="151">
        <v>1</v>
      </c>
      <c r="Q79" s="257">
        <f t="shared" si="117"/>
        <v>1</v>
      </c>
      <c r="R79" s="257">
        <f t="shared" si="117"/>
        <v>1</v>
      </c>
      <c r="S79" s="257">
        <f t="shared" si="117"/>
        <v>1</v>
      </c>
      <c r="T79" s="973" t="str">
        <f t="shared" si="119"/>
        <v>NM</v>
      </c>
      <c r="U79" s="259">
        <f t="shared" si="120"/>
        <v>1</v>
      </c>
      <c r="V79" s="259">
        <f t="shared" ref="V79:AC79" si="121">U79</f>
        <v>1</v>
      </c>
      <c r="W79" s="259">
        <f t="shared" si="121"/>
        <v>1</v>
      </c>
      <c r="X79" s="259">
        <f t="shared" si="121"/>
        <v>1</v>
      </c>
      <c r="Y79" s="259">
        <f t="shared" si="121"/>
        <v>1</v>
      </c>
      <c r="Z79" s="259">
        <f t="shared" si="121"/>
        <v>1</v>
      </c>
      <c r="AA79" s="259">
        <f t="shared" si="121"/>
        <v>1</v>
      </c>
      <c r="AB79" s="259">
        <f t="shared" si="121"/>
        <v>1</v>
      </c>
      <c r="AC79" s="259">
        <f t="shared" si="121"/>
        <v>1</v>
      </c>
    </row>
    <row r="80" spans="1:29" x14ac:dyDescent="0.35">
      <c r="A80" s="262" t="s">
        <v>99</v>
      </c>
      <c r="B80" s="236"/>
      <c r="C80" s="237"/>
      <c r="D80" s="237"/>
      <c r="E80" s="263"/>
      <c r="F80" s="237"/>
      <c r="G80" s="236"/>
      <c r="H80" s="237"/>
      <c r="I80" s="237"/>
      <c r="J80" s="263"/>
      <c r="K80" s="236"/>
      <c r="L80" s="237"/>
      <c r="M80" s="237"/>
      <c r="N80" s="263"/>
      <c r="O80" s="238"/>
      <c r="P80" s="236"/>
      <c r="Q80" s="237"/>
      <c r="R80" s="237"/>
      <c r="S80" s="263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</row>
    <row r="81" spans="1:29" x14ac:dyDescent="0.35">
      <c r="A81" s="119"/>
      <c r="B81" s="239"/>
      <c r="C81" s="240"/>
      <c r="D81" s="240"/>
      <c r="E81" s="260"/>
      <c r="F81" s="147"/>
      <c r="G81" s="239"/>
      <c r="H81" s="240"/>
      <c r="I81" s="240"/>
      <c r="J81" s="266"/>
      <c r="K81" s="234"/>
      <c r="L81" s="191"/>
      <c r="M81" s="191"/>
      <c r="N81" s="266"/>
      <c r="O81" s="165"/>
      <c r="P81" s="234"/>
      <c r="Q81" s="191"/>
      <c r="R81" s="191"/>
      <c r="S81" s="266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</row>
    <row r="82" spans="1:29" x14ac:dyDescent="0.35">
      <c r="A82" s="223" t="s">
        <v>100</v>
      </c>
      <c r="B82" s="239"/>
      <c r="C82" s="240"/>
      <c r="D82" s="240"/>
      <c r="E82" s="260"/>
      <c r="F82" s="147"/>
      <c r="G82" s="239"/>
      <c r="H82" s="240"/>
      <c r="I82" s="240"/>
      <c r="J82" s="266"/>
      <c r="K82" s="234"/>
      <c r="L82" s="191"/>
      <c r="M82" s="191"/>
      <c r="N82" s="266"/>
      <c r="O82" s="165"/>
      <c r="P82" s="234"/>
      <c r="Q82" s="191"/>
      <c r="R82" s="191"/>
      <c r="S82" s="266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</row>
    <row r="83" spans="1:29" x14ac:dyDescent="0.35">
      <c r="A83" s="185" t="s">
        <v>485</v>
      </c>
      <c r="B83" s="167"/>
      <c r="C83" s="168"/>
      <c r="D83" s="241"/>
      <c r="E83" s="186"/>
      <c r="F83" s="241"/>
      <c r="G83" s="264"/>
      <c r="H83" s="241"/>
      <c r="I83" s="241"/>
      <c r="J83" s="186"/>
      <c r="K83" s="167"/>
      <c r="L83" s="168"/>
      <c r="M83" s="168"/>
      <c r="N83" s="169"/>
      <c r="O83" s="755">
        <v>0</v>
      </c>
      <c r="P83" s="167">
        <f t="shared" ref="P83" si="122">P76*P97</f>
        <v>0</v>
      </c>
      <c r="Q83" s="168">
        <f t="shared" ref="Q83" si="123">Q76*Q97</f>
        <v>0</v>
      </c>
      <c r="R83" s="168">
        <f t="shared" ref="R83" si="124">R76*R97</f>
        <v>0</v>
      </c>
      <c r="S83" s="169">
        <f t="shared" ref="S83" si="125">S76*S97</f>
        <v>0</v>
      </c>
      <c r="T83" s="163">
        <f>SUM(P83:S83)</f>
        <v>0</v>
      </c>
      <c r="U83" s="163">
        <f t="shared" ref="U83:X86" si="126">U76*U97</f>
        <v>0</v>
      </c>
      <c r="V83" s="163">
        <f t="shared" si="126"/>
        <v>0</v>
      </c>
      <c r="W83" s="163">
        <f t="shared" si="126"/>
        <v>15.614523559492374</v>
      </c>
      <c r="X83" s="163">
        <f t="shared" si="126"/>
        <v>95.092448477308565</v>
      </c>
      <c r="Y83" s="163">
        <f t="shared" ref="Y83:Z83" si="127">Y76*Y97</f>
        <v>239.32094806625142</v>
      </c>
      <c r="Z83" s="163">
        <f t="shared" si="127"/>
        <v>388.16387372215922</v>
      </c>
      <c r="AA83" s="163">
        <f t="shared" ref="AA83:AB83" si="128">AA76*AA97</f>
        <v>534.24726596157802</v>
      </c>
      <c r="AB83" s="163">
        <f t="shared" si="128"/>
        <v>666.33725068070726</v>
      </c>
      <c r="AC83" s="163">
        <f t="shared" ref="AC83" si="129">AC76*AC97</f>
        <v>786.37899350535338</v>
      </c>
    </row>
    <row r="84" spans="1:29" x14ac:dyDescent="0.35">
      <c r="A84" s="185" t="s">
        <v>486</v>
      </c>
      <c r="B84" s="167"/>
      <c r="C84" s="168"/>
      <c r="D84" s="168"/>
      <c r="E84" s="169"/>
      <c r="F84" s="168"/>
      <c r="G84" s="167"/>
      <c r="H84" s="168"/>
      <c r="I84" s="168"/>
      <c r="J84" s="169"/>
      <c r="K84" s="167"/>
      <c r="L84" s="168"/>
      <c r="M84" s="168"/>
      <c r="N84" s="169"/>
      <c r="O84" s="755">
        <v>0</v>
      </c>
      <c r="P84" s="167">
        <f t="shared" ref="P84" si="130">P77*P98</f>
        <v>0</v>
      </c>
      <c r="Q84" s="168">
        <f t="shared" ref="Q84" si="131">Q77*Q98</f>
        <v>0</v>
      </c>
      <c r="R84" s="168">
        <f t="shared" ref="R84" si="132">R77*R98</f>
        <v>0</v>
      </c>
      <c r="S84" s="169">
        <f t="shared" ref="S84" si="133">S77*S98</f>
        <v>0</v>
      </c>
      <c r="T84" s="163">
        <f t="shared" ref="T84:T86" si="134">SUM(P84:S84)</f>
        <v>0</v>
      </c>
      <c r="U84" s="163">
        <f t="shared" si="126"/>
        <v>0</v>
      </c>
      <c r="V84" s="163">
        <f t="shared" si="126"/>
        <v>0</v>
      </c>
      <c r="W84" s="163">
        <f t="shared" si="126"/>
        <v>0</v>
      </c>
      <c r="X84" s="163">
        <f t="shared" si="126"/>
        <v>23.430830084397257</v>
      </c>
      <c r="Y84" s="163">
        <f t="shared" ref="Y84:Z84" si="135">Y77*Y98</f>
        <v>79.850583185203305</v>
      </c>
      <c r="Z84" s="163">
        <f t="shared" si="135"/>
        <v>222.98211292348711</v>
      </c>
      <c r="AA84" s="163">
        <f t="shared" ref="AA84:AB84" si="136">AA77*AA98</f>
        <v>346.99438746413801</v>
      </c>
      <c r="AB84" s="163">
        <f t="shared" si="136"/>
        <v>456.03958307283796</v>
      </c>
      <c r="AC84" s="163">
        <f t="shared" ref="AC84" si="137">AC77*AC98</f>
        <v>553.50925595378305</v>
      </c>
    </row>
    <row r="85" spans="1:29" x14ac:dyDescent="0.35">
      <c r="A85" s="185" t="s">
        <v>487</v>
      </c>
      <c r="B85" s="167"/>
      <c r="C85" s="168"/>
      <c r="D85" s="168"/>
      <c r="E85" s="169"/>
      <c r="F85" s="168"/>
      <c r="G85" s="167"/>
      <c r="H85" s="168"/>
      <c r="I85" s="168"/>
      <c r="J85" s="169"/>
      <c r="K85" s="167"/>
      <c r="L85" s="168"/>
      <c r="M85" s="168"/>
      <c r="N85" s="169"/>
      <c r="O85" s="755">
        <v>0</v>
      </c>
      <c r="P85" s="167">
        <f t="shared" ref="P85" si="138">P78*P99</f>
        <v>0</v>
      </c>
      <c r="Q85" s="168">
        <f t="shared" ref="Q85" si="139">Q78*Q99</f>
        <v>0</v>
      </c>
      <c r="R85" s="168">
        <f t="shared" ref="R85" si="140">R78*R99</f>
        <v>0</v>
      </c>
      <c r="S85" s="169">
        <f t="shared" ref="S85" si="141">S78*S99</f>
        <v>0</v>
      </c>
      <c r="T85" s="163">
        <f t="shared" si="134"/>
        <v>0</v>
      </c>
      <c r="U85" s="163">
        <f t="shared" si="126"/>
        <v>0</v>
      </c>
      <c r="V85" s="163">
        <f t="shared" si="126"/>
        <v>0</v>
      </c>
      <c r="W85" s="163">
        <f t="shared" si="126"/>
        <v>0</v>
      </c>
      <c r="X85" s="163">
        <f t="shared" si="126"/>
        <v>0</v>
      </c>
      <c r="Y85" s="163">
        <f t="shared" ref="Y85:Z85" si="142">Y78*Y99</f>
        <v>2.7294977180631523</v>
      </c>
      <c r="Z85" s="163">
        <f t="shared" si="142"/>
        <v>9.498228103332071</v>
      </c>
      <c r="AA85" s="163">
        <f t="shared" ref="AA85:AB85" si="143">AA78*AA99</f>
        <v>15.395553604311688</v>
      </c>
      <c r="AB85" s="163">
        <f t="shared" si="143"/>
        <v>20.571373788749394</v>
      </c>
      <c r="AC85" s="163">
        <f t="shared" ref="AC85" si="144">AC78*AC99</f>
        <v>25.157002800622763</v>
      </c>
    </row>
    <row r="86" spans="1:29" x14ac:dyDescent="0.35">
      <c r="A86" s="185" t="s">
        <v>76</v>
      </c>
      <c r="B86" s="195">
        <f>REVENUE!B34</f>
        <v>0</v>
      </c>
      <c r="C86" s="193">
        <f>REVENUE!C34</f>
        <v>0</v>
      </c>
      <c r="D86" s="193">
        <f>REVENUE!D34</f>
        <v>0</v>
      </c>
      <c r="E86" s="194">
        <f>REVENUE!E34</f>
        <v>0</v>
      </c>
      <c r="F86" s="193">
        <f>REVENUE!F34</f>
        <v>22.498999999999999</v>
      </c>
      <c r="G86" s="195">
        <f>REVENUE!G34</f>
        <v>7.0309999999999997</v>
      </c>
      <c r="H86" s="193">
        <f>REVENUE!H34</f>
        <v>0.52800000000000002</v>
      </c>
      <c r="I86" s="193">
        <f>REVENUE!I34</f>
        <v>0.312</v>
      </c>
      <c r="J86" s="194">
        <f>REVENUE!J34</f>
        <v>0</v>
      </c>
      <c r="K86" s="193"/>
      <c r="L86" s="193"/>
      <c r="M86" s="193">
        <f>REVENUE!AG34</f>
        <v>0</v>
      </c>
      <c r="N86" s="193">
        <f>REVENUE!AH34</f>
        <v>0</v>
      </c>
      <c r="O86" s="755">
        <v>0</v>
      </c>
      <c r="P86" s="167">
        <f t="shared" ref="P86" si="145">P79*P100</f>
        <v>0</v>
      </c>
      <c r="Q86" s="168">
        <f t="shared" ref="Q86" si="146">Q79*Q100</f>
        <v>0</v>
      </c>
      <c r="R86" s="168">
        <f t="shared" ref="R86" si="147">R79*R100</f>
        <v>0</v>
      </c>
      <c r="S86" s="169">
        <f t="shared" ref="S86" si="148">S79*S100</f>
        <v>0</v>
      </c>
      <c r="T86" s="163">
        <f t="shared" si="134"/>
        <v>0</v>
      </c>
      <c r="U86" s="163">
        <f t="shared" si="126"/>
        <v>0</v>
      </c>
      <c r="V86" s="163">
        <f t="shared" si="126"/>
        <v>0</v>
      </c>
      <c r="W86" s="163">
        <f t="shared" si="126"/>
        <v>0</v>
      </c>
      <c r="X86" s="163">
        <f t="shared" si="126"/>
        <v>0</v>
      </c>
      <c r="Y86" s="163">
        <f t="shared" ref="Y86:Z86" si="149">Y79*Y100</f>
        <v>0</v>
      </c>
      <c r="Z86" s="163">
        <f t="shared" si="149"/>
        <v>0</v>
      </c>
      <c r="AA86" s="163">
        <f t="shared" ref="AA86:AB86" si="150">AA79*AA100</f>
        <v>0</v>
      </c>
      <c r="AB86" s="163">
        <f t="shared" si="150"/>
        <v>0</v>
      </c>
      <c r="AC86" s="163">
        <f t="shared" ref="AC86" si="151">AC79*AC100</f>
        <v>0</v>
      </c>
    </row>
    <row r="87" spans="1:29" x14ac:dyDescent="0.35">
      <c r="A87" s="249" t="s">
        <v>18</v>
      </c>
      <c r="B87" s="629">
        <f>IS!B14</f>
        <v>0</v>
      </c>
      <c r="C87" s="217">
        <f>IS!C14</f>
        <v>0</v>
      </c>
      <c r="D87" s="217">
        <f>IS!D14</f>
        <v>0</v>
      </c>
      <c r="E87" s="265">
        <f>IS!E14</f>
        <v>0</v>
      </c>
      <c r="F87" s="217">
        <f>IS!F14</f>
        <v>22.498999999999999</v>
      </c>
      <c r="G87" s="629">
        <f>IS!G14</f>
        <v>7.0309999999999997</v>
      </c>
      <c r="H87" s="217">
        <f>IS!H14</f>
        <v>0.52800000000000002</v>
      </c>
      <c r="I87" s="217">
        <f>IS!I14</f>
        <v>0.312</v>
      </c>
      <c r="J87" s="265">
        <f>IS!J14</f>
        <v>0</v>
      </c>
      <c r="K87" s="217"/>
      <c r="L87" s="217"/>
      <c r="M87" s="217">
        <f>IS!AC14</f>
        <v>0</v>
      </c>
      <c r="N87" s="217">
        <f>IS!AD14</f>
        <v>0</v>
      </c>
      <c r="O87" s="219">
        <f t="shared" ref="O87:X87" si="152">SUM(O83:O86)</f>
        <v>0</v>
      </c>
      <c r="P87" s="631">
        <f t="shared" ref="P87" si="153">SUM(P83:P86)</f>
        <v>0</v>
      </c>
      <c r="Q87" s="218">
        <f t="shared" ref="Q87" si="154">SUM(Q83:Q86)</f>
        <v>0</v>
      </c>
      <c r="R87" s="218">
        <f t="shared" ref="R87" si="155">SUM(R83:R86)</f>
        <v>0</v>
      </c>
      <c r="S87" s="630">
        <f t="shared" ref="S87" si="156">SUM(S83:S86)</f>
        <v>0</v>
      </c>
      <c r="T87" s="219">
        <f t="shared" si="152"/>
        <v>0</v>
      </c>
      <c r="U87" s="219">
        <f t="shared" si="152"/>
        <v>0</v>
      </c>
      <c r="V87" s="219">
        <f>SUM(V83:V86)</f>
        <v>0</v>
      </c>
      <c r="W87" s="219">
        <f t="shared" si="152"/>
        <v>15.614523559492374</v>
      </c>
      <c r="X87" s="219">
        <f t="shared" si="152"/>
        <v>118.52327856170582</v>
      </c>
      <c r="Y87" s="219">
        <f t="shared" ref="Y87:Z87" si="157">SUM(Y83:Y86)</f>
        <v>321.90102896951788</v>
      </c>
      <c r="Z87" s="219">
        <f t="shared" si="157"/>
        <v>620.64421474897836</v>
      </c>
      <c r="AA87" s="219">
        <f t="shared" ref="AA87:AB87" si="158">SUM(AA83:AA86)</f>
        <v>896.63720703002775</v>
      </c>
      <c r="AB87" s="219">
        <f t="shared" si="158"/>
        <v>1142.9482075422948</v>
      </c>
      <c r="AC87" s="219">
        <f>SUM(AC83:AC86)</f>
        <v>1365.0452522597593</v>
      </c>
    </row>
    <row r="88" spans="1:29" x14ac:dyDescent="0.35">
      <c r="A88" s="119"/>
      <c r="B88" s="167"/>
      <c r="C88" s="168"/>
      <c r="D88" s="168"/>
      <c r="E88" s="169"/>
      <c r="F88" s="168"/>
      <c r="G88" s="167"/>
      <c r="H88" s="168"/>
      <c r="I88" s="168"/>
      <c r="J88" s="169"/>
      <c r="K88" s="167"/>
      <c r="L88" s="168"/>
      <c r="M88" s="168"/>
      <c r="N88" s="169"/>
      <c r="O88" s="163"/>
      <c r="P88" s="167"/>
      <c r="Q88" s="168"/>
      <c r="R88" s="168"/>
      <c r="S88" s="169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</row>
    <row r="89" spans="1:29" x14ac:dyDescent="0.35">
      <c r="A89" s="223" t="s">
        <v>17</v>
      </c>
      <c r="B89" s="239"/>
      <c r="C89" s="240"/>
      <c r="D89" s="240"/>
      <c r="E89" s="260"/>
      <c r="F89" s="147"/>
      <c r="G89" s="239"/>
      <c r="H89" s="240"/>
      <c r="I89" s="240"/>
      <c r="J89" s="266"/>
      <c r="K89" s="234"/>
      <c r="L89" s="191"/>
      <c r="M89" s="191"/>
      <c r="N89" s="266"/>
      <c r="O89" s="165"/>
      <c r="P89" s="234"/>
      <c r="Q89" s="191"/>
      <c r="R89" s="191"/>
      <c r="S89" s="266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</row>
    <row r="90" spans="1:29" x14ac:dyDescent="0.35">
      <c r="A90" s="185" t="s">
        <v>485</v>
      </c>
      <c r="B90" s="167"/>
      <c r="C90" s="168"/>
      <c r="D90" s="191"/>
      <c r="E90" s="266"/>
      <c r="F90" s="191"/>
      <c r="G90" s="234"/>
      <c r="H90" s="191"/>
      <c r="I90" s="191"/>
      <c r="J90" s="266"/>
      <c r="K90" s="234"/>
      <c r="L90" s="191"/>
      <c r="M90" s="191"/>
      <c r="N90" s="266"/>
      <c r="O90" s="165">
        <f t="shared" ref="M90:X94" si="159">O97-O83</f>
        <v>0</v>
      </c>
      <c r="P90" s="234">
        <f t="shared" ref="P90" si="160">P97-P83</f>
        <v>0</v>
      </c>
      <c r="Q90" s="191">
        <f t="shared" ref="Q90" si="161">Q97-Q83</f>
        <v>0</v>
      </c>
      <c r="R90" s="191">
        <f t="shared" ref="R90" si="162">R97-R83</f>
        <v>0</v>
      </c>
      <c r="S90" s="266">
        <f t="shared" ref="S90" si="163">S97-S83</f>
        <v>0</v>
      </c>
      <c r="T90" s="165">
        <f t="shared" si="159"/>
        <v>0</v>
      </c>
      <c r="U90" s="165">
        <f t="shared" si="159"/>
        <v>0</v>
      </c>
      <c r="V90" s="165">
        <f t="shared" si="159"/>
        <v>0</v>
      </c>
      <c r="W90" s="165">
        <f t="shared" si="159"/>
        <v>1.2660424507696515</v>
      </c>
      <c r="X90" s="165">
        <f t="shared" si="159"/>
        <v>7.710198525187181</v>
      </c>
      <c r="Y90" s="165">
        <f t="shared" ref="Y90:Z90" si="164">Y97-Y83</f>
        <v>19.404401194560904</v>
      </c>
      <c r="Z90" s="165">
        <f t="shared" si="164"/>
        <v>31.472746518012912</v>
      </c>
      <c r="AA90" s="165">
        <f t="shared" ref="AA90:AB90" si="165">AA97-AA83</f>
        <v>43.317345888776572</v>
      </c>
      <c r="AB90" s="165">
        <f t="shared" si="165"/>
        <v>54.027344649787096</v>
      </c>
      <c r="AC90" s="165">
        <f t="shared" ref="AC90" si="166">AC97-AC83</f>
        <v>63.760458932866413</v>
      </c>
    </row>
    <row r="91" spans="1:29" x14ac:dyDescent="0.35">
      <c r="A91" s="185" t="s">
        <v>486</v>
      </c>
      <c r="B91" s="167"/>
      <c r="C91" s="168"/>
      <c r="D91" s="191"/>
      <c r="E91" s="266"/>
      <c r="F91" s="191"/>
      <c r="G91" s="234"/>
      <c r="H91" s="191"/>
      <c r="I91" s="191"/>
      <c r="J91" s="266"/>
      <c r="K91" s="234"/>
      <c r="L91" s="191"/>
      <c r="M91" s="191"/>
      <c r="N91" s="266"/>
      <c r="O91" s="165">
        <f t="shared" si="159"/>
        <v>0</v>
      </c>
      <c r="P91" s="234">
        <f t="shared" ref="P91" si="167">P98-P84</f>
        <v>0</v>
      </c>
      <c r="Q91" s="191">
        <f t="shared" ref="Q91" si="168">Q98-Q84</f>
        <v>0</v>
      </c>
      <c r="R91" s="191">
        <f t="shared" ref="R91" si="169">R98-R84</f>
        <v>0</v>
      </c>
      <c r="S91" s="266">
        <f t="shared" ref="S91" si="170">S98-S84</f>
        <v>0</v>
      </c>
      <c r="T91" s="165">
        <f t="shared" si="159"/>
        <v>0</v>
      </c>
      <c r="U91" s="165">
        <f t="shared" si="159"/>
        <v>0</v>
      </c>
      <c r="V91" s="165">
        <f t="shared" si="159"/>
        <v>0</v>
      </c>
      <c r="W91" s="165">
        <f t="shared" si="159"/>
        <v>0</v>
      </c>
      <c r="X91" s="165">
        <f t="shared" si="159"/>
        <v>1.8997970338700476</v>
      </c>
      <c r="Y91" s="165">
        <f t="shared" ref="Y91:Z91" si="171">Y98-Y84</f>
        <v>6.4743716096110688</v>
      </c>
      <c r="Z91" s="165">
        <f t="shared" si="171"/>
        <v>18.079630777580036</v>
      </c>
      <c r="AA91" s="165">
        <f t="shared" ref="AA91:AB91" si="172">AA98-AA84</f>
        <v>28.134680064659847</v>
      </c>
      <c r="AB91" s="165">
        <f t="shared" si="172"/>
        <v>36.976182411311186</v>
      </c>
      <c r="AC91" s="165">
        <f t="shared" ref="AC91" si="173">AC98-AC84</f>
        <v>44.879128861117465</v>
      </c>
    </row>
    <row r="92" spans="1:29" x14ac:dyDescent="0.35">
      <c r="A92" s="185" t="s">
        <v>487</v>
      </c>
      <c r="B92" s="167"/>
      <c r="C92" s="168"/>
      <c r="D92" s="191"/>
      <c r="E92" s="266"/>
      <c r="F92" s="191"/>
      <c r="G92" s="234"/>
      <c r="H92" s="191"/>
      <c r="I92" s="191"/>
      <c r="J92" s="266"/>
      <c r="K92" s="234"/>
      <c r="L92" s="191"/>
      <c r="M92" s="191"/>
      <c r="N92" s="266"/>
      <c r="O92" s="165">
        <f t="shared" si="159"/>
        <v>0</v>
      </c>
      <c r="P92" s="234">
        <f t="shared" ref="P92" si="174">P99-P85</f>
        <v>0</v>
      </c>
      <c r="Q92" s="191">
        <f t="shared" ref="Q92" si="175">Q99-Q85</f>
        <v>0</v>
      </c>
      <c r="R92" s="191">
        <f t="shared" ref="R92" si="176">R99-R85</f>
        <v>0</v>
      </c>
      <c r="S92" s="266">
        <f t="shared" ref="S92" si="177">S99-S85</f>
        <v>0</v>
      </c>
      <c r="T92" s="165">
        <f t="shared" si="159"/>
        <v>0</v>
      </c>
      <c r="U92" s="165">
        <f t="shared" si="159"/>
        <v>0</v>
      </c>
      <c r="V92" s="165">
        <f t="shared" si="159"/>
        <v>0</v>
      </c>
      <c r="W92" s="165">
        <f t="shared" si="159"/>
        <v>0</v>
      </c>
      <c r="X92" s="165">
        <f t="shared" si="159"/>
        <v>0</v>
      </c>
      <c r="Y92" s="165">
        <f t="shared" ref="Y92:Z92" si="178">Y99-Y85</f>
        <v>0.22131062578890415</v>
      </c>
      <c r="Z92" s="165">
        <f t="shared" si="178"/>
        <v>0.77012660297286928</v>
      </c>
      <c r="AA92" s="165">
        <f t="shared" ref="AA92:AB92" si="179">AA99-AA85</f>
        <v>1.2482881300793256</v>
      </c>
      <c r="AB92" s="165">
        <f t="shared" si="179"/>
        <v>1.6679492261148141</v>
      </c>
      <c r="AC92" s="165">
        <f t="shared" ref="AC92" si="180">AC99-AC85</f>
        <v>2.0397569838342768</v>
      </c>
    </row>
    <row r="93" spans="1:29" x14ac:dyDescent="0.35">
      <c r="A93" s="185" t="s">
        <v>76</v>
      </c>
      <c r="B93" s="167"/>
      <c r="C93" s="168"/>
      <c r="D93" s="191"/>
      <c r="E93" s="266"/>
      <c r="F93" s="191"/>
      <c r="G93" s="234"/>
      <c r="H93" s="191"/>
      <c r="I93" s="191"/>
      <c r="J93" s="266"/>
      <c r="K93" s="234"/>
      <c r="L93" s="191"/>
      <c r="M93" s="191"/>
      <c r="N93" s="266"/>
      <c r="O93" s="165">
        <f t="shared" si="159"/>
        <v>0</v>
      </c>
      <c r="P93" s="234">
        <f t="shared" ref="P93" si="181">P100-P86</f>
        <v>0</v>
      </c>
      <c r="Q93" s="191">
        <f t="shared" ref="Q93" si="182">Q100-Q86</f>
        <v>0</v>
      </c>
      <c r="R93" s="191">
        <f t="shared" ref="R93" si="183">R100-R86</f>
        <v>0</v>
      </c>
      <c r="S93" s="266">
        <f t="shared" ref="S93" si="184">S100-S86</f>
        <v>0</v>
      </c>
      <c r="T93" s="165">
        <f t="shared" si="159"/>
        <v>0</v>
      </c>
      <c r="U93" s="165">
        <f t="shared" si="159"/>
        <v>0</v>
      </c>
      <c r="V93" s="165">
        <f t="shared" si="159"/>
        <v>0</v>
      </c>
      <c r="W93" s="165">
        <f t="shared" si="159"/>
        <v>0</v>
      </c>
      <c r="X93" s="165">
        <f t="shared" si="159"/>
        <v>0</v>
      </c>
      <c r="Y93" s="165">
        <f t="shared" ref="Y93:Z93" si="185">Y100-Y86</f>
        <v>0</v>
      </c>
      <c r="Z93" s="165">
        <f t="shared" si="185"/>
        <v>0</v>
      </c>
      <c r="AA93" s="165">
        <f t="shared" ref="AA93:AB93" si="186">AA100-AA86</f>
        <v>0</v>
      </c>
      <c r="AB93" s="165">
        <f t="shared" si="186"/>
        <v>0</v>
      </c>
      <c r="AC93" s="165">
        <f t="shared" ref="AC93" si="187">AC100-AC86</f>
        <v>0</v>
      </c>
    </row>
    <row r="94" spans="1:29" x14ac:dyDescent="0.35">
      <c r="A94" s="249" t="s">
        <v>17</v>
      </c>
      <c r="B94" s="631">
        <f>IS!B13</f>
        <v>0</v>
      </c>
      <c r="C94" s="218">
        <f>IS!C13</f>
        <v>0</v>
      </c>
      <c r="D94" s="268">
        <f>IS!D13</f>
        <v>0</v>
      </c>
      <c r="E94" s="269">
        <f>IS!E13</f>
        <v>0</v>
      </c>
      <c r="F94" s="268">
        <f>IS!F13</f>
        <v>0</v>
      </c>
      <c r="G94" s="632">
        <f>IS!G13</f>
        <v>0</v>
      </c>
      <c r="H94" s="268">
        <f>IS!H13</f>
        <v>0</v>
      </c>
      <c r="I94" s="268">
        <f>IS!I13</f>
        <v>0</v>
      </c>
      <c r="J94" s="269">
        <f>IS!J13</f>
        <v>0</v>
      </c>
      <c r="K94" s="632"/>
      <c r="L94" s="268"/>
      <c r="M94" s="268">
        <f t="shared" si="159"/>
        <v>0</v>
      </c>
      <c r="N94" s="268">
        <f>N101-N87</f>
        <v>0</v>
      </c>
      <c r="O94" s="633">
        <f t="shared" si="159"/>
        <v>0</v>
      </c>
      <c r="P94" s="632">
        <f t="shared" ref="P94" si="188">P101-P87</f>
        <v>0</v>
      </c>
      <c r="Q94" s="268">
        <f t="shared" ref="Q94" si="189">Q101-Q87</f>
        <v>0</v>
      </c>
      <c r="R94" s="268">
        <f t="shared" ref="R94" si="190">R101-R87</f>
        <v>0</v>
      </c>
      <c r="S94" s="269">
        <f t="shared" ref="S94" si="191">S101-S87</f>
        <v>0</v>
      </c>
      <c r="T94" s="633">
        <f t="shared" si="159"/>
        <v>0</v>
      </c>
      <c r="U94" s="633">
        <f t="shared" si="159"/>
        <v>0</v>
      </c>
      <c r="V94" s="633">
        <f>V101-V87</f>
        <v>0</v>
      </c>
      <c r="W94" s="633">
        <f t="shared" si="159"/>
        <v>1.2660424507696515</v>
      </c>
      <c r="X94" s="633">
        <f t="shared" si="159"/>
        <v>9.609995559057225</v>
      </c>
      <c r="Y94" s="633">
        <f t="shared" ref="Y94:Z94" si="192">Y101-Y87</f>
        <v>26.100083429960875</v>
      </c>
      <c r="Z94" s="633">
        <f t="shared" si="192"/>
        <v>50.322503898565856</v>
      </c>
      <c r="AA94" s="633">
        <f t="shared" ref="AA94:AB94" si="193">AA101-AA87</f>
        <v>72.70031408351565</v>
      </c>
      <c r="AB94" s="633">
        <f t="shared" si="193"/>
        <v>92.671476287212954</v>
      </c>
      <c r="AC94" s="633">
        <f t="shared" ref="AC94" si="194">AC101-AC87</f>
        <v>110.67934477781796</v>
      </c>
    </row>
    <row r="95" spans="1:29" x14ac:dyDescent="0.35">
      <c r="A95" s="202" t="s">
        <v>16</v>
      </c>
      <c r="B95" s="634"/>
      <c r="C95" s="635"/>
      <c r="D95" s="635"/>
      <c r="E95" s="636"/>
      <c r="F95" s="637"/>
      <c r="G95" s="634"/>
      <c r="H95" s="635"/>
      <c r="I95" s="635"/>
      <c r="J95" s="636"/>
      <c r="K95" s="634"/>
      <c r="L95" s="635"/>
      <c r="M95" s="635"/>
      <c r="N95" s="636"/>
      <c r="O95" s="638"/>
      <c r="P95" s="634"/>
      <c r="Q95" s="635"/>
      <c r="R95" s="635"/>
      <c r="S95" s="636"/>
      <c r="T95" s="638"/>
      <c r="U95" s="638"/>
      <c r="V95" s="638"/>
      <c r="W95" s="638"/>
      <c r="X95" s="638"/>
      <c r="Y95" s="638"/>
      <c r="Z95" s="638"/>
      <c r="AA95" s="638"/>
      <c r="AB95" s="638"/>
      <c r="AC95" s="638"/>
    </row>
    <row r="96" spans="1:29" x14ac:dyDescent="0.35">
      <c r="A96" s="223" t="s">
        <v>101</v>
      </c>
      <c r="B96" s="239"/>
      <c r="C96" s="240"/>
      <c r="D96" s="240"/>
      <c r="E96" s="260"/>
      <c r="F96" s="147"/>
      <c r="G96" s="239"/>
      <c r="H96" s="240"/>
      <c r="I96" s="240"/>
      <c r="J96" s="266"/>
      <c r="K96" s="234"/>
      <c r="L96" s="191"/>
      <c r="M96" s="191"/>
      <c r="N96" s="266"/>
      <c r="O96" s="165"/>
      <c r="P96" s="234"/>
      <c r="Q96" s="191"/>
      <c r="R96" s="191"/>
      <c r="S96" s="266"/>
      <c r="T96" s="165"/>
      <c r="U96" s="165"/>
      <c r="V96" s="165"/>
      <c r="W96" s="165"/>
      <c r="X96" s="165"/>
      <c r="Y96" s="165"/>
      <c r="Z96" s="165"/>
      <c r="AA96" s="165"/>
      <c r="AB96" s="165"/>
      <c r="AC96" s="165"/>
    </row>
    <row r="97" spans="1:29" x14ac:dyDescent="0.35">
      <c r="A97" s="185" t="s">
        <v>485</v>
      </c>
      <c r="B97" s="167"/>
      <c r="C97" s="168"/>
      <c r="D97" s="168"/>
      <c r="E97" s="169"/>
      <c r="F97" s="168"/>
      <c r="G97" s="167"/>
      <c r="H97" s="168"/>
      <c r="I97" s="168"/>
      <c r="J97" s="169"/>
      <c r="K97" s="167"/>
      <c r="L97" s="168"/>
      <c r="M97" s="168"/>
      <c r="N97" s="169"/>
      <c r="O97" s="163"/>
      <c r="P97" s="167">
        <f>REVENUE!AJ9</f>
        <v>0</v>
      </c>
      <c r="Q97" s="168">
        <f>REVENUE!AK9</f>
        <v>0</v>
      </c>
      <c r="R97" s="168">
        <f>REVENUE!AL9</f>
        <v>0</v>
      </c>
      <c r="S97" s="169">
        <f>REVENUE!AM9</f>
        <v>0</v>
      </c>
      <c r="T97" s="163">
        <f>REVENUE!AN9</f>
        <v>0</v>
      </c>
      <c r="U97" s="163">
        <f>REVENUE!AO9</f>
        <v>0</v>
      </c>
      <c r="V97" s="163">
        <f>REVENUE!AP9</f>
        <v>0</v>
      </c>
      <c r="W97" s="163">
        <f>REVENUE!AQ9</f>
        <v>16.880566010262026</v>
      </c>
      <c r="X97" s="163">
        <f>REVENUE!AR9</f>
        <v>102.80264700249575</v>
      </c>
      <c r="Y97" s="163">
        <f>REVENUE!AS9</f>
        <v>258.72534926081232</v>
      </c>
      <c r="Z97" s="163">
        <f>REVENUE!AT9</f>
        <v>419.63662024017214</v>
      </c>
      <c r="AA97" s="163">
        <f>REVENUE!AU9</f>
        <v>577.56461185035459</v>
      </c>
      <c r="AB97" s="163">
        <f>REVENUE!AV9</f>
        <v>720.36459533049435</v>
      </c>
      <c r="AC97" s="163">
        <f>REVENUE!AW9</f>
        <v>850.13945243821979</v>
      </c>
    </row>
    <row r="98" spans="1:29" x14ac:dyDescent="0.35">
      <c r="A98" s="185" t="s">
        <v>486</v>
      </c>
      <c r="B98" s="167"/>
      <c r="C98" s="168"/>
      <c r="D98" s="168"/>
      <c r="E98" s="169"/>
      <c r="F98" s="168"/>
      <c r="G98" s="167"/>
      <c r="H98" s="168"/>
      <c r="I98" s="168"/>
      <c r="J98" s="169"/>
      <c r="K98" s="167"/>
      <c r="L98" s="168"/>
      <c r="M98" s="168"/>
      <c r="N98" s="169"/>
      <c r="O98" s="163"/>
      <c r="P98" s="167">
        <f>REVENUE!AJ14</f>
        <v>0</v>
      </c>
      <c r="Q98" s="168">
        <f>REVENUE!AK14</f>
        <v>0</v>
      </c>
      <c r="R98" s="168">
        <f>REVENUE!AL14</f>
        <v>0</v>
      </c>
      <c r="S98" s="169">
        <f>REVENUE!AM14</f>
        <v>0</v>
      </c>
      <c r="T98" s="163">
        <f>REVENUE!AN14</f>
        <v>0</v>
      </c>
      <c r="U98" s="163">
        <f>REVENUE!AO14</f>
        <v>0</v>
      </c>
      <c r="V98" s="163">
        <f>REVENUE!AP14</f>
        <v>0</v>
      </c>
      <c r="W98" s="163">
        <f>REVENUE!AQ14</f>
        <v>0</v>
      </c>
      <c r="X98" s="163">
        <f>REVENUE!AR14</f>
        <v>25.330627118267305</v>
      </c>
      <c r="Y98" s="163">
        <f>REVENUE!AS14</f>
        <v>86.324954794814374</v>
      </c>
      <c r="Z98" s="163">
        <f>REVENUE!AT14</f>
        <v>241.06174370106714</v>
      </c>
      <c r="AA98" s="163">
        <f>REVENUE!AU14</f>
        <v>375.12906752879786</v>
      </c>
      <c r="AB98" s="163">
        <f>REVENUE!AV14</f>
        <v>493.01576548414914</v>
      </c>
      <c r="AC98" s="163">
        <f>REVENUE!AW14</f>
        <v>598.38838481490052</v>
      </c>
    </row>
    <row r="99" spans="1:29" x14ac:dyDescent="0.35">
      <c r="A99" s="185" t="s">
        <v>487</v>
      </c>
      <c r="B99" s="167"/>
      <c r="C99" s="168"/>
      <c r="D99" s="168"/>
      <c r="E99" s="169"/>
      <c r="F99" s="168"/>
      <c r="G99" s="167"/>
      <c r="H99" s="168"/>
      <c r="I99" s="168"/>
      <c r="J99" s="169"/>
      <c r="K99" s="167"/>
      <c r="L99" s="168"/>
      <c r="M99" s="168"/>
      <c r="N99" s="169"/>
      <c r="O99" s="163"/>
      <c r="P99" s="167">
        <f>REVENUE!AJ25</f>
        <v>0</v>
      </c>
      <c r="Q99" s="168">
        <f>REVENUE!AK25</f>
        <v>0</v>
      </c>
      <c r="R99" s="168">
        <f>REVENUE!AL25</f>
        <v>0</v>
      </c>
      <c r="S99" s="169">
        <f>REVENUE!AM25</f>
        <v>0</v>
      </c>
      <c r="T99" s="163">
        <f>REVENUE!AN25</f>
        <v>0</v>
      </c>
      <c r="U99" s="163">
        <f>REVENUE!AO25</f>
        <v>0</v>
      </c>
      <c r="V99" s="163">
        <f>REVENUE!AP25</f>
        <v>0</v>
      </c>
      <c r="W99" s="163">
        <f>REVENUE!AQ25</f>
        <v>0</v>
      </c>
      <c r="X99" s="163">
        <f>REVENUE!AR25</f>
        <v>0</v>
      </c>
      <c r="Y99" s="163">
        <f>REVENUE!AS25</f>
        <v>2.9508083438520565</v>
      </c>
      <c r="Z99" s="163">
        <f>REVENUE!AT25</f>
        <v>10.26835470630494</v>
      </c>
      <c r="AA99" s="163">
        <f>REVENUE!AU25</f>
        <v>16.643841734391014</v>
      </c>
      <c r="AB99" s="163">
        <f>REVENUE!AV25</f>
        <v>22.239323014864208</v>
      </c>
      <c r="AC99" s="163">
        <f>REVENUE!AW25</f>
        <v>27.19675978445704</v>
      </c>
    </row>
    <row r="100" spans="1:29" x14ac:dyDescent="0.35">
      <c r="A100" s="185" t="s">
        <v>76</v>
      </c>
      <c r="B100" s="167">
        <f>REVENUE!B34</f>
        <v>0</v>
      </c>
      <c r="C100" s="168">
        <f>REVENUE!C34</f>
        <v>0</v>
      </c>
      <c r="D100" s="168">
        <f>REVENUE!D34</f>
        <v>0</v>
      </c>
      <c r="E100" s="169">
        <f>REVENUE!E34</f>
        <v>0</v>
      </c>
      <c r="F100" s="168">
        <f>REVENUE!F34</f>
        <v>22.498999999999999</v>
      </c>
      <c r="G100" s="167">
        <f>REVENUE!G34</f>
        <v>7.0309999999999997</v>
      </c>
      <c r="H100" s="168">
        <f>REVENUE!H34</f>
        <v>0.52800000000000002</v>
      </c>
      <c r="I100" s="168">
        <f>REVENUE!I34</f>
        <v>0.312</v>
      </c>
      <c r="J100" s="169">
        <f>REVENUE!J34</f>
        <v>0</v>
      </c>
      <c r="K100" s="167"/>
      <c r="L100" s="168"/>
      <c r="M100" s="168"/>
      <c r="N100" s="169"/>
      <c r="O100" s="163"/>
      <c r="P100" s="167">
        <f>REVENUE!AJ34</f>
        <v>0</v>
      </c>
      <c r="Q100" s="168">
        <f>REVENUE!AK34</f>
        <v>0</v>
      </c>
      <c r="R100" s="168">
        <f>REVENUE!AL34</f>
        <v>0</v>
      </c>
      <c r="S100" s="169">
        <f>REVENUE!AM34</f>
        <v>0</v>
      </c>
      <c r="T100" s="163">
        <f>REVENUE!AN34</f>
        <v>0</v>
      </c>
      <c r="U100" s="163">
        <f>REVENUE!AO34</f>
        <v>0</v>
      </c>
      <c r="V100" s="163">
        <f>REVENUE!AP34</f>
        <v>0</v>
      </c>
      <c r="W100" s="163">
        <f>REVENUE!AQ34</f>
        <v>0</v>
      </c>
      <c r="X100" s="163">
        <f>REVENUE!AR34</f>
        <v>0</v>
      </c>
      <c r="Y100" s="163">
        <f>REVENUE!AS34</f>
        <v>0</v>
      </c>
      <c r="Z100" s="163">
        <f>REVENUE!AT34</f>
        <v>0</v>
      </c>
      <c r="AA100" s="163">
        <f>REVENUE!AU34</f>
        <v>0</v>
      </c>
      <c r="AB100" s="163">
        <f>REVENUE!AV34</f>
        <v>0</v>
      </c>
      <c r="AC100" s="163">
        <f>REVENUE!AW34</f>
        <v>0</v>
      </c>
    </row>
    <row r="101" spans="1:29" ht="15" thickBot="1" x14ac:dyDescent="0.4">
      <c r="A101" s="270" t="s">
        <v>102</v>
      </c>
      <c r="B101" s="271">
        <f>REVENUE!B36</f>
        <v>0</v>
      </c>
      <c r="C101" s="272">
        <f>REVENUE!C36</f>
        <v>0</v>
      </c>
      <c r="D101" s="273">
        <f>REVENUE!D36</f>
        <v>0</v>
      </c>
      <c r="E101" s="274">
        <f>REVENUE!E36</f>
        <v>0</v>
      </c>
      <c r="F101" s="273">
        <f>REVENUE!F36</f>
        <v>22.498999999999999</v>
      </c>
      <c r="G101" s="639">
        <f>REVENUE!G36</f>
        <v>7.0309999999999997</v>
      </c>
      <c r="H101" s="273">
        <f>REVENUE!H36</f>
        <v>0.52800000000000002</v>
      </c>
      <c r="I101" s="273">
        <f>REVENUE!I36</f>
        <v>0.312</v>
      </c>
      <c r="J101" s="274">
        <f>REVENUE!J36</f>
        <v>0</v>
      </c>
      <c r="K101" s="639"/>
      <c r="L101" s="273"/>
      <c r="M101" s="273"/>
      <c r="N101" s="274"/>
      <c r="O101" s="640"/>
      <c r="P101" s="639">
        <f>REVENUE!AJ36</f>
        <v>0</v>
      </c>
      <c r="Q101" s="273">
        <f>REVENUE!AK36</f>
        <v>0</v>
      </c>
      <c r="R101" s="273">
        <f>REVENUE!AL36</f>
        <v>0</v>
      </c>
      <c r="S101" s="274">
        <f>REVENUE!AM36</f>
        <v>0</v>
      </c>
      <c r="T101" s="640">
        <f>REVENUE!AN36</f>
        <v>0</v>
      </c>
      <c r="U101" s="640">
        <f>REVENUE!AO36</f>
        <v>0</v>
      </c>
      <c r="V101" s="640">
        <f>REVENUE!AP36</f>
        <v>0</v>
      </c>
      <c r="W101" s="640">
        <f>REVENUE!AQ36</f>
        <v>16.880566010262026</v>
      </c>
      <c r="X101" s="640">
        <f>REVENUE!AR36</f>
        <v>128.13327412076305</v>
      </c>
      <c r="Y101" s="640">
        <f>REVENUE!AS36</f>
        <v>348.00111239947876</v>
      </c>
      <c r="Z101" s="640">
        <f>REVENUE!AT36</f>
        <v>670.96671864754421</v>
      </c>
      <c r="AA101" s="640">
        <f>REVENUE!AU36</f>
        <v>969.3375211135434</v>
      </c>
      <c r="AB101" s="640">
        <f>REVENUE!AV36</f>
        <v>1235.6196838295077</v>
      </c>
      <c r="AC101" s="640">
        <f>REVENUE!AW36</f>
        <v>1475.7245970375773</v>
      </c>
    </row>
    <row r="102" spans="1:29" x14ac:dyDescent="0.35">
      <c r="A102" s="172" t="s">
        <v>73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2"/>
      <c r="L102" s="102"/>
      <c r="M102" s="102"/>
      <c r="N102" s="102"/>
      <c r="O102" s="101"/>
      <c r="P102" s="102"/>
      <c r="Q102" s="102"/>
      <c r="R102" s="102"/>
      <c r="S102" s="102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AAC5-C410-4B70-80DF-9804F03D1C8A}">
  <sheetPr>
    <tabColor theme="4" tint="0.59999389629810485"/>
    <pageSetUpPr fitToPage="1"/>
  </sheetPr>
  <dimension ref="A1:BD46"/>
  <sheetViews>
    <sheetView tabSelected="1" zoomScale="85" zoomScaleNormal="85" workbookViewId="0">
      <pane xSplit="1" ySplit="4" topLeftCell="AI5" activePane="bottomRight" state="frozen"/>
      <selection activeCell="G33" sqref="G33"/>
      <selection pane="topRight" activeCell="G33" sqref="G33"/>
      <selection pane="bottomLeft" activeCell="G33" sqref="G33"/>
      <selection pane="bottomRight" activeCell="AL20" sqref="AL20"/>
    </sheetView>
  </sheetViews>
  <sheetFormatPr defaultRowHeight="14.5" outlineLevelRow="1" outlineLevelCol="1" x14ac:dyDescent="0.35"/>
  <cols>
    <col min="1" max="1" width="43.1796875" customWidth="1"/>
    <col min="2" max="5" width="9.81640625" hidden="1" customWidth="1" outlineLevel="1"/>
    <col min="6" max="6" width="9.81640625" hidden="1" customWidth="1" collapsed="1"/>
    <col min="7" max="10" width="9.81640625" hidden="1" customWidth="1" outlineLevel="1"/>
    <col min="11" max="11" width="9.81640625" hidden="1" customWidth="1" collapsed="1"/>
    <col min="12" max="15" width="9.81640625" hidden="1" customWidth="1" outlineLevel="1"/>
    <col min="16" max="16" width="9.81640625" hidden="1" customWidth="1" collapsed="1"/>
    <col min="17" max="17" width="9.81640625" hidden="1" customWidth="1" outlineLevel="1"/>
    <col min="18" max="19" width="9.81640625" style="94" hidden="1" customWidth="1" outlineLevel="1"/>
    <col min="20" max="20" width="9.81640625" hidden="1" customWidth="1" outlineLevel="1"/>
    <col min="21" max="21" width="9.81640625" hidden="1" customWidth="1" collapsed="1"/>
    <col min="22" max="22" width="9.81640625" hidden="1" customWidth="1" outlineLevel="1"/>
    <col min="23" max="24" width="9.81640625" style="94" hidden="1" customWidth="1" outlineLevel="1"/>
    <col min="25" max="25" width="9.81640625" hidden="1" customWidth="1" outlineLevel="1"/>
    <col min="26" max="26" width="9.81640625" hidden="1" customWidth="1" collapsed="1"/>
    <col min="27" max="34" width="9.81640625" style="94" hidden="1" customWidth="1" outlineLevel="1"/>
    <col min="35" max="35" width="9.81640625" customWidth="1" collapsed="1"/>
    <col min="36" max="39" width="9.81640625" style="94" customWidth="1" outlineLevel="1"/>
    <col min="40" max="43" width="9.81640625" customWidth="1"/>
    <col min="44" max="49" width="9.81640625" customWidth="1" outlineLevel="1"/>
  </cols>
  <sheetData>
    <row r="1" spans="1:56" x14ac:dyDescent="0.35">
      <c r="A1" s="100" t="s">
        <v>380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  <c r="N1" s="102"/>
      <c r="O1" s="101"/>
      <c r="P1" s="101"/>
      <c r="Q1" s="101"/>
      <c r="R1" s="102"/>
      <c r="S1" s="102"/>
      <c r="T1" s="101"/>
      <c r="U1" s="101"/>
      <c r="V1" s="101"/>
      <c r="W1" s="102"/>
      <c r="X1" s="102"/>
      <c r="Y1" s="101"/>
      <c r="Z1" s="101"/>
      <c r="AA1" s="102"/>
      <c r="AB1" s="102"/>
      <c r="AC1" s="102"/>
      <c r="AD1" s="102"/>
      <c r="AE1" s="102"/>
      <c r="AF1" s="102"/>
      <c r="AG1" s="102"/>
      <c r="AH1" s="102"/>
      <c r="AI1" s="101"/>
      <c r="AJ1" s="102"/>
      <c r="AK1" s="102"/>
      <c r="AL1" s="102"/>
      <c r="AM1" s="102"/>
      <c r="AN1" s="101"/>
      <c r="AZ1" s="947">
        <f>SOTP!R14</f>
        <v>37.175346474533157</v>
      </c>
    </row>
    <row r="2" spans="1:56" s="99" customFormat="1" x14ac:dyDescent="0.35">
      <c r="A2" s="103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2"/>
      <c r="N2" s="102"/>
      <c r="O2" s="101"/>
      <c r="P2" s="101"/>
      <c r="Q2" s="101"/>
      <c r="R2" s="102"/>
      <c r="S2" s="102"/>
      <c r="T2" s="101"/>
      <c r="U2" s="101"/>
      <c r="V2" s="101"/>
      <c r="W2" s="102"/>
      <c r="X2" s="102"/>
      <c r="Y2" s="101"/>
      <c r="Z2" s="101"/>
      <c r="AA2" s="102"/>
      <c r="AB2" s="102"/>
      <c r="AC2" s="102"/>
      <c r="AD2" s="102"/>
      <c r="AE2" s="102"/>
      <c r="AF2" s="102"/>
      <c r="AG2" s="102"/>
      <c r="AH2" s="102"/>
      <c r="AI2" s="101"/>
      <c r="AJ2" s="102"/>
      <c r="AK2" s="102"/>
      <c r="AL2" s="102"/>
      <c r="AM2" s="102"/>
      <c r="AN2" s="101"/>
      <c r="AO2"/>
      <c r="AP2"/>
      <c r="AQ2"/>
      <c r="AR2"/>
      <c r="AS2"/>
      <c r="AT2"/>
      <c r="AU2"/>
      <c r="AV2"/>
      <c r="AW2"/>
      <c r="AZ2" s="946"/>
    </row>
    <row r="3" spans="1:56" ht="15" thickBot="1" x14ac:dyDescent="0.4">
      <c r="A3" s="103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2"/>
      <c r="N3" s="102"/>
      <c r="O3" s="101"/>
      <c r="P3" s="101"/>
      <c r="Q3" s="101"/>
      <c r="R3" s="102"/>
      <c r="S3" s="102"/>
      <c r="T3" s="101"/>
      <c r="U3" s="101"/>
      <c r="V3" s="101"/>
      <c r="W3" s="102"/>
      <c r="X3" s="102"/>
      <c r="Y3" s="101"/>
      <c r="Z3" s="101"/>
      <c r="AA3" s="102"/>
      <c r="AB3" s="102"/>
      <c r="AC3" s="102"/>
      <c r="AD3" s="102"/>
      <c r="AE3" s="102"/>
      <c r="AF3" s="102"/>
      <c r="AG3" s="102"/>
      <c r="AH3" s="102"/>
      <c r="AI3" s="101"/>
      <c r="AJ3" s="102"/>
      <c r="AK3" s="102"/>
      <c r="AL3" s="102"/>
      <c r="AM3" s="102"/>
      <c r="AN3" s="101"/>
    </row>
    <row r="4" spans="1:56" ht="15" thickBot="1" x14ac:dyDescent="0.4">
      <c r="A4" s="104"/>
      <c r="B4" s="105" t="str">
        <f>IS!B4</f>
        <v>1Q19A</v>
      </c>
      <c r="C4" s="105" t="str">
        <f>IS!C4</f>
        <v>2Q19A</v>
      </c>
      <c r="D4" s="105" t="str">
        <f>IS!D4</f>
        <v>3Q19A</v>
      </c>
      <c r="E4" s="105" t="str">
        <f>IS!E4</f>
        <v>4Q19A</v>
      </c>
      <c r="F4" s="106" t="str">
        <f>IS!F4</f>
        <v>2019A</v>
      </c>
      <c r="G4" s="107" t="str">
        <f>IS!G4</f>
        <v>1Q20A</v>
      </c>
      <c r="H4" s="105" t="str">
        <f>IS!H4</f>
        <v>2Q20A</v>
      </c>
      <c r="I4" s="105" t="str">
        <f>IS!I4</f>
        <v>3Q20A</v>
      </c>
      <c r="J4" s="105" t="str">
        <f>IS!J4</f>
        <v>4Q20A</v>
      </c>
      <c r="K4" s="107" t="str">
        <f>IS!K4</f>
        <v>2020A</v>
      </c>
      <c r="L4" s="107" t="str">
        <f>IS!L4</f>
        <v>1Q21A</v>
      </c>
      <c r="M4" s="105" t="str">
        <f>IS!M4</f>
        <v>2Q21A</v>
      </c>
      <c r="N4" s="105" t="str">
        <f>IS!N4</f>
        <v>3Q21A</v>
      </c>
      <c r="O4" s="108" t="str">
        <f>IS!O4</f>
        <v>4Q21A</v>
      </c>
      <c r="P4" s="106" t="str">
        <f>IS!P4</f>
        <v>2021A</v>
      </c>
      <c r="Q4" s="107" t="str">
        <f>IS!Q4</f>
        <v>1Q22A</v>
      </c>
      <c r="R4" s="105" t="str">
        <f>IS!R4</f>
        <v>2Q22A</v>
      </c>
      <c r="S4" s="105" t="str">
        <f>IS!S4</f>
        <v>3Q22A</v>
      </c>
      <c r="T4" s="108" t="str">
        <f>IS!T4</f>
        <v>4Q22A</v>
      </c>
      <c r="U4" s="106" t="str">
        <f>IS!U4</f>
        <v>2022A</v>
      </c>
      <c r="V4" s="107" t="str">
        <f>IS!V4</f>
        <v>1Q23A</v>
      </c>
      <c r="W4" s="105" t="str">
        <f>IS!W4</f>
        <v>2Q23A</v>
      </c>
      <c r="X4" s="105" t="str">
        <f>IS!X4</f>
        <v>3Q23A</v>
      </c>
      <c r="Y4" s="108" t="str">
        <f>IS!Y4</f>
        <v>4Q23A</v>
      </c>
      <c r="Z4" s="106" t="str">
        <f>IS!Z4</f>
        <v>2023A</v>
      </c>
      <c r="AA4" s="107" t="e">
        <f>IS!#REF!</f>
        <v>#REF!</v>
      </c>
      <c r="AB4" s="105" t="e">
        <f>IS!#REF!</f>
        <v>#REF!</v>
      </c>
      <c r="AC4" s="105" t="e">
        <f>IS!#REF!</f>
        <v>#REF!</v>
      </c>
      <c r="AD4" s="108" t="e">
        <f>IS!#REF!</f>
        <v>#REF!</v>
      </c>
      <c r="AE4" s="107" t="str">
        <f>IS!AA4</f>
        <v>1Q25A</v>
      </c>
      <c r="AF4" s="105" t="str">
        <f>IS!AB4</f>
        <v>2Q25A</v>
      </c>
      <c r="AG4" s="105" t="str">
        <f>IS!AC4</f>
        <v>3Q25A</v>
      </c>
      <c r="AH4" s="108" t="str">
        <f>IS!AD4</f>
        <v>4Q25A</v>
      </c>
      <c r="AI4" s="106" t="str">
        <f>IS!AE4</f>
        <v>2025A</v>
      </c>
      <c r="AJ4" s="107" t="str">
        <f>IS!AF4</f>
        <v>1Q26E</v>
      </c>
      <c r="AK4" s="105" t="str">
        <f>IS!AG4</f>
        <v>2Q26E</v>
      </c>
      <c r="AL4" s="105" t="str">
        <f>IS!AH4</f>
        <v>3Q26E</v>
      </c>
      <c r="AM4" s="108" t="str">
        <f>IS!AI4</f>
        <v>4Q26E</v>
      </c>
      <c r="AN4" s="106" t="str">
        <f>IS!AJ4</f>
        <v>2026E</v>
      </c>
      <c r="AO4" s="106" t="str">
        <f>IS!AK4</f>
        <v>2027E</v>
      </c>
      <c r="AP4" s="106" t="str">
        <f>IS!AL4</f>
        <v>2028E</v>
      </c>
      <c r="AQ4" s="106" t="str">
        <f>IS!AM4</f>
        <v>2029E</v>
      </c>
      <c r="AR4" s="106" t="str">
        <f>IS!AN4</f>
        <v>2030E</v>
      </c>
      <c r="AS4" s="106" t="str">
        <f>IS!AO4</f>
        <v>2031E</v>
      </c>
      <c r="AT4" s="106" t="str">
        <f>IS!AP4</f>
        <v>2032E</v>
      </c>
      <c r="AU4" s="106" t="str">
        <f>IS!AQ4</f>
        <v>2033E</v>
      </c>
      <c r="AV4" s="106" t="str">
        <f>IS!AR4</f>
        <v>2034E</v>
      </c>
      <c r="AW4" s="106" t="str">
        <f>IS!AS4</f>
        <v>2035E</v>
      </c>
    </row>
    <row r="5" spans="1:56" x14ac:dyDescent="0.35">
      <c r="A5" s="109"/>
      <c r="B5" s="110"/>
      <c r="C5" s="111"/>
      <c r="D5" s="111"/>
      <c r="E5" s="112"/>
      <c r="F5" s="113"/>
      <c r="G5" s="110"/>
      <c r="H5" s="111"/>
      <c r="I5" s="111"/>
      <c r="J5" s="112"/>
      <c r="K5" s="114"/>
      <c r="L5" s="110"/>
      <c r="M5" s="111"/>
      <c r="N5" s="111"/>
      <c r="O5" s="112"/>
      <c r="P5" s="115"/>
      <c r="Q5" s="119"/>
      <c r="R5" s="206"/>
      <c r="S5" s="206"/>
      <c r="T5" s="654"/>
      <c r="U5" s="113"/>
      <c r="V5" s="119"/>
      <c r="W5" s="206"/>
      <c r="X5" s="206"/>
      <c r="Y5" s="654"/>
      <c r="Z5" s="104"/>
      <c r="AA5" s="117"/>
      <c r="AB5" s="102"/>
      <c r="AC5" s="102"/>
      <c r="AD5" s="118"/>
      <c r="AE5" s="117"/>
      <c r="AF5" s="102"/>
      <c r="AG5" s="102"/>
      <c r="AH5" s="118"/>
      <c r="AI5" s="113"/>
      <c r="AJ5" s="117"/>
      <c r="AK5" s="102"/>
      <c r="AL5" s="102"/>
      <c r="AM5" s="118"/>
      <c r="AN5" s="113"/>
      <c r="AO5" s="113"/>
      <c r="AP5" s="113"/>
      <c r="AQ5" s="113"/>
      <c r="AR5" s="113"/>
      <c r="AS5" s="113"/>
      <c r="AT5" s="113"/>
      <c r="AU5" s="113"/>
      <c r="AV5" s="113"/>
      <c r="AW5" s="113"/>
    </row>
    <row r="6" spans="1:56" ht="15" thickBot="1" x14ac:dyDescent="0.4">
      <c r="A6" s="116" t="s">
        <v>381</v>
      </c>
      <c r="B6" s="117"/>
      <c r="C6" s="102"/>
      <c r="D6" s="102"/>
      <c r="E6" s="118"/>
      <c r="F6" s="113"/>
      <c r="G6" s="117"/>
      <c r="H6" s="102"/>
      <c r="I6" s="102"/>
      <c r="J6" s="118"/>
      <c r="K6" s="119"/>
      <c r="L6" s="117"/>
      <c r="M6" s="102"/>
      <c r="N6" s="102"/>
      <c r="O6" s="118"/>
      <c r="P6" s="115"/>
      <c r="Q6" s="119"/>
      <c r="R6" s="206"/>
      <c r="S6" s="206"/>
      <c r="T6" s="654"/>
      <c r="U6" s="113"/>
      <c r="V6" s="119"/>
      <c r="W6" s="206"/>
      <c r="X6" s="206"/>
      <c r="Y6" s="654"/>
      <c r="Z6" s="113"/>
      <c r="AA6" s="117"/>
      <c r="AB6" s="102"/>
      <c r="AC6" s="102"/>
      <c r="AD6" s="118"/>
      <c r="AE6" s="117"/>
      <c r="AF6" s="102"/>
      <c r="AG6" s="102"/>
      <c r="AH6" s="118"/>
      <c r="AI6" s="113"/>
      <c r="AJ6" s="117"/>
      <c r="AK6" s="102"/>
      <c r="AL6" s="102"/>
      <c r="AM6" s="118"/>
      <c r="AN6" s="113"/>
      <c r="AO6" s="113"/>
      <c r="AP6" s="113"/>
      <c r="AQ6" s="113"/>
      <c r="AR6" s="113"/>
      <c r="AS6" s="113"/>
      <c r="AT6" s="113"/>
      <c r="AU6" s="113"/>
      <c r="AV6" s="113"/>
      <c r="AW6" s="113"/>
    </row>
    <row r="7" spans="1:56" ht="15" thickBot="1" x14ac:dyDescent="0.4">
      <c r="A7" s="120" t="s">
        <v>382</v>
      </c>
      <c r="B7" s="121"/>
      <c r="C7" s="94"/>
      <c r="D7" s="94"/>
      <c r="E7" s="122"/>
      <c r="F7" s="72"/>
      <c r="G7" s="121"/>
      <c r="H7" s="94"/>
      <c r="I7" s="94"/>
      <c r="J7" s="122"/>
      <c r="K7" s="121"/>
      <c r="L7" s="121"/>
      <c r="M7" s="94"/>
      <c r="N7" s="94"/>
      <c r="O7" s="122"/>
      <c r="P7" s="72"/>
      <c r="Q7" s="121"/>
      <c r="T7" s="122"/>
      <c r="U7" s="72"/>
      <c r="V7" s="121"/>
      <c r="Y7" s="122"/>
      <c r="Z7" s="92">
        <v>0</v>
      </c>
      <c r="AA7" s="887"/>
      <c r="AB7" s="888"/>
      <c r="AC7" s="888"/>
      <c r="AD7" s="889"/>
      <c r="AE7" s="887"/>
      <c r="AF7" s="888"/>
      <c r="AG7" s="888"/>
      <c r="AH7" s="889"/>
      <c r="AI7" s="92"/>
      <c r="AJ7" s="887"/>
      <c r="AK7" s="888"/>
      <c r="AL7" s="888"/>
      <c r="AM7" s="889"/>
      <c r="AN7" s="92"/>
      <c r="AO7" s="92"/>
      <c r="AP7" s="92">
        <v>0</v>
      </c>
      <c r="AQ7" s="92">
        <v>30.691938200476411</v>
      </c>
      <c r="AR7" s="92">
        <v>186.91390364090134</v>
      </c>
      <c r="AS7" s="92">
        <v>470.40972592874959</v>
      </c>
      <c r="AT7" s="92">
        <v>762.9756731639493</v>
      </c>
      <c r="AU7" s="92">
        <v>1050.1174760915537</v>
      </c>
      <c r="AV7" s="92">
        <v>1309.7538096918079</v>
      </c>
      <c r="AW7" s="92">
        <v>1545.7080953422176</v>
      </c>
      <c r="AY7" s="800">
        <v>0.55000000000000004</v>
      </c>
      <c r="BC7">
        <v>78</v>
      </c>
      <c r="BD7">
        <v>37</v>
      </c>
    </row>
    <row r="8" spans="1:56" x14ac:dyDescent="0.35">
      <c r="A8" s="1075" t="s">
        <v>597</v>
      </c>
      <c r="B8" s="1076"/>
      <c r="C8" s="1077"/>
      <c r="D8" s="1077"/>
      <c r="E8" s="1078"/>
      <c r="F8" s="1079"/>
      <c r="G8" s="1076"/>
      <c r="H8" s="1077"/>
      <c r="I8" s="1077"/>
      <c r="J8" s="1078"/>
      <c r="K8" s="1076"/>
      <c r="L8" s="1076"/>
      <c r="M8" s="1077"/>
      <c r="N8" s="1077"/>
      <c r="O8" s="1078"/>
      <c r="P8" s="1079"/>
      <c r="Q8" s="1076"/>
      <c r="R8" s="1077"/>
      <c r="S8" s="1077"/>
      <c r="T8" s="1078"/>
      <c r="U8" s="1079"/>
      <c r="V8" s="1076"/>
      <c r="W8" s="1077"/>
      <c r="X8" s="1077"/>
      <c r="Y8" s="1078"/>
      <c r="Z8" s="1080"/>
      <c r="AA8" s="1081"/>
      <c r="AB8" s="1082"/>
      <c r="AC8" s="1082"/>
      <c r="AD8" s="1083"/>
      <c r="AE8" s="1081"/>
      <c r="AF8" s="1082"/>
      <c r="AG8" s="1082"/>
      <c r="AH8" s="1083"/>
      <c r="AI8" s="1080"/>
      <c r="AJ8" s="1081"/>
      <c r="AK8" s="1082"/>
      <c r="AL8" s="1082"/>
      <c r="AM8" s="1083"/>
      <c r="AN8" s="1080"/>
      <c r="AO8" s="1080"/>
      <c r="AP8" s="1080">
        <f ca="1">ML007MA_ME!T19</f>
        <v>0</v>
      </c>
      <c r="AQ8" s="1080">
        <f ca="1">ML007MA_ME!U19</f>
        <v>29.32648012880825</v>
      </c>
      <c r="AR8" s="1080">
        <f ca="1">ML007MA_ME!V19</f>
        <v>90.2474503312217</v>
      </c>
      <c r="AS8" s="1080">
        <f ca="1">ML007MA_ME!W19</f>
        <v>196.03091262883697</v>
      </c>
      <c r="AT8" s="1080">
        <f ca="1">ML007MA_ME!X19</f>
        <v>316.81522897765774</v>
      </c>
      <c r="AU8" s="1080">
        <f ca="1">ML007MA_ME!Y19</f>
        <v>452.42736727727623</v>
      </c>
      <c r="AV8" s="1080">
        <f ca="1">ML007MA_ME!Z19</f>
        <v>590.38147172703827</v>
      </c>
      <c r="AW8" s="1080">
        <f ca="1">ML007MA_ME!AA19</f>
        <v>724.8722236526263</v>
      </c>
      <c r="AY8" s="773"/>
    </row>
    <row r="9" spans="1:56" x14ac:dyDescent="0.35">
      <c r="A9" s="758" t="s">
        <v>383</v>
      </c>
      <c r="B9" s="121"/>
      <c r="C9" s="94"/>
      <c r="D9" s="94"/>
      <c r="E9" s="122"/>
      <c r="F9" s="72"/>
      <c r="G9" s="121"/>
      <c r="H9" s="94"/>
      <c r="I9" s="94"/>
      <c r="J9" s="122"/>
      <c r="K9" s="121"/>
      <c r="L9" s="121"/>
      <c r="M9" s="94"/>
      <c r="N9" s="94"/>
      <c r="O9" s="122"/>
      <c r="P9" s="72"/>
      <c r="Q9" s="121"/>
      <c r="T9" s="122"/>
      <c r="U9" s="72"/>
      <c r="V9" s="121"/>
      <c r="Y9" s="122"/>
      <c r="Z9" s="92">
        <f>Z7*$AY$7</f>
        <v>0</v>
      </c>
      <c r="AA9" s="887"/>
      <c r="AB9" s="888"/>
      <c r="AC9" s="888"/>
      <c r="AD9" s="889"/>
      <c r="AE9" s="887"/>
      <c r="AF9" s="888"/>
      <c r="AG9" s="888"/>
      <c r="AH9" s="889"/>
      <c r="AI9" s="92"/>
      <c r="AJ9" s="887"/>
      <c r="AK9" s="888"/>
      <c r="AL9" s="888"/>
      <c r="AM9" s="889"/>
      <c r="AN9" s="92"/>
      <c r="AO9" s="92"/>
      <c r="AP9" s="92">
        <f>AP7*$AY$7</f>
        <v>0</v>
      </c>
      <c r="AQ9" s="92">
        <f>AQ7*$AY$7</f>
        <v>16.880566010262026</v>
      </c>
      <c r="AR9" s="92">
        <f>AR7*$AY$7</f>
        <v>102.80264700249575</v>
      </c>
      <c r="AS9" s="92">
        <f t="shared" ref="AS9:AT9" si="0">AS7*$AY$7</f>
        <v>258.72534926081232</v>
      </c>
      <c r="AT9" s="92">
        <f t="shared" si="0"/>
        <v>419.63662024017214</v>
      </c>
      <c r="AU9" s="92">
        <f t="shared" ref="AU9:AV9" si="1">AU7*$AY$7</f>
        <v>577.56461185035459</v>
      </c>
      <c r="AV9" s="92">
        <f t="shared" si="1"/>
        <v>720.36459533049435</v>
      </c>
      <c r="AW9" s="92">
        <f t="shared" ref="AW9" si="2">AW7*$AY$7</f>
        <v>850.13945243821979</v>
      </c>
      <c r="AY9" s="772"/>
      <c r="BC9">
        <v>36</v>
      </c>
      <c r="BD9">
        <v>21</v>
      </c>
    </row>
    <row r="10" spans="1:56" x14ac:dyDescent="0.35">
      <c r="A10" s="1075" t="s">
        <v>598</v>
      </c>
      <c r="B10" s="1076"/>
      <c r="C10" s="1077"/>
      <c r="D10" s="1077"/>
      <c r="E10" s="1078"/>
      <c r="F10" s="1079"/>
      <c r="G10" s="1076"/>
      <c r="H10" s="1077"/>
      <c r="I10" s="1077"/>
      <c r="J10" s="1078"/>
      <c r="K10" s="1076"/>
      <c r="L10" s="1076"/>
      <c r="M10" s="1077"/>
      <c r="N10" s="1077"/>
      <c r="O10" s="1078"/>
      <c r="P10" s="1079"/>
      <c r="Q10" s="1076"/>
      <c r="R10" s="1077"/>
      <c r="S10" s="1077"/>
      <c r="T10" s="1078"/>
      <c r="U10" s="1079"/>
      <c r="V10" s="1076"/>
      <c r="W10" s="1077"/>
      <c r="X10" s="1077"/>
      <c r="Y10" s="1078"/>
      <c r="Z10" s="1080"/>
      <c r="AA10" s="1081"/>
      <c r="AB10" s="1082"/>
      <c r="AC10" s="1082"/>
      <c r="AD10" s="1083"/>
      <c r="AE10" s="1081"/>
      <c r="AF10" s="1082"/>
      <c r="AG10" s="1082"/>
      <c r="AH10" s="1083"/>
      <c r="AI10" s="1080"/>
      <c r="AJ10" s="1081"/>
      <c r="AK10" s="1082"/>
      <c r="AL10" s="1082"/>
      <c r="AM10" s="1083"/>
      <c r="AN10" s="1080"/>
      <c r="AO10" s="1080"/>
      <c r="AP10" s="1080">
        <f ca="1">ML007MA_ME!T21</f>
        <v>0</v>
      </c>
      <c r="AQ10" s="1080">
        <f ca="1">ML007MA_ME!U21</f>
        <v>17.595888077285025</v>
      </c>
      <c r="AR10" s="1080">
        <f ca="1">ML007MA_ME!V21</f>
        <v>53.153453588680321</v>
      </c>
      <c r="AS10" s="1080">
        <f ca="1">ML007MA_ME!W21</f>
        <v>135.9303494366595</v>
      </c>
      <c r="AT10" s="1080">
        <f ca="1">ML007MA_ME!X21</f>
        <v>216.23472224746311</v>
      </c>
      <c r="AU10" s="1080">
        <f ca="1">ML007MA_ME!Y21</f>
        <v>308.203636752009</v>
      </c>
      <c r="AV10" s="1080">
        <f ca="1">ML007MA_ME!Z21</f>
        <v>398.53516398830232</v>
      </c>
      <c r="AW10" s="1080">
        <f ca="1">ML007MA_ME!AA21</f>
        <v>485.88174637359964</v>
      </c>
      <c r="AY10" s="772"/>
    </row>
    <row r="11" spans="1:56" ht="15" thickBot="1" x14ac:dyDescent="0.4">
      <c r="A11" s="758"/>
      <c r="B11" s="121"/>
      <c r="C11" s="94"/>
      <c r="D11" s="94"/>
      <c r="E11" s="122"/>
      <c r="F11" s="72"/>
      <c r="G11" s="121"/>
      <c r="H11" s="94"/>
      <c r="I11" s="94"/>
      <c r="J11" s="122"/>
      <c r="K11" s="121"/>
      <c r="L11" s="121"/>
      <c r="M11" s="94"/>
      <c r="N11" s="94"/>
      <c r="O11" s="122"/>
      <c r="P11" s="72"/>
      <c r="Q11" s="121"/>
      <c r="T11" s="122"/>
      <c r="U11" s="72"/>
      <c r="V11" s="121"/>
      <c r="Y11" s="122"/>
      <c r="Z11" s="92"/>
      <c r="AA11" s="887"/>
      <c r="AB11" s="888"/>
      <c r="AC11" s="888"/>
      <c r="AD11" s="889"/>
      <c r="AE11" s="887"/>
      <c r="AF11" s="888"/>
      <c r="AG11" s="888"/>
      <c r="AH11" s="889"/>
      <c r="AI11" s="92"/>
      <c r="AJ11" s="887"/>
      <c r="AK11" s="888"/>
      <c r="AL11" s="888"/>
      <c r="AM11" s="889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Y11" s="774"/>
    </row>
    <row r="12" spans="1:56" ht="15" thickBot="1" x14ac:dyDescent="0.4">
      <c r="A12" s="120" t="s">
        <v>384</v>
      </c>
      <c r="B12" s="121"/>
      <c r="C12" s="94"/>
      <c r="D12" s="94"/>
      <c r="E12" s="122"/>
      <c r="F12" s="72"/>
      <c r="G12" s="121"/>
      <c r="H12" s="94"/>
      <c r="I12" s="94"/>
      <c r="J12" s="122"/>
      <c r="K12" s="121"/>
      <c r="L12" s="121"/>
      <c r="M12" s="94"/>
      <c r="N12" s="94"/>
      <c r="O12" s="122"/>
      <c r="P12" s="72"/>
      <c r="Q12" s="121"/>
      <c r="T12" s="122"/>
      <c r="U12" s="72"/>
      <c r="V12" s="121"/>
      <c r="Y12" s="122"/>
      <c r="Z12" s="92">
        <v>0</v>
      </c>
      <c r="AA12" s="887"/>
      <c r="AB12" s="888"/>
      <c r="AC12" s="888"/>
      <c r="AD12" s="889"/>
      <c r="AE12" s="887"/>
      <c r="AF12" s="888"/>
      <c r="AG12" s="888"/>
      <c r="AH12" s="889"/>
      <c r="AI12" s="92"/>
      <c r="AJ12" s="887"/>
      <c r="AK12" s="888"/>
      <c r="AL12" s="888"/>
      <c r="AM12" s="889"/>
      <c r="AN12" s="92"/>
      <c r="AO12" s="92"/>
      <c r="AP12" s="92">
        <v>0</v>
      </c>
      <c r="AQ12" s="540">
        <v>0</v>
      </c>
      <c r="AR12" s="540">
        <v>101.32250847306922</v>
      </c>
      <c r="AS12" s="92">
        <v>345.2998191792575</v>
      </c>
      <c r="AT12" s="92">
        <v>964.24697480426858</v>
      </c>
      <c r="AU12" s="92">
        <v>1500.5162701151914</v>
      </c>
      <c r="AV12" s="92">
        <v>1972.0630619365966</v>
      </c>
      <c r="AW12" s="92">
        <v>2393.5535392596021</v>
      </c>
      <c r="AY12" s="800">
        <v>0.25</v>
      </c>
    </row>
    <row r="13" spans="1:56" x14ac:dyDescent="0.35">
      <c r="A13" s="1075" t="s">
        <v>597</v>
      </c>
      <c r="B13" s="1076"/>
      <c r="C13" s="1077"/>
      <c r="D13" s="1077"/>
      <c r="E13" s="1078"/>
      <c r="F13" s="1079"/>
      <c r="G13" s="1076"/>
      <c r="H13" s="1077"/>
      <c r="I13" s="1077"/>
      <c r="J13" s="1078"/>
      <c r="K13" s="1076"/>
      <c r="L13" s="1076"/>
      <c r="M13" s="1077"/>
      <c r="N13" s="1077"/>
      <c r="O13" s="1078"/>
      <c r="P13" s="1079"/>
      <c r="Q13" s="1076"/>
      <c r="R13" s="1077"/>
      <c r="S13" s="1077"/>
      <c r="T13" s="1078"/>
      <c r="U13" s="1079"/>
      <c r="V13" s="1076"/>
      <c r="W13" s="1077"/>
      <c r="X13" s="1077"/>
      <c r="Y13" s="1078"/>
      <c r="Z13" s="1080"/>
      <c r="AA13" s="1081"/>
      <c r="AB13" s="1082"/>
      <c r="AC13" s="1082"/>
      <c r="AD13" s="1083"/>
      <c r="AE13" s="1081"/>
      <c r="AF13" s="1082"/>
      <c r="AG13" s="1082"/>
      <c r="AH13" s="1083"/>
      <c r="AI13" s="1080"/>
      <c r="AJ13" s="1081"/>
      <c r="AK13" s="1082"/>
      <c r="AL13" s="1082"/>
      <c r="AM13" s="1083"/>
      <c r="AN13" s="1080"/>
      <c r="AO13" s="1080"/>
      <c r="AP13" s="1080">
        <f ca="1">ML007MA_ME!T40</f>
        <v>0</v>
      </c>
      <c r="AQ13" s="1080">
        <f ca="1">ML007MA_ME!U40</f>
        <v>0</v>
      </c>
      <c r="AR13" s="1080">
        <f ca="1">ML007MA_ME!V40</f>
        <v>31.333005188561401</v>
      </c>
      <c r="AS13" s="1080">
        <f ca="1">ML007MA_ME!W40</f>
        <v>72.874931262691817</v>
      </c>
      <c r="AT13" s="1080">
        <f ca="1">ML007MA_ME!X40</f>
        <v>205.38141128563623</v>
      </c>
      <c r="AU13" s="1080">
        <f ca="1">ML007MA_ME!Y40</f>
        <v>388.60214669754652</v>
      </c>
      <c r="AV13" s="1080">
        <f ca="1">ML007MA_ME!Z40</f>
        <v>592.28238081247923</v>
      </c>
      <c r="AW13" s="1080">
        <f ca="1">ML007MA_ME!AA40</f>
        <v>786.41443470443903</v>
      </c>
      <c r="AY13" s="773"/>
    </row>
    <row r="14" spans="1:56" x14ac:dyDescent="0.35">
      <c r="A14" s="758" t="s">
        <v>385</v>
      </c>
      <c r="B14" s="121"/>
      <c r="C14" s="94"/>
      <c r="D14" s="94"/>
      <c r="E14" s="122"/>
      <c r="F14" s="72"/>
      <c r="G14" s="121"/>
      <c r="H14" s="94"/>
      <c r="I14" s="94"/>
      <c r="J14" s="122"/>
      <c r="K14" s="121"/>
      <c r="L14" s="121"/>
      <c r="M14" s="94"/>
      <c r="N14" s="94"/>
      <c r="O14" s="122"/>
      <c r="P14" s="72"/>
      <c r="Q14" s="121"/>
      <c r="T14" s="122"/>
      <c r="U14" s="72"/>
      <c r="V14" s="121"/>
      <c r="Y14" s="122"/>
      <c r="Z14" s="92">
        <f>Z12*$AY$12</f>
        <v>0</v>
      </c>
      <c r="AA14" s="887"/>
      <c r="AB14" s="888"/>
      <c r="AC14" s="888"/>
      <c r="AD14" s="889"/>
      <c r="AE14" s="887"/>
      <c r="AF14" s="888"/>
      <c r="AG14" s="888"/>
      <c r="AH14" s="889"/>
      <c r="AI14" s="92"/>
      <c r="AJ14" s="887"/>
      <c r="AK14" s="888"/>
      <c r="AL14" s="888"/>
      <c r="AM14" s="889"/>
      <c r="AN14" s="92"/>
      <c r="AO14" s="92"/>
      <c r="AP14" s="92">
        <f t="shared" ref="AP14:AR14" si="3">AP12*$AY$12</f>
        <v>0</v>
      </c>
      <c r="AQ14" s="540">
        <f t="shared" si="3"/>
        <v>0</v>
      </c>
      <c r="AR14" s="540">
        <f t="shared" si="3"/>
        <v>25.330627118267305</v>
      </c>
      <c r="AS14" s="92">
        <f t="shared" ref="AS14:AT14" si="4">AS12*$AY$12</f>
        <v>86.324954794814374</v>
      </c>
      <c r="AT14" s="92">
        <f t="shared" si="4"/>
        <v>241.06174370106714</v>
      </c>
      <c r="AU14" s="92">
        <f t="shared" ref="AU14:AV14" si="5">AU12*$AY$12</f>
        <v>375.12906752879786</v>
      </c>
      <c r="AV14" s="92">
        <f t="shared" si="5"/>
        <v>493.01576548414914</v>
      </c>
      <c r="AW14" s="92">
        <f t="shared" ref="AW14" si="6">AW12*$AY$12</f>
        <v>598.38838481490052</v>
      </c>
      <c r="AY14" s="772"/>
    </row>
    <row r="15" spans="1:56" x14ac:dyDescent="0.35">
      <c r="A15" s="1075" t="s">
        <v>598</v>
      </c>
      <c r="B15" s="1076"/>
      <c r="C15" s="1077"/>
      <c r="D15" s="1077"/>
      <c r="E15" s="1078"/>
      <c r="F15" s="1079"/>
      <c r="G15" s="1076"/>
      <c r="H15" s="1077"/>
      <c r="I15" s="1077"/>
      <c r="J15" s="1078"/>
      <c r="K15" s="1076"/>
      <c r="L15" s="1076"/>
      <c r="M15" s="1077"/>
      <c r="N15" s="1077"/>
      <c r="O15" s="1078"/>
      <c r="P15" s="1079"/>
      <c r="Q15" s="1076"/>
      <c r="R15" s="1077"/>
      <c r="S15" s="1077"/>
      <c r="T15" s="1078"/>
      <c r="U15" s="1079"/>
      <c r="V15" s="1076"/>
      <c r="W15" s="1077"/>
      <c r="X15" s="1077"/>
      <c r="Y15" s="1078"/>
      <c r="Z15" s="1080"/>
      <c r="AA15" s="1081"/>
      <c r="AB15" s="1082"/>
      <c r="AC15" s="1082"/>
      <c r="AD15" s="1083"/>
      <c r="AE15" s="1081"/>
      <c r="AF15" s="1082"/>
      <c r="AG15" s="1082"/>
      <c r="AH15" s="1083"/>
      <c r="AI15" s="1080"/>
      <c r="AJ15" s="1081"/>
      <c r="AK15" s="1082"/>
      <c r="AL15" s="1082"/>
      <c r="AM15" s="1083"/>
      <c r="AN15" s="1080"/>
      <c r="AO15" s="1080"/>
      <c r="AP15" s="1080">
        <f ca="1">ML007MA_ME!T42</f>
        <v>0</v>
      </c>
      <c r="AQ15" s="1080">
        <f ca="1">ML007MA_ME!U42</f>
        <v>0</v>
      </c>
      <c r="AR15" s="1080">
        <f ca="1">ML007MA_ME!V42</f>
        <v>15.666502594280701</v>
      </c>
      <c r="AS15" s="1080">
        <f ca="1">ML007MA_ME!W42</f>
        <v>40.671555038661666</v>
      </c>
      <c r="AT15" s="1080">
        <f ca="1">ML007MA_ME!X42</f>
        <v>87.761698559962639</v>
      </c>
      <c r="AU15" s="1080">
        <f ca="1">ML007MA_ME!Y42</f>
        <v>152.24154670258815</v>
      </c>
      <c r="AV15" s="1080">
        <f ca="1">ML007MA_ME!Z42</f>
        <v>226.11230470398701</v>
      </c>
      <c r="AW15" s="1080">
        <f ca="1">ML007MA_ME!AA42</f>
        <v>298.94416817138165</v>
      </c>
      <c r="AY15" s="772"/>
    </row>
    <row r="16" spans="1:56" x14ac:dyDescent="0.35">
      <c r="A16" s="758"/>
      <c r="B16" s="121"/>
      <c r="C16" s="94"/>
      <c r="D16" s="94"/>
      <c r="E16" s="122"/>
      <c r="F16" s="72"/>
      <c r="G16" s="121"/>
      <c r="H16" s="94"/>
      <c r="I16" s="94"/>
      <c r="J16" s="122"/>
      <c r="K16" s="121"/>
      <c r="L16" s="121"/>
      <c r="M16" s="94"/>
      <c r="N16" s="94"/>
      <c r="O16" s="122"/>
      <c r="P16" s="72"/>
      <c r="Q16" s="121"/>
      <c r="T16" s="122"/>
      <c r="U16" s="72"/>
      <c r="V16" s="121"/>
      <c r="Y16" s="122"/>
      <c r="Z16" s="92"/>
      <c r="AA16" s="887"/>
      <c r="AB16" s="888"/>
      <c r="AC16" s="888"/>
      <c r="AD16" s="889"/>
      <c r="AE16" s="887"/>
      <c r="AF16" s="888"/>
      <c r="AG16" s="888"/>
      <c r="AH16" s="889"/>
      <c r="AI16" s="92"/>
      <c r="AJ16" s="887"/>
      <c r="AK16" s="888"/>
      <c r="AL16" s="888"/>
      <c r="AM16" s="889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Y16" s="772"/>
    </row>
    <row r="17" spans="1:52" ht="15" thickBot="1" x14ac:dyDescent="0.4">
      <c r="A17" s="109" t="s">
        <v>386</v>
      </c>
      <c r="B17" s="123"/>
      <c r="C17" s="124"/>
      <c r="D17" s="125"/>
      <c r="E17" s="126"/>
      <c r="F17" s="127"/>
      <c r="G17" s="123"/>
      <c r="H17" s="125"/>
      <c r="I17" s="125"/>
      <c r="J17" s="126"/>
      <c r="K17" s="128"/>
      <c r="L17" s="129"/>
      <c r="M17" s="125"/>
      <c r="N17" s="130"/>
      <c r="O17" s="131"/>
      <c r="P17" s="127"/>
      <c r="Q17" s="128"/>
      <c r="R17" s="660"/>
      <c r="S17" s="660"/>
      <c r="T17" s="655"/>
      <c r="U17" s="132"/>
      <c r="V17" s="128"/>
      <c r="W17" s="660"/>
      <c r="X17" s="660"/>
      <c r="Y17" s="655"/>
      <c r="Z17" s="132" t="e">
        <f>Z7+Z12+#REF!</f>
        <v>#REF!</v>
      </c>
      <c r="AA17" s="884"/>
      <c r="AB17" s="130"/>
      <c r="AC17" s="130"/>
      <c r="AD17" s="131"/>
      <c r="AE17" s="884"/>
      <c r="AF17" s="130"/>
      <c r="AG17" s="130"/>
      <c r="AH17" s="131"/>
      <c r="AI17" s="132"/>
      <c r="AJ17" s="884"/>
      <c r="AK17" s="130"/>
      <c r="AL17" s="130"/>
      <c r="AM17" s="131"/>
      <c r="AN17" s="132"/>
      <c r="AO17" s="132"/>
      <c r="AP17" s="132"/>
      <c r="AQ17" s="132">
        <f t="shared" ref="AQ17:AW17" si="7">AQ7+AQ12</f>
        <v>30.691938200476411</v>
      </c>
      <c r="AR17" s="132">
        <f t="shared" si="7"/>
        <v>288.23641211397057</v>
      </c>
      <c r="AS17" s="132">
        <f t="shared" si="7"/>
        <v>815.70954510800709</v>
      </c>
      <c r="AT17" s="132">
        <f t="shared" si="7"/>
        <v>1727.2226479682179</v>
      </c>
      <c r="AU17" s="132">
        <f t="shared" si="7"/>
        <v>2550.6337462067449</v>
      </c>
      <c r="AV17" s="132">
        <f t="shared" si="7"/>
        <v>3281.8168716284044</v>
      </c>
      <c r="AW17" s="132">
        <f t="shared" si="7"/>
        <v>3939.2616346018194</v>
      </c>
      <c r="AY17" s="961" t="s">
        <v>252</v>
      </c>
    </row>
    <row r="18" spans="1:52" ht="15" thickBot="1" x14ac:dyDescent="0.4">
      <c r="A18" s="115" t="s">
        <v>74</v>
      </c>
      <c r="B18" s="123"/>
      <c r="C18" s="124"/>
      <c r="D18" s="125"/>
      <c r="E18" s="126"/>
      <c r="F18" s="127"/>
      <c r="G18" s="123"/>
      <c r="H18" s="125"/>
      <c r="I18" s="125"/>
      <c r="J18" s="126"/>
      <c r="K18" s="128"/>
      <c r="L18" s="129"/>
      <c r="M18" s="125"/>
      <c r="N18" s="130"/>
      <c r="O18" s="131"/>
      <c r="P18" s="127"/>
      <c r="Q18" s="128"/>
      <c r="R18" s="660"/>
      <c r="S18" s="660"/>
      <c r="T18" s="655"/>
      <c r="U18" s="132"/>
      <c r="V18" s="128"/>
      <c r="W18" s="660"/>
      <c r="X18" s="660"/>
      <c r="Y18" s="655"/>
      <c r="Z18" s="133"/>
      <c r="AA18" s="156"/>
      <c r="AB18" s="157"/>
      <c r="AC18" s="157"/>
      <c r="AD18" s="158"/>
      <c r="AE18" s="156"/>
      <c r="AF18" s="157"/>
      <c r="AG18" s="157"/>
      <c r="AH18" s="158"/>
      <c r="AI18" s="133"/>
      <c r="AJ18" s="156"/>
      <c r="AK18" s="157"/>
      <c r="AL18" s="157"/>
      <c r="AM18" s="158"/>
      <c r="AN18" s="133"/>
      <c r="AO18" s="133"/>
      <c r="AP18" s="133"/>
      <c r="AQ18" s="133">
        <f t="shared" ref="AQ18:AW18" si="8">AQ19/AQ17</f>
        <v>0.55000000000000004</v>
      </c>
      <c r="AR18" s="133">
        <f t="shared" si="8"/>
        <v>0.44454228798163886</v>
      </c>
      <c r="AS18" s="133">
        <f t="shared" si="8"/>
        <v>0.42300633371887175</v>
      </c>
      <c r="AT18" s="133">
        <f t="shared" si="8"/>
        <v>0.38252066965335241</v>
      </c>
      <c r="AU18" s="133">
        <f t="shared" si="8"/>
        <v>0.37351253616713131</v>
      </c>
      <c r="AV18" s="133">
        <f t="shared" si="8"/>
        <v>0.36972823538827643</v>
      </c>
      <c r="AW18" s="133">
        <f t="shared" si="8"/>
        <v>0.36771556997623422</v>
      </c>
      <c r="AY18" s="174">
        <f>AVERAGE(AQ18:AW18)</f>
        <v>0.41586080469792924</v>
      </c>
    </row>
    <row r="19" spans="1:52" x14ac:dyDescent="0.35">
      <c r="A19" s="134" t="s">
        <v>387</v>
      </c>
      <c r="B19" s="135"/>
      <c r="C19" s="136"/>
      <c r="D19" s="137"/>
      <c r="E19" s="138"/>
      <c r="F19" s="139"/>
      <c r="G19" s="135"/>
      <c r="H19" s="137"/>
      <c r="I19" s="137"/>
      <c r="J19" s="138"/>
      <c r="K19" s="140"/>
      <c r="L19" s="141"/>
      <c r="M19" s="137"/>
      <c r="N19" s="142"/>
      <c r="O19" s="143"/>
      <c r="P19" s="139"/>
      <c r="Q19" s="140"/>
      <c r="R19" s="661"/>
      <c r="S19" s="661"/>
      <c r="T19" s="656"/>
      <c r="U19" s="144"/>
      <c r="V19" s="140"/>
      <c r="W19" s="661"/>
      <c r="X19" s="661"/>
      <c r="Y19" s="656"/>
      <c r="Z19" s="144" t="e">
        <f>Z7*$AY$7+Z12*$AY$12+#REF!*#REF!</f>
        <v>#REF!</v>
      </c>
      <c r="AA19" s="892"/>
      <c r="AB19" s="142"/>
      <c r="AC19" s="142"/>
      <c r="AD19" s="143"/>
      <c r="AE19" s="892"/>
      <c r="AF19" s="142"/>
      <c r="AG19" s="142"/>
      <c r="AH19" s="143"/>
      <c r="AI19" s="144"/>
      <c r="AJ19" s="892"/>
      <c r="AK19" s="142"/>
      <c r="AL19" s="142"/>
      <c r="AM19" s="143"/>
      <c r="AN19" s="144"/>
      <c r="AO19" s="144"/>
      <c r="AP19" s="144"/>
      <c r="AQ19" s="144">
        <f t="shared" ref="AQ19:AW19" si="9">AQ7*$AY$7+AQ12*$AY$12</f>
        <v>16.880566010262026</v>
      </c>
      <c r="AR19" s="144">
        <f t="shared" si="9"/>
        <v>128.13327412076305</v>
      </c>
      <c r="AS19" s="144">
        <f t="shared" si="9"/>
        <v>345.05030405562673</v>
      </c>
      <c r="AT19" s="144">
        <f t="shared" si="9"/>
        <v>660.69836394123922</v>
      </c>
      <c r="AU19" s="144">
        <f t="shared" si="9"/>
        <v>952.6936793791524</v>
      </c>
      <c r="AV19" s="144">
        <f t="shared" si="9"/>
        <v>1213.3803608146436</v>
      </c>
      <c r="AW19" s="144">
        <f t="shared" si="9"/>
        <v>1448.5278372531202</v>
      </c>
    </row>
    <row r="20" spans="1:52" x14ac:dyDescent="0.35">
      <c r="A20" s="145" t="s">
        <v>75</v>
      </c>
      <c r="B20" s="146"/>
      <c r="C20" s="147"/>
      <c r="D20" s="148"/>
      <c r="E20" s="149"/>
      <c r="F20" s="150"/>
      <c r="G20" s="151"/>
      <c r="H20" s="152"/>
      <c r="I20" s="153"/>
      <c r="J20" s="154"/>
      <c r="K20" s="155"/>
      <c r="L20" s="156"/>
      <c r="M20" s="157"/>
      <c r="N20" s="157"/>
      <c r="O20" s="158"/>
      <c r="P20" s="150"/>
      <c r="Q20" s="155"/>
      <c r="R20" s="662"/>
      <c r="S20" s="662"/>
      <c r="T20" s="657"/>
      <c r="U20" s="133"/>
      <c r="V20" s="155"/>
      <c r="W20" s="662"/>
      <c r="X20" s="662"/>
      <c r="Y20" s="657"/>
      <c r="Z20" s="133"/>
      <c r="AA20" s="156"/>
      <c r="AB20" s="157"/>
      <c r="AC20" s="157"/>
      <c r="AD20" s="158"/>
      <c r="AE20" s="905"/>
      <c r="AF20" s="906"/>
      <c r="AG20" s="906"/>
      <c r="AH20" s="907"/>
      <c r="AI20" s="133"/>
      <c r="AJ20" s="156"/>
      <c r="AK20" s="157"/>
      <c r="AL20" s="157"/>
      <c r="AM20" s="158"/>
      <c r="AN20" s="133"/>
      <c r="AO20" s="133"/>
      <c r="AP20" s="133"/>
      <c r="AQ20" s="133"/>
      <c r="AR20" s="133">
        <f t="shared" ref="AR20:AW20" si="10">AR19/AQ19-1</f>
        <v>6.59057925207415</v>
      </c>
      <c r="AS20" s="133">
        <f t="shared" si="10"/>
        <v>1.6929016402907471</v>
      </c>
      <c r="AT20" s="133">
        <f t="shared" si="10"/>
        <v>0.91478852844229297</v>
      </c>
      <c r="AU20" s="133">
        <f t="shared" si="10"/>
        <v>0.4419495058169729</v>
      </c>
      <c r="AV20" s="133">
        <f t="shared" si="10"/>
        <v>0.27363116506175889</v>
      </c>
      <c r="AW20" s="133">
        <f t="shared" si="10"/>
        <v>0.19379535389925251</v>
      </c>
    </row>
    <row r="21" spans="1:52" s="207" customFormat="1" x14ac:dyDescent="0.35">
      <c r="A21" s="791" t="s">
        <v>16</v>
      </c>
      <c r="B21" s="792"/>
      <c r="C21" s="793"/>
      <c r="D21" s="793"/>
      <c r="E21" s="794"/>
      <c r="F21" s="795"/>
      <c r="G21" s="792"/>
      <c r="H21" s="793"/>
      <c r="I21" s="793"/>
      <c r="J21" s="794"/>
      <c r="K21" s="792"/>
      <c r="L21" s="792"/>
      <c r="M21" s="793"/>
      <c r="N21" s="793"/>
      <c r="O21" s="794"/>
      <c r="P21" s="795"/>
      <c r="Q21" s="792"/>
      <c r="R21" s="793"/>
      <c r="S21" s="793"/>
      <c r="T21" s="794"/>
      <c r="U21" s="795"/>
      <c r="V21" s="792"/>
      <c r="W21" s="793"/>
      <c r="X21" s="793"/>
      <c r="Y21" s="794"/>
      <c r="Z21" s="803" t="e">
        <f>'VA Consensus'!#REF!</f>
        <v>#REF!</v>
      </c>
      <c r="AA21" s="890"/>
      <c r="AB21" s="796"/>
      <c r="AC21" s="796"/>
      <c r="AD21" s="891"/>
      <c r="AE21" s="890"/>
      <c r="AF21" s="796"/>
      <c r="AG21" s="796"/>
      <c r="AH21" s="891"/>
      <c r="AI21" s="803"/>
      <c r="AJ21" s="890"/>
      <c r="AK21" s="796"/>
      <c r="AL21" s="796"/>
      <c r="AM21" s="891"/>
      <c r="AN21" s="803">
        <f>'VA Consensus'!S14</f>
        <v>0</v>
      </c>
      <c r="AO21" s="803">
        <f>'VA Consensus'!T14</f>
        <v>0</v>
      </c>
      <c r="AP21" s="803">
        <f>'VA Consensus'!U14</f>
        <v>0</v>
      </c>
      <c r="AQ21" s="803">
        <f>'VA Consensus'!V14</f>
        <v>17.595888077285025</v>
      </c>
      <c r="AR21" s="803">
        <f>'VA Consensus'!W14</f>
        <v>65.038297314285273</v>
      </c>
      <c r="AS21" s="803">
        <f>'VA Consensus'!X14</f>
        <v>182.01857114198782</v>
      </c>
      <c r="AT21" s="803">
        <f>'VA Consensus'!Y14</f>
        <v>303.99642080742575</v>
      </c>
      <c r="AU21" s="803">
        <f>'VA Consensus'!Z14</f>
        <v>445.62785263147748</v>
      </c>
      <c r="AV21" s="803">
        <f>'VA Consensus'!AA14</f>
        <v>610.24137981742695</v>
      </c>
      <c r="AW21" s="803">
        <f>'VA Consensus'!AB14</f>
        <v>775.64771912204105</v>
      </c>
      <c r="AY21" s="772"/>
    </row>
    <row r="22" spans="1:52" x14ac:dyDescent="0.35">
      <c r="A22" s="145"/>
      <c r="B22" s="146"/>
      <c r="C22" s="147"/>
      <c r="D22" s="148"/>
      <c r="E22" s="149"/>
      <c r="F22" s="150"/>
      <c r="G22" s="151"/>
      <c r="H22" s="152"/>
      <c r="I22" s="153"/>
      <c r="J22" s="154"/>
      <c r="K22" s="155"/>
      <c r="L22" s="156"/>
      <c r="M22" s="157"/>
      <c r="N22" s="157"/>
      <c r="O22" s="158"/>
      <c r="P22" s="150"/>
      <c r="Q22" s="155"/>
      <c r="R22" s="662"/>
      <c r="S22" s="662"/>
      <c r="T22" s="657"/>
      <c r="U22" s="133"/>
      <c r="V22" s="155"/>
      <c r="W22" s="662"/>
      <c r="X22" s="662"/>
      <c r="Y22" s="657"/>
      <c r="Z22" s="133"/>
      <c r="AA22" s="156"/>
      <c r="AB22" s="157"/>
      <c r="AC22" s="157"/>
      <c r="AD22" s="158"/>
      <c r="AE22" s="156"/>
      <c r="AF22" s="157"/>
      <c r="AG22" s="157"/>
      <c r="AH22" s="158"/>
      <c r="AI22" s="133"/>
      <c r="AJ22" s="156"/>
      <c r="AK22" s="157"/>
      <c r="AL22" s="157"/>
      <c r="AM22" s="158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</row>
    <row r="23" spans="1:52" ht="15" thickBot="1" x14ac:dyDescent="0.4">
      <c r="A23" s="116" t="s">
        <v>388</v>
      </c>
      <c r="B23" s="117"/>
      <c r="C23" s="102"/>
      <c r="D23" s="102"/>
      <c r="E23" s="118"/>
      <c r="F23" s="113"/>
      <c r="G23" s="117"/>
      <c r="H23" s="102"/>
      <c r="I23" s="102"/>
      <c r="J23" s="118"/>
      <c r="K23" s="119"/>
      <c r="L23" s="117"/>
      <c r="M23" s="102"/>
      <c r="N23" s="102"/>
      <c r="O23" s="118"/>
      <c r="P23" s="115"/>
      <c r="Q23" s="119"/>
      <c r="R23" s="206"/>
      <c r="S23" s="206"/>
      <c r="T23" s="654"/>
      <c r="U23" s="113"/>
      <c r="V23" s="119"/>
      <c r="W23" s="206"/>
      <c r="X23" s="206"/>
      <c r="Y23" s="654"/>
      <c r="Z23" s="113"/>
      <c r="AA23" s="117"/>
      <c r="AB23" s="102"/>
      <c r="AC23" s="102"/>
      <c r="AD23" s="118"/>
      <c r="AE23" s="117"/>
      <c r="AF23" s="102"/>
      <c r="AG23" s="102"/>
      <c r="AH23" s="118"/>
      <c r="AI23" s="113"/>
      <c r="AJ23" s="117"/>
      <c r="AK23" s="102"/>
      <c r="AL23" s="102"/>
      <c r="AM23" s="118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</row>
    <row r="24" spans="1:52" ht="15" thickBot="1" x14ac:dyDescent="0.4">
      <c r="A24" s="120" t="s">
        <v>389</v>
      </c>
      <c r="B24" s="121"/>
      <c r="C24" s="94"/>
      <c r="D24" s="94"/>
      <c r="E24" s="122"/>
      <c r="F24" s="72"/>
      <c r="G24" s="121"/>
      <c r="H24" s="94"/>
      <c r="I24" s="94"/>
      <c r="J24" s="122"/>
      <c r="K24" s="121"/>
      <c r="L24" s="121"/>
      <c r="M24" s="94"/>
      <c r="N24" s="94"/>
      <c r="O24" s="122"/>
      <c r="P24" s="72"/>
      <c r="Q24" s="121"/>
      <c r="T24" s="122"/>
      <c r="U24" s="72"/>
      <c r="V24" s="121"/>
      <c r="Y24" s="122"/>
      <c r="Z24" s="92">
        <v>0</v>
      </c>
      <c r="AA24" s="887"/>
      <c r="AB24" s="888"/>
      <c r="AC24" s="888"/>
      <c r="AD24" s="889"/>
      <c r="AE24" s="887"/>
      <c r="AF24" s="888"/>
      <c r="AG24" s="888"/>
      <c r="AH24" s="889"/>
      <c r="AI24" s="92"/>
      <c r="AJ24" s="887"/>
      <c r="AK24" s="888"/>
      <c r="AL24" s="888"/>
      <c r="AM24" s="889"/>
      <c r="AN24" s="92"/>
      <c r="AO24" s="92"/>
      <c r="AP24" s="92"/>
      <c r="AQ24" s="92"/>
      <c r="AR24" s="92"/>
      <c r="AS24" s="92">
        <v>59.01616687704113</v>
      </c>
      <c r="AT24" s="92">
        <v>205.36709412609878</v>
      </c>
      <c r="AU24" s="92">
        <v>332.87683468782024</v>
      </c>
      <c r="AV24" s="92">
        <v>444.78646029728412</v>
      </c>
      <c r="AW24" s="92">
        <v>543.93519568914076</v>
      </c>
      <c r="AY24" s="800">
        <v>0.05</v>
      </c>
    </row>
    <row r="25" spans="1:52" x14ac:dyDescent="0.35">
      <c r="A25" s="758" t="s">
        <v>390</v>
      </c>
      <c r="B25" s="121"/>
      <c r="C25" s="94"/>
      <c r="D25" s="94"/>
      <c r="E25" s="122"/>
      <c r="F25" s="72"/>
      <c r="G25" s="121"/>
      <c r="H25" s="94"/>
      <c r="I25" s="94"/>
      <c r="J25" s="122"/>
      <c r="K25" s="121"/>
      <c r="L25" s="121"/>
      <c r="M25" s="94"/>
      <c r="N25" s="94"/>
      <c r="O25" s="122"/>
      <c r="P25" s="72"/>
      <c r="Q25" s="121"/>
      <c r="T25" s="122"/>
      <c r="U25" s="72"/>
      <c r="V25" s="121"/>
      <c r="Y25" s="122"/>
      <c r="Z25" s="92">
        <f>Z24*$AY$7</f>
        <v>0</v>
      </c>
      <c r="AA25" s="887"/>
      <c r="AB25" s="888"/>
      <c r="AC25" s="888"/>
      <c r="AD25" s="889"/>
      <c r="AE25" s="887"/>
      <c r="AF25" s="888"/>
      <c r="AG25" s="888"/>
      <c r="AH25" s="889"/>
      <c r="AI25" s="92"/>
      <c r="AJ25" s="887"/>
      <c r="AK25" s="888"/>
      <c r="AL25" s="888"/>
      <c r="AM25" s="889"/>
      <c r="AN25" s="92"/>
      <c r="AO25" s="92"/>
      <c r="AP25" s="92"/>
      <c r="AQ25" s="92"/>
      <c r="AR25" s="92"/>
      <c r="AS25" s="92">
        <f t="shared" ref="AS25:AV25" si="11">AS24*$AY$24</f>
        <v>2.9508083438520565</v>
      </c>
      <c r="AT25" s="92">
        <f t="shared" si="11"/>
        <v>10.26835470630494</v>
      </c>
      <c r="AU25" s="92">
        <f t="shared" si="11"/>
        <v>16.643841734391014</v>
      </c>
      <c r="AV25" s="92">
        <f t="shared" si="11"/>
        <v>22.239323014864208</v>
      </c>
      <c r="AW25" s="92">
        <f>AW24*$AY$24</f>
        <v>27.19675978445704</v>
      </c>
    </row>
    <row r="26" spans="1:52" x14ac:dyDescent="0.35">
      <c r="A26" s="791" t="s">
        <v>16</v>
      </c>
      <c r="B26" s="792"/>
      <c r="C26" s="793"/>
      <c r="D26" s="793"/>
      <c r="E26" s="794"/>
      <c r="F26" s="795"/>
      <c r="G26" s="792"/>
      <c r="H26" s="793"/>
      <c r="I26" s="793"/>
      <c r="J26" s="794"/>
      <c r="K26" s="792"/>
      <c r="L26" s="792"/>
      <c r="M26" s="793"/>
      <c r="N26" s="793"/>
      <c r="O26" s="794"/>
      <c r="P26" s="795"/>
      <c r="Q26" s="792"/>
      <c r="R26" s="793"/>
      <c r="S26" s="793"/>
      <c r="T26" s="794"/>
      <c r="U26" s="795"/>
      <c r="V26" s="792"/>
      <c r="W26" s="793"/>
      <c r="X26" s="793"/>
      <c r="Y26" s="794"/>
      <c r="Z26" s="803" t="e">
        <f>'VA Consensus'!#REF!</f>
        <v>#REF!</v>
      </c>
      <c r="AA26" s="890"/>
      <c r="AB26" s="796"/>
      <c r="AC26" s="796"/>
      <c r="AD26" s="891"/>
      <c r="AE26" s="890"/>
      <c r="AF26" s="796"/>
      <c r="AG26" s="796"/>
      <c r="AH26" s="891"/>
      <c r="AI26" s="803"/>
      <c r="AJ26" s="890"/>
      <c r="AK26" s="796"/>
      <c r="AL26" s="796"/>
      <c r="AM26" s="891"/>
      <c r="AN26" s="803">
        <f>'VA Consensus'!S19</f>
        <v>0</v>
      </c>
      <c r="AO26" s="803">
        <f>'VA Consensus'!T19</f>
        <v>0</v>
      </c>
      <c r="AP26" s="803">
        <f>'VA Consensus'!U19</f>
        <v>0</v>
      </c>
      <c r="AQ26" s="803">
        <f>'VA Consensus'!V19</f>
        <v>0</v>
      </c>
      <c r="AR26" s="803">
        <f>'VA Consensus'!W19</f>
        <v>0</v>
      </c>
      <c r="AS26" s="803">
        <f>'VA Consensus'!X19</f>
        <v>11.587327784296733</v>
      </c>
      <c r="AT26" s="803">
        <f>'VA Consensus'!Y19</f>
        <v>24.220120852945332</v>
      </c>
      <c r="AU26" s="803">
        <f>'VA Consensus'!Z19</f>
        <v>38.412155944554335</v>
      </c>
      <c r="AV26" s="803">
        <f>'VA Consensus'!AA19</f>
        <v>52.677094065768337</v>
      </c>
      <c r="AW26" s="803">
        <f>'VA Consensus'!AB19</f>
        <v>67.195105058834002</v>
      </c>
    </row>
    <row r="27" spans="1:52" x14ac:dyDescent="0.35">
      <c r="A27" s="771"/>
      <c r="B27" s="953"/>
      <c r="C27" s="954"/>
      <c r="D27" s="954"/>
      <c r="E27" s="955"/>
      <c r="F27" s="956"/>
      <c r="G27" s="953"/>
      <c r="H27" s="954"/>
      <c r="I27" s="954"/>
      <c r="J27" s="955"/>
      <c r="K27" s="953"/>
      <c r="L27" s="953"/>
      <c r="M27" s="954"/>
      <c r="N27" s="954"/>
      <c r="O27" s="955"/>
      <c r="P27" s="956"/>
      <c r="Q27" s="953"/>
      <c r="R27" s="954"/>
      <c r="S27" s="954"/>
      <c r="T27" s="955"/>
      <c r="U27" s="956"/>
      <c r="V27" s="953"/>
      <c r="W27" s="954"/>
      <c r="X27" s="954"/>
      <c r="Y27" s="955"/>
      <c r="Z27" s="957"/>
      <c r="AA27" s="958"/>
      <c r="AB27" s="959"/>
      <c r="AC27" s="959"/>
      <c r="AD27" s="960"/>
      <c r="AE27" s="958"/>
      <c r="AF27" s="959"/>
      <c r="AG27" s="959"/>
      <c r="AH27" s="960"/>
      <c r="AI27" s="957"/>
      <c r="AJ27" s="958"/>
      <c r="AK27" s="959"/>
      <c r="AL27" s="959"/>
      <c r="AM27" s="960"/>
      <c r="AN27" s="957"/>
      <c r="AO27" s="957"/>
      <c r="AP27" s="957"/>
      <c r="AQ27" s="957"/>
      <c r="AR27" s="957"/>
      <c r="AS27" s="957"/>
      <c r="AT27" s="957"/>
      <c r="AU27" s="957"/>
      <c r="AV27" s="957"/>
      <c r="AW27" s="957"/>
    </row>
    <row r="28" spans="1:52" ht="15" hidden="1" outlineLevel="1" thickBot="1" x14ac:dyDescent="0.4">
      <c r="A28" s="116" t="s">
        <v>262</v>
      </c>
      <c r="B28" s="146"/>
      <c r="C28" s="147"/>
      <c r="D28" s="147"/>
      <c r="E28" s="159"/>
      <c r="F28" s="164"/>
      <c r="G28" s="146"/>
      <c r="H28" s="147"/>
      <c r="I28" s="147"/>
      <c r="J28" s="159"/>
      <c r="K28" s="161"/>
      <c r="L28" s="146"/>
      <c r="M28" s="147"/>
      <c r="N28" s="147"/>
      <c r="O28" s="159"/>
      <c r="P28" s="164"/>
      <c r="Q28" s="166"/>
      <c r="R28" s="233"/>
      <c r="S28" s="233"/>
      <c r="T28" s="658"/>
      <c r="U28" s="163"/>
      <c r="V28" s="166"/>
      <c r="W28" s="233"/>
      <c r="X28" s="233"/>
      <c r="Y28" s="658"/>
      <c r="Z28" s="163"/>
      <c r="AA28" s="167"/>
      <c r="AB28" s="168"/>
      <c r="AC28" s="168"/>
      <c r="AD28" s="169"/>
      <c r="AE28" s="167"/>
      <c r="AF28" s="168"/>
      <c r="AG28" s="168"/>
      <c r="AH28" s="169"/>
      <c r="AI28" s="163"/>
      <c r="AJ28" s="167"/>
      <c r="AK28" s="168"/>
      <c r="AL28" s="168"/>
      <c r="AM28" s="169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Y28" t="s">
        <v>77</v>
      </c>
      <c r="AZ28" t="s">
        <v>318</v>
      </c>
    </row>
    <row r="29" spans="1:52" ht="15" hidden="1" outlineLevel="1" thickBot="1" x14ac:dyDescent="0.4">
      <c r="A29" s="816" t="s">
        <v>382</v>
      </c>
      <c r="B29" s="146"/>
      <c r="C29" s="147"/>
      <c r="D29" s="147"/>
      <c r="E29" s="159"/>
      <c r="F29" s="164"/>
      <c r="G29" s="146"/>
      <c r="H29" s="147"/>
      <c r="I29" s="147"/>
      <c r="J29" s="159"/>
      <c r="K29" s="161"/>
      <c r="L29" s="146"/>
      <c r="M29" s="147"/>
      <c r="N29" s="147"/>
      <c r="O29" s="159"/>
      <c r="P29" s="164"/>
      <c r="Q29" s="166"/>
      <c r="R29" s="233"/>
      <c r="S29" s="233"/>
      <c r="T29" s="658"/>
      <c r="U29" s="164"/>
      <c r="V29" s="166"/>
      <c r="W29" s="233"/>
      <c r="X29" s="233"/>
      <c r="Y29" s="658"/>
      <c r="Z29" s="164">
        <v>0</v>
      </c>
      <c r="AA29" s="166"/>
      <c r="AB29" s="233"/>
      <c r="AC29" s="233"/>
      <c r="AD29" s="658"/>
      <c r="AE29" s="166"/>
      <c r="AF29" s="233"/>
      <c r="AG29" s="233"/>
      <c r="AH29" s="658"/>
      <c r="AI29" s="164"/>
      <c r="AJ29" s="166"/>
      <c r="AK29" s="233"/>
      <c r="AL29" s="233"/>
      <c r="AM29" s="658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Y29" s="801">
        <f>AY7</f>
        <v>0.55000000000000004</v>
      </c>
      <c r="AZ29" s="802">
        <v>0.15</v>
      </c>
    </row>
    <row r="30" spans="1:52" ht="15" hidden="1" outlineLevel="1" thickBot="1" x14ac:dyDescent="0.4">
      <c r="A30" s="816" t="s">
        <v>391</v>
      </c>
      <c r="B30" s="146"/>
      <c r="C30" s="147"/>
      <c r="D30" s="147"/>
      <c r="E30" s="159"/>
      <c r="F30" s="164"/>
      <c r="G30" s="146"/>
      <c r="H30" s="147"/>
      <c r="I30" s="147"/>
      <c r="J30" s="159"/>
      <c r="K30" s="161"/>
      <c r="L30" s="146"/>
      <c r="M30" s="147"/>
      <c r="N30" s="147"/>
      <c r="O30" s="159"/>
      <c r="P30" s="164"/>
      <c r="Q30" s="166"/>
      <c r="R30" s="233"/>
      <c r="S30" s="233"/>
      <c r="T30" s="658"/>
      <c r="U30" s="164"/>
      <c r="V30" s="166"/>
      <c r="W30" s="233"/>
      <c r="X30" s="233"/>
      <c r="Y30" s="658"/>
      <c r="Z30" s="164">
        <v>0</v>
      </c>
      <c r="AA30" s="166"/>
      <c r="AB30" s="233"/>
      <c r="AC30" s="233"/>
      <c r="AD30" s="658"/>
      <c r="AE30" s="166"/>
      <c r="AF30" s="233"/>
      <c r="AG30" s="233"/>
      <c r="AH30" s="658"/>
      <c r="AI30" s="164"/>
      <c r="AJ30" s="166"/>
      <c r="AK30" s="233"/>
      <c r="AL30" s="233"/>
      <c r="AM30" s="658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Y30" s="801">
        <f>AY12</f>
        <v>0.25</v>
      </c>
      <c r="AZ30" s="802">
        <v>0.15</v>
      </c>
    </row>
    <row r="31" spans="1:52" ht="15" hidden="1" outlineLevel="1" thickBot="1" x14ac:dyDescent="0.4">
      <c r="A31" s="816" t="s">
        <v>392</v>
      </c>
      <c r="B31" s="146"/>
      <c r="C31" s="147"/>
      <c r="D31" s="147"/>
      <c r="E31" s="159"/>
      <c r="F31" s="164"/>
      <c r="G31" s="146"/>
      <c r="H31" s="147"/>
      <c r="I31" s="147"/>
      <c r="J31" s="159"/>
      <c r="K31" s="161"/>
      <c r="L31" s="146"/>
      <c r="M31" s="147"/>
      <c r="N31" s="147"/>
      <c r="O31" s="159"/>
      <c r="P31" s="164"/>
      <c r="Q31" s="166"/>
      <c r="R31" s="233"/>
      <c r="S31" s="233"/>
      <c r="T31" s="658"/>
      <c r="U31" s="164"/>
      <c r="V31" s="166"/>
      <c r="W31" s="233"/>
      <c r="X31" s="233"/>
      <c r="Y31" s="658"/>
      <c r="Z31" s="164">
        <v>0</v>
      </c>
      <c r="AA31" s="166"/>
      <c r="AB31" s="233"/>
      <c r="AC31" s="233"/>
      <c r="AD31" s="658"/>
      <c r="AE31" s="166"/>
      <c r="AF31" s="233"/>
      <c r="AG31" s="233"/>
      <c r="AH31" s="658"/>
      <c r="AI31" s="164"/>
      <c r="AJ31" s="166"/>
      <c r="AK31" s="233"/>
      <c r="AL31" s="233"/>
      <c r="AM31" s="658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Y31" s="801">
        <f>AY24</f>
        <v>0.05</v>
      </c>
      <c r="AZ31" s="802">
        <v>0.15</v>
      </c>
    </row>
    <row r="32" spans="1:52" collapsed="1" x14ac:dyDescent="0.35">
      <c r="A32" s="699" t="s">
        <v>284</v>
      </c>
      <c r="B32" s="697"/>
      <c r="C32" s="672"/>
      <c r="D32" s="672"/>
      <c r="E32" s="698"/>
      <c r="F32" s="225">
        <f t="shared" ref="F32:K32" si="12">F34</f>
        <v>22.498999999999999</v>
      </c>
      <c r="G32" s="224">
        <f t="shared" si="12"/>
        <v>7.0309999999999997</v>
      </c>
      <c r="H32" s="208">
        <f t="shared" si="12"/>
        <v>0.52800000000000002</v>
      </c>
      <c r="I32" s="208">
        <f t="shared" si="12"/>
        <v>0.312</v>
      </c>
      <c r="J32" s="667">
        <f t="shared" si="12"/>
        <v>0</v>
      </c>
      <c r="K32" s="225">
        <f t="shared" si="12"/>
        <v>7.8710000000000004</v>
      </c>
      <c r="L32" s="224"/>
      <c r="M32" s="208"/>
      <c r="N32" s="208"/>
      <c r="O32" s="667"/>
      <c r="P32" s="225"/>
      <c r="Q32" s="224"/>
      <c r="R32" s="208"/>
      <c r="S32" s="125"/>
      <c r="T32" s="131"/>
      <c r="U32" s="238"/>
      <c r="V32" s="224"/>
      <c r="W32" s="208"/>
      <c r="X32" s="125"/>
      <c r="Y32" s="131"/>
      <c r="Z32" s="238">
        <f>Z29*$AY$29*$AZ$29+Z30*$AY$30*$AZ$30+Z31*$AY$31*$AZ$31</f>
        <v>0</v>
      </c>
      <c r="AA32" s="236"/>
      <c r="AB32" s="237"/>
      <c r="AC32" s="237"/>
      <c r="AD32" s="263"/>
      <c r="AE32" s="236"/>
      <c r="AF32" s="237"/>
      <c r="AG32" s="237"/>
      <c r="AH32" s="263"/>
      <c r="AI32" s="238"/>
      <c r="AJ32" s="236"/>
      <c r="AK32" s="237"/>
      <c r="AL32" s="237"/>
      <c r="AM32" s="263"/>
      <c r="AN32" s="238">
        <f>AN29*$AY$29*$AZ$29+AN30*$AY$30*$AZ$30+AN31*$AY$31*$AZ$31</f>
        <v>0</v>
      </c>
      <c r="AO32" s="238">
        <f>AO29*$AY$29*$AZ$29+AO30*$AY$30*$AZ$30+AO31*$AY$31*$AZ$31</f>
        <v>0</v>
      </c>
      <c r="AP32" s="238">
        <f>AP29*$AY$29*$AZ$29+AP30*$AY$30*$AZ$30+AP31*$AY$31*$AZ$31</f>
        <v>0</v>
      </c>
      <c r="AQ32" s="238">
        <f>AQ29*$AY$29*$AZ$29+AQ30*$AY$30*$AZ$30+AQ31*$AY$31*$AZ$31</f>
        <v>0</v>
      </c>
      <c r="AR32" s="238">
        <f>AR29*$AY$29*$AZ$29+AR30*$AY$30*$AZ$30+AR31*$AY$31*$AZ$31</f>
        <v>0</v>
      </c>
      <c r="AS32" s="238">
        <f t="shared" ref="AS32:AT32" si="13">AS29*$AY$29*$AZ$29+AS30*$AY$30*$AZ$30+AS31*$AY$31*$AZ$31</f>
        <v>0</v>
      </c>
      <c r="AT32" s="238">
        <f t="shared" si="13"/>
        <v>0</v>
      </c>
      <c r="AU32" s="238">
        <f t="shared" ref="AU32:AV32" si="14">AU29*$AY$29*$AZ$29+AU30*$AY$30*$AZ$30+AU31*$AY$31*$AZ$31</f>
        <v>0</v>
      </c>
      <c r="AV32" s="238">
        <f t="shared" si="14"/>
        <v>0</v>
      </c>
      <c r="AW32" s="238">
        <f t="shared" ref="AW32" si="15">AW29*$AY$29*$AZ$29+AW30*$AY$30*$AZ$30+AW31*$AY$31*$AZ$31</f>
        <v>0</v>
      </c>
    </row>
    <row r="33" spans="1:49" ht="15" thickBot="1" x14ac:dyDescent="0.4">
      <c r="A33" s="162"/>
      <c r="B33" s="147"/>
      <c r="C33" s="147"/>
      <c r="D33" s="147"/>
      <c r="E33" s="193"/>
      <c r="F33" s="160"/>
      <c r="G33" s="147"/>
      <c r="H33" s="147"/>
      <c r="I33" s="147"/>
      <c r="J33" s="193"/>
      <c r="K33" s="161"/>
      <c r="L33" s="146"/>
      <c r="M33" s="147"/>
      <c r="N33" s="147"/>
      <c r="O33" s="159"/>
      <c r="P33" s="160"/>
      <c r="Q33" s="664"/>
      <c r="R33" s="148"/>
      <c r="S33" s="148"/>
      <c r="T33" s="659"/>
      <c r="U33" s="165"/>
      <c r="V33" s="664"/>
      <c r="W33" s="148"/>
      <c r="X33" s="148"/>
      <c r="Y33" s="659"/>
      <c r="Z33" s="165"/>
      <c r="AA33" s="234"/>
      <c r="AB33" s="191"/>
      <c r="AC33" s="191"/>
      <c r="AD33" s="266"/>
      <c r="AE33" s="234"/>
      <c r="AF33" s="191"/>
      <c r="AG33" s="191"/>
      <c r="AH33" s="266"/>
      <c r="AI33" s="165"/>
      <c r="AJ33" s="234"/>
      <c r="AK33" s="191"/>
      <c r="AL33" s="191"/>
      <c r="AM33" s="266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</row>
    <row r="34" spans="1:49" s="618" customFormat="1" x14ac:dyDescent="0.35">
      <c r="A34" s="673" t="s">
        <v>263</v>
      </c>
      <c r="B34" s="674"/>
      <c r="C34" s="674"/>
      <c r="D34" s="674"/>
      <c r="E34" s="674"/>
      <c r="F34" s="747">
        <f>IS!F7</f>
        <v>22.498999999999999</v>
      </c>
      <c r="G34" s="748">
        <f>IS!G7</f>
        <v>7.0309999999999997</v>
      </c>
      <c r="H34" s="750">
        <f>IS!H7</f>
        <v>0.52800000000000002</v>
      </c>
      <c r="I34" s="750">
        <f>IS!I7</f>
        <v>0.312</v>
      </c>
      <c r="J34" s="749">
        <f>IS!J7</f>
        <v>0</v>
      </c>
      <c r="K34" s="747">
        <f>IS!K7</f>
        <v>7.8710000000000004</v>
      </c>
      <c r="L34" s="748">
        <f>IS!L7</f>
        <v>0</v>
      </c>
      <c r="M34" s="750">
        <f>IS!M7</f>
        <v>0</v>
      </c>
      <c r="N34" s="750">
        <f>IS!N7</f>
        <v>0</v>
      </c>
      <c r="O34" s="749">
        <f>IS!O7</f>
        <v>0</v>
      </c>
      <c r="P34" s="747">
        <f>IS!P7</f>
        <v>0</v>
      </c>
      <c r="Q34" s="748">
        <f>IS!Q7</f>
        <v>0</v>
      </c>
      <c r="R34" s="750">
        <f>IS!R7</f>
        <v>0</v>
      </c>
      <c r="S34" s="750">
        <f>IS!S7</f>
        <v>0</v>
      </c>
      <c r="T34" s="750">
        <f>IS!T7</f>
        <v>0</v>
      </c>
      <c r="U34" s="675">
        <f>SUM(Q34:T34)</f>
        <v>0</v>
      </c>
      <c r="V34" s="750">
        <f>IS!V7</f>
        <v>0</v>
      </c>
      <c r="W34" s="750">
        <f>IS!W7</f>
        <v>0</v>
      </c>
      <c r="X34" s="750">
        <f>IS!X7</f>
        <v>0</v>
      </c>
      <c r="Y34" s="750">
        <f>IS!Y7</f>
        <v>0</v>
      </c>
      <c r="Z34" s="675">
        <f>SUM(V34:Y34)</f>
        <v>0</v>
      </c>
      <c r="AA34" s="893"/>
      <c r="AB34" s="674"/>
      <c r="AC34" s="674"/>
      <c r="AD34" s="894"/>
      <c r="AE34" s="893"/>
      <c r="AF34" s="674"/>
      <c r="AG34" s="674"/>
      <c r="AH34" s="894"/>
      <c r="AI34" s="675"/>
      <c r="AJ34" s="893"/>
      <c r="AK34" s="674"/>
      <c r="AL34" s="674"/>
      <c r="AM34" s="894"/>
      <c r="AN34" s="675">
        <f t="shared" ref="AN34:AR34" si="16">AN32</f>
        <v>0</v>
      </c>
      <c r="AO34" s="675">
        <f t="shared" si="16"/>
        <v>0</v>
      </c>
      <c r="AP34" s="675">
        <f t="shared" si="16"/>
        <v>0</v>
      </c>
      <c r="AQ34" s="675">
        <f t="shared" si="16"/>
        <v>0</v>
      </c>
      <c r="AR34" s="675">
        <f t="shared" si="16"/>
        <v>0</v>
      </c>
      <c r="AS34" s="675">
        <f t="shared" ref="AS34:AT34" si="17">AS32</f>
        <v>0</v>
      </c>
      <c r="AT34" s="675">
        <f t="shared" si="17"/>
        <v>0</v>
      </c>
      <c r="AU34" s="675">
        <f t="shared" ref="AU34:AV34" si="18">AU32</f>
        <v>0</v>
      </c>
      <c r="AV34" s="675">
        <f t="shared" si="18"/>
        <v>0</v>
      </c>
      <c r="AW34" s="675">
        <f t="shared" ref="AW34" si="19">AW32</f>
        <v>0</v>
      </c>
    </row>
    <row r="35" spans="1:49" x14ac:dyDescent="0.35">
      <c r="A35" s="113"/>
      <c r="B35" s="146"/>
      <c r="C35" s="147"/>
      <c r="D35" s="147"/>
      <c r="E35" s="159"/>
      <c r="F35" s="164"/>
      <c r="G35" s="146"/>
      <c r="H35" s="147"/>
      <c r="I35" s="147"/>
      <c r="J35" s="159"/>
      <c r="K35" s="166"/>
      <c r="L35" s="167"/>
      <c r="M35" s="168"/>
      <c r="N35" s="168"/>
      <c r="O35" s="169"/>
      <c r="P35" s="164"/>
      <c r="Q35" s="166"/>
      <c r="R35" s="233"/>
      <c r="S35" s="233"/>
      <c r="T35" s="233"/>
      <c r="U35" s="163"/>
      <c r="V35" s="166"/>
      <c r="W35" s="233"/>
      <c r="X35" s="233"/>
      <c r="Y35" s="233"/>
      <c r="Z35" s="696"/>
      <c r="AA35" s="895"/>
      <c r="AB35" s="292"/>
      <c r="AC35" s="292"/>
      <c r="AD35" s="896"/>
      <c r="AE35" s="895"/>
      <c r="AF35" s="292"/>
      <c r="AG35" s="292"/>
      <c r="AH35" s="896"/>
      <c r="AI35" s="696"/>
      <c r="AJ35" s="895"/>
      <c r="AK35" s="292"/>
      <c r="AL35" s="292"/>
      <c r="AM35" s="896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</row>
    <row r="36" spans="1:49" ht="15" thickBot="1" x14ac:dyDescent="0.4">
      <c r="A36" s="170" t="s">
        <v>15</v>
      </c>
      <c r="B36" s="619"/>
      <c r="C36" s="620"/>
      <c r="D36" s="620"/>
      <c r="E36" s="621"/>
      <c r="F36" s="751">
        <f>IS!F8</f>
        <v>22.498999999999999</v>
      </c>
      <c r="G36" s="619">
        <f>IS!G8</f>
        <v>7.0309999999999997</v>
      </c>
      <c r="H36" s="620">
        <f>IS!H8</f>
        <v>0.52800000000000002</v>
      </c>
      <c r="I36" s="620">
        <f>IS!I8</f>
        <v>0.312</v>
      </c>
      <c r="J36" s="621">
        <f>IS!J8</f>
        <v>0</v>
      </c>
      <c r="K36" s="751">
        <f>IS!K8</f>
        <v>7.8710000000000004</v>
      </c>
      <c r="L36" s="619">
        <f>IS!L8</f>
        <v>0</v>
      </c>
      <c r="M36" s="620">
        <f>IS!M8</f>
        <v>0</v>
      </c>
      <c r="N36" s="620">
        <f>IS!N8</f>
        <v>0</v>
      </c>
      <c r="O36" s="621">
        <f>IS!O8</f>
        <v>0</v>
      </c>
      <c r="P36" s="751">
        <f>IS!P8</f>
        <v>0</v>
      </c>
      <c r="Q36" s="619">
        <f>IS!Q8</f>
        <v>0</v>
      </c>
      <c r="R36" s="620">
        <f>IS!R8</f>
        <v>0</v>
      </c>
      <c r="S36" s="620">
        <f>IS!S8</f>
        <v>0</v>
      </c>
      <c r="T36" s="620">
        <f>IS!T8</f>
        <v>0</v>
      </c>
      <c r="U36" s="171">
        <f xml:space="preserve"> SUM(U19,U34)</f>
        <v>0</v>
      </c>
      <c r="V36" s="620">
        <f>IS!V8</f>
        <v>0</v>
      </c>
      <c r="W36" s="620">
        <f>IS!W8</f>
        <v>0</v>
      </c>
      <c r="X36" s="620">
        <f>IS!X8</f>
        <v>0</v>
      </c>
      <c r="Y36" s="620">
        <f>IS!Y8</f>
        <v>0</v>
      </c>
      <c r="Z36" s="171" t="e">
        <f xml:space="preserve"> SUM(Z19,Z34)</f>
        <v>#REF!</v>
      </c>
      <c r="AA36" s="897">
        <f xml:space="preserve"> SUM(AA19,AA34)</f>
        <v>0</v>
      </c>
      <c r="AB36" s="663">
        <f t="shared" ref="AB36:AD36" si="20" xml:space="preserve"> SUM(AB19,AB34)</f>
        <v>0</v>
      </c>
      <c r="AC36" s="663">
        <f t="shared" si="20"/>
        <v>0</v>
      </c>
      <c r="AD36" s="898">
        <f t="shared" si="20"/>
        <v>0</v>
      </c>
      <c r="AE36" s="897"/>
      <c r="AF36" s="663"/>
      <c r="AG36" s="663"/>
      <c r="AH36" s="898"/>
      <c r="AI36" s="171"/>
      <c r="AJ36" s="897"/>
      <c r="AK36" s="663"/>
      <c r="AL36" s="663"/>
      <c r="AM36" s="898"/>
      <c r="AN36" s="171">
        <f xml:space="preserve"> SUM(AN19,AN34,AN25)</f>
        <v>0</v>
      </c>
      <c r="AO36" s="171">
        <f t="shared" ref="AO36:AW36" si="21" xml:space="preserve"> SUM(AO19,AO34,AO25)</f>
        <v>0</v>
      </c>
      <c r="AP36" s="171">
        <f t="shared" si="21"/>
        <v>0</v>
      </c>
      <c r="AQ36" s="171">
        <f t="shared" si="21"/>
        <v>16.880566010262026</v>
      </c>
      <c r="AR36" s="171">
        <f t="shared" si="21"/>
        <v>128.13327412076305</v>
      </c>
      <c r="AS36" s="171">
        <f t="shared" si="21"/>
        <v>348.00111239947876</v>
      </c>
      <c r="AT36" s="171">
        <f t="shared" si="21"/>
        <v>670.96671864754421</v>
      </c>
      <c r="AU36" s="171">
        <f t="shared" si="21"/>
        <v>969.3375211135434</v>
      </c>
      <c r="AV36" s="171">
        <f t="shared" si="21"/>
        <v>1235.6196838295077</v>
      </c>
      <c r="AW36" s="171">
        <f t="shared" si="21"/>
        <v>1475.7245970375773</v>
      </c>
    </row>
    <row r="37" spans="1:49" x14ac:dyDescent="0.35">
      <c r="A37" s="646" t="s">
        <v>16</v>
      </c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47"/>
      <c r="P37" s="647"/>
      <c r="Q37" s="647"/>
      <c r="R37" s="647"/>
      <c r="S37" s="647"/>
      <c r="T37" s="647"/>
      <c r="U37" s="647"/>
      <c r="V37" s="647"/>
      <c r="W37" s="647"/>
      <c r="X37" s="647"/>
      <c r="Y37" s="647"/>
      <c r="Z37" s="796" t="e">
        <f>'VA Consensus'!#REF!</f>
        <v>#REF!</v>
      </c>
      <c r="AA37" s="796"/>
      <c r="AB37" s="796"/>
      <c r="AC37" s="796"/>
      <c r="AD37" s="796"/>
      <c r="AE37" s="796"/>
      <c r="AF37" s="796"/>
      <c r="AG37" s="796"/>
      <c r="AH37" s="796"/>
      <c r="AI37" s="796"/>
      <c r="AJ37" s="796"/>
      <c r="AK37" s="796"/>
      <c r="AL37" s="796"/>
      <c r="AM37" s="796"/>
      <c r="AN37" s="796">
        <f>'VA Consensus'!S27</f>
        <v>0</v>
      </c>
      <c r="AO37" s="796">
        <f>'VA Consensus'!T27</f>
        <v>0</v>
      </c>
      <c r="AP37" s="796">
        <f>'VA Consensus'!U27</f>
        <v>0</v>
      </c>
      <c r="AQ37" s="796">
        <f>'VA Consensus'!V27</f>
        <v>17.595888077285025</v>
      </c>
      <c r="AR37" s="796">
        <f>'VA Consensus'!W27</f>
        <v>75.100797314285245</v>
      </c>
      <c r="AS37" s="796">
        <f>'VA Consensus'!X27</f>
        <v>259.33112349965717</v>
      </c>
      <c r="AT37" s="796">
        <f>'VA Consensus'!Y27</f>
        <v>515.18784602390144</v>
      </c>
      <c r="AU37" s="796">
        <f>'VA Consensus'!Z27</f>
        <v>809.33261599484467</v>
      </c>
      <c r="AV37" s="796">
        <f>'VA Consensus'!AA27</f>
        <v>1099.1268929162477</v>
      </c>
      <c r="AW37" s="796">
        <f>'VA Consensus'!AB27</f>
        <v>1392.2423561430139</v>
      </c>
    </row>
    <row r="38" spans="1:49" x14ac:dyDescent="0.35">
      <c r="A38" s="172" t="s">
        <v>73</v>
      </c>
    </row>
    <row r="46" spans="1:49" x14ac:dyDescent="0.35">
      <c r="AR46" s="1026"/>
    </row>
  </sheetData>
  <pageMargins left="0.7" right="0.7" top="0.75" bottom="0.75" header="0.3" footer="0.3"/>
  <pageSetup scale="3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FFEB-994B-4133-943B-CC287F162045}">
  <dimension ref="B1:AA65"/>
  <sheetViews>
    <sheetView workbookViewId="0">
      <pane xSplit="4" ySplit="10" topLeftCell="J14" activePane="bottomRight" state="frozen"/>
      <selection pane="topRight" activeCell="E1" sqref="E1"/>
      <selection pane="bottomLeft" activeCell="A11" sqref="A11"/>
      <selection pane="bottomRight" activeCell="H21" sqref="H21"/>
    </sheetView>
  </sheetViews>
  <sheetFormatPr defaultColWidth="12.7265625" defaultRowHeight="12.75" customHeight="1" x14ac:dyDescent="0.35"/>
  <cols>
    <col min="1" max="1" width="9.1796875" customWidth="1"/>
    <col min="2" max="2" width="11.453125" customWidth="1"/>
    <col min="3" max="3" width="52.54296875" customWidth="1"/>
    <col min="4" max="4" width="7.7265625" customWidth="1"/>
  </cols>
  <sheetData>
    <row r="1" spans="2:27" ht="28.5" customHeight="1" x14ac:dyDescent="0.35">
      <c r="E1" s="1067" t="str">
        <f>HYPERLINK("#ML007MA_ME!Notes","See the Notes for this Sheet")</f>
        <v>See the Notes for this Sheet</v>
      </c>
      <c r="F1" s="1067"/>
      <c r="G1" s="1067"/>
    </row>
    <row r="2" spans="2:27" ht="12.75" customHeight="1" x14ac:dyDescent="0.35">
      <c r="B2" s="759" t="s">
        <v>289</v>
      </c>
      <c r="C2" s="760" t="str">
        <f>_xll.VADetail("Name",$C$3)</f>
        <v>MapLight Therapeutics, Inc.</v>
      </c>
    </row>
    <row r="3" spans="2:27" ht="12.75" customHeight="1" x14ac:dyDescent="0.35">
      <c r="B3" s="759" t="s">
        <v>196</v>
      </c>
      <c r="C3" s="760" t="s">
        <v>435</v>
      </c>
    </row>
    <row r="4" spans="2:27" ht="12.75" customHeight="1" x14ac:dyDescent="0.35">
      <c r="B4" s="759" t="s">
        <v>290</v>
      </c>
      <c r="C4" s="760" t="s">
        <v>291</v>
      </c>
    </row>
    <row r="5" spans="2:27" ht="12.75" customHeight="1" x14ac:dyDescent="0.35">
      <c r="B5" s="759" t="s">
        <v>292</v>
      </c>
      <c r="C5" s="760" t="s">
        <v>293</v>
      </c>
    </row>
    <row r="6" spans="2:27" ht="12.75" customHeight="1" x14ac:dyDescent="0.35">
      <c r="B6" s="759" t="s">
        <v>294</v>
      </c>
      <c r="C6" s="760" t="s">
        <v>596</v>
      </c>
    </row>
    <row r="7" spans="2:27" ht="12.75" customHeight="1" x14ac:dyDescent="0.35">
      <c r="B7" s="759" t="s">
        <v>295</v>
      </c>
      <c r="C7" s="760">
        <f ca="1">TODAY()</f>
        <v>46119</v>
      </c>
    </row>
    <row r="8" spans="2:27" ht="12.75" customHeight="1" x14ac:dyDescent="0.35">
      <c r="E8" s="761" t="s">
        <v>433</v>
      </c>
      <c r="F8" s="761" t="s">
        <v>432</v>
      </c>
      <c r="G8" s="761" t="s">
        <v>431</v>
      </c>
      <c r="H8" s="761" t="s">
        <v>430</v>
      </c>
      <c r="I8" s="761" t="s">
        <v>297</v>
      </c>
      <c r="J8" s="761" t="s">
        <v>375</v>
      </c>
      <c r="K8" s="761" t="s">
        <v>376</v>
      </c>
      <c r="L8" s="761" t="s">
        <v>377</v>
      </c>
      <c r="M8" s="761" t="s">
        <v>378</v>
      </c>
      <c r="N8" s="761" t="s">
        <v>298</v>
      </c>
      <c r="O8" s="761" t="s">
        <v>595</v>
      </c>
      <c r="P8" s="761" t="s">
        <v>594</v>
      </c>
      <c r="Q8" s="761" t="s">
        <v>593</v>
      </c>
      <c r="R8" s="761" t="s">
        <v>592</v>
      </c>
      <c r="S8" s="761" t="s">
        <v>299</v>
      </c>
      <c r="T8" s="761" t="s">
        <v>300</v>
      </c>
      <c r="U8" s="761" t="s">
        <v>301</v>
      </c>
      <c r="V8" s="761" t="s">
        <v>302</v>
      </c>
      <c r="W8" s="761" t="s">
        <v>303</v>
      </c>
      <c r="X8" s="761" t="s">
        <v>304</v>
      </c>
      <c r="Y8" s="761" t="s">
        <v>305</v>
      </c>
      <c r="Z8" s="761" t="s">
        <v>306</v>
      </c>
      <c r="AA8" s="761" t="s">
        <v>307</v>
      </c>
    </row>
    <row r="9" spans="2:27" ht="12.75" customHeight="1" x14ac:dyDescent="0.35">
      <c r="E9" s="761" t="str">
        <f>_xll.VADetail("ActualOrEstimate",$C$3,"Consensus",E$8)</f>
        <v>A</v>
      </c>
      <c r="F9" s="761" t="str">
        <f>_xll.VADetail("ActualOrEstimate",$C$3,"Consensus",F$8)</f>
        <v>A</v>
      </c>
      <c r="G9" s="761" t="str">
        <f>_xll.VADetail("ActualOrEstimate",$C$3,"Consensus",G$8)</f>
        <v>A</v>
      </c>
      <c r="H9" s="761" t="str">
        <f>_xll.VADetail("ActualOrEstimate",$C$3,"Consensus",H$8)</f>
        <v>A</v>
      </c>
      <c r="I9" s="761" t="str">
        <f>_xll.VADetail("ActualOrEstimate",$C$3,"Consensus",I$8)</f>
        <v>A</v>
      </c>
      <c r="J9" s="761" t="str">
        <f>_xll.VADetail("ActualOrEstimate",$C$3,"Consensus",J$8)</f>
        <v>E</v>
      </c>
      <c r="K9" s="761" t="str">
        <f>_xll.VADetail("ActualOrEstimate",$C$3,"Consensus",K$8)</f>
        <v>E</v>
      </c>
      <c r="L9" s="761" t="str">
        <f>_xll.VADetail("ActualOrEstimate",$C$3,"Consensus",L$8)</f>
        <v>E</v>
      </c>
      <c r="M9" s="761" t="str">
        <f>_xll.VADetail("ActualOrEstimate",$C$3,"Consensus",M$8)</f>
        <v>E</v>
      </c>
      <c r="N9" s="761" t="str">
        <f>_xll.VADetail("ActualOrEstimate",$C$3,"Consensus",N$8)</f>
        <v>E</v>
      </c>
      <c r="O9" s="761" t="str">
        <f>_xll.VADetail("ActualOrEstimate",$C$3,"Consensus",O$8)</f>
        <v>E</v>
      </c>
      <c r="P9" s="761" t="str">
        <f>_xll.VADetail("ActualOrEstimate",$C$3,"Consensus",P$8)</f>
        <v>E</v>
      </c>
      <c r="Q9" s="761" t="str">
        <f>_xll.VADetail("ActualOrEstimate",$C$3,"Consensus",Q$8)</f>
        <v>E</v>
      </c>
      <c r="R9" s="761" t="str">
        <f>_xll.VADetail("ActualOrEstimate",$C$3,"Consensus",R$8)</f>
        <v>E</v>
      </c>
      <c r="S9" s="761" t="str">
        <f>_xll.VADetail("ActualOrEstimate",$C$3,"Consensus",S$8)</f>
        <v>E</v>
      </c>
      <c r="T9" s="761" t="str">
        <f>_xll.VADetail("ActualOrEstimate",$C$3,"Consensus",T$8)</f>
        <v>E</v>
      </c>
      <c r="U9" s="761" t="str">
        <f>_xll.VADetail("ActualOrEstimate",$C$3,"Consensus",U$8)</f>
        <v>E</v>
      </c>
      <c r="V9" s="761" t="str">
        <f>_xll.VADetail("ActualOrEstimate",$C$3,"Consensus",V$8)</f>
        <v>E</v>
      </c>
      <c r="W9" s="761" t="str">
        <f>_xll.VADetail("ActualOrEstimate",$C$3,"Consensus",W$8)</f>
        <v>E</v>
      </c>
      <c r="X9" s="761" t="str">
        <f>_xll.VADetail("ActualOrEstimate",$C$3,"Consensus",X$8)</f>
        <v>E</v>
      </c>
      <c r="Y9" s="761" t="str">
        <f>_xll.VADetail("ActualOrEstimate",$C$3,"Consensus",Y$8)</f>
        <v>E</v>
      </c>
      <c r="Z9" s="761" t="str">
        <f>_xll.VADetail("ActualOrEstimate",$C$3,"Consensus",Z$8)</f>
        <v>E</v>
      </c>
      <c r="AA9" s="761" t="str">
        <f>_xll.VADetail("ActualOrEstimate",$C$3,"Consensus",AA$8)</f>
        <v>E</v>
      </c>
    </row>
    <row r="10" spans="2:27" ht="12.75" customHeight="1" x14ac:dyDescent="0.35">
      <c r="B10" s="761" t="s">
        <v>308</v>
      </c>
      <c r="C10" s="761" t="s">
        <v>309</v>
      </c>
      <c r="D10" s="761" t="s">
        <v>310</v>
      </c>
      <c r="E10" s="761" t="str">
        <f>IF(E$9="A","VA Actuals","Consensus")</f>
        <v>VA Actuals</v>
      </c>
      <c r="F10" s="761" t="str">
        <f>IF(F$9="A","VA Actuals","Consensus")</f>
        <v>VA Actuals</v>
      </c>
      <c r="G10" s="761" t="str">
        <f>IF(G$9="A","VA Actuals","Consensus")</f>
        <v>VA Actuals</v>
      </c>
      <c r="H10" s="761" t="str">
        <f>IF(H$9="A","VA Actuals","Consensus")</f>
        <v>VA Actuals</v>
      </c>
      <c r="I10" s="761" t="str">
        <f>IF(I$9="A","VA Actuals","Consensus")</f>
        <v>VA Actuals</v>
      </c>
      <c r="J10" s="761" t="str">
        <f>IF(J$9="A","VA Actuals","Consensus")</f>
        <v>Consensus</v>
      </c>
      <c r="K10" s="761" t="str">
        <f>IF(K$9="A","VA Actuals","Consensus")</f>
        <v>Consensus</v>
      </c>
      <c r="L10" s="761" t="str">
        <f>IF(L$9="A","VA Actuals","Consensus")</f>
        <v>Consensus</v>
      </c>
      <c r="M10" s="761" t="str">
        <f>IF(M$9="A","VA Actuals","Consensus")</f>
        <v>Consensus</v>
      </c>
      <c r="N10" s="761" t="str">
        <f>IF(N$9="A","VA Actuals","Consensus")</f>
        <v>Consensus</v>
      </c>
      <c r="O10" s="761" t="str">
        <f>IF(O$9="A","VA Actuals","Consensus")</f>
        <v>Consensus</v>
      </c>
      <c r="P10" s="761" t="str">
        <f>IF(P$9="A","VA Actuals","Consensus")</f>
        <v>Consensus</v>
      </c>
      <c r="Q10" s="761" t="str">
        <f>IF(Q$9="A","VA Actuals","Consensus")</f>
        <v>Consensus</v>
      </c>
      <c r="R10" s="761" t="str">
        <f>IF(R$9="A","VA Actuals","Consensus")</f>
        <v>Consensus</v>
      </c>
      <c r="S10" s="761" t="str">
        <f>IF(S$9="A","VA Actuals","Consensus")</f>
        <v>Consensus</v>
      </c>
      <c r="T10" s="761" t="str">
        <f>IF(T$9="A","VA Actuals","Consensus")</f>
        <v>Consensus</v>
      </c>
      <c r="U10" s="761" t="str">
        <f>IF(U$9="A","VA Actuals","Consensus")</f>
        <v>Consensus</v>
      </c>
      <c r="V10" s="761" t="str">
        <f>IF(V$9="A","VA Actuals","Consensus")</f>
        <v>Consensus</v>
      </c>
      <c r="W10" s="761" t="str">
        <f>IF(W$9="A","VA Actuals","Consensus")</f>
        <v>Consensus</v>
      </c>
      <c r="X10" s="761" t="str">
        <f>IF(X$9="A","VA Actuals","Consensus")</f>
        <v>Consensus</v>
      </c>
      <c r="Y10" s="761" t="str">
        <f>IF(Y$9="A","VA Actuals","Consensus")</f>
        <v>Consensus</v>
      </c>
      <c r="Z10" s="761" t="str">
        <f>IF(Z$9="A","VA Actuals","Consensus")</f>
        <v>Consensus</v>
      </c>
      <c r="AA10" s="761" t="str">
        <f>IF(AA$9="A","VA Actuals","Consensus")</f>
        <v>Consensus</v>
      </c>
    </row>
    <row r="11" spans="2:27" ht="12.75" customHeight="1" x14ac:dyDescent="0.35">
      <c r="B11" s="762" t="s">
        <v>175</v>
      </c>
      <c r="C11" s="763" t="s">
        <v>591</v>
      </c>
      <c r="D11" s="762" t="s">
        <v>311</v>
      </c>
      <c r="E11" s="764" t="s">
        <v>311</v>
      </c>
      <c r="F11" s="764" t="s">
        <v>311</v>
      </c>
      <c r="G11" s="764" t="s">
        <v>311</v>
      </c>
      <c r="H11" s="764" t="s">
        <v>311</v>
      </c>
      <c r="I11" s="764" t="s">
        <v>311</v>
      </c>
      <c r="J11" s="764" t="s">
        <v>311</v>
      </c>
      <c r="K11" s="764" t="s">
        <v>311</v>
      </c>
      <c r="L11" s="764" t="s">
        <v>311</v>
      </c>
      <c r="M11" s="764" t="s">
        <v>311</v>
      </c>
      <c r="N11" s="764" t="s">
        <v>311</v>
      </c>
      <c r="O11" s="764" t="s">
        <v>311</v>
      </c>
      <c r="P11" s="764" t="s">
        <v>311</v>
      </c>
      <c r="Q11" s="764" t="s">
        <v>311</v>
      </c>
      <c r="R11" s="764" t="s">
        <v>311</v>
      </c>
      <c r="S11" s="764" t="s">
        <v>311</v>
      </c>
      <c r="T11" s="764" t="s">
        <v>311</v>
      </c>
      <c r="U11" s="764" t="s">
        <v>311</v>
      </c>
      <c r="V11" s="764" t="s">
        <v>311</v>
      </c>
      <c r="W11" s="764" t="s">
        <v>311</v>
      </c>
      <c r="X11" s="764" t="s">
        <v>311</v>
      </c>
      <c r="Y11" s="764" t="s">
        <v>311</v>
      </c>
      <c r="Z11" s="764" t="s">
        <v>311</v>
      </c>
      <c r="AA11" s="764" t="s">
        <v>311</v>
      </c>
    </row>
    <row r="12" spans="2:27" ht="12.75" customHeight="1" x14ac:dyDescent="0.35">
      <c r="B12" s="762" t="s">
        <v>175</v>
      </c>
      <c r="C12" s="763" t="s">
        <v>590</v>
      </c>
      <c r="D12" s="762" t="s">
        <v>311</v>
      </c>
      <c r="E12" s="764" t="s">
        <v>311</v>
      </c>
      <c r="F12" s="764" t="s">
        <v>311</v>
      </c>
      <c r="G12" s="764" t="s">
        <v>311</v>
      </c>
      <c r="H12" s="764" t="s">
        <v>311</v>
      </c>
      <c r="I12" s="764" t="s">
        <v>311</v>
      </c>
      <c r="J12" s="764" t="s">
        <v>311</v>
      </c>
      <c r="K12" s="764" t="s">
        <v>311</v>
      </c>
      <c r="L12" s="764" t="s">
        <v>311</v>
      </c>
      <c r="M12" s="764" t="s">
        <v>311</v>
      </c>
      <c r="N12" s="764" t="s">
        <v>311</v>
      </c>
      <c r="O12" s="764" t="s">
        <v>311</v>
      </c>
      <c r="P12" s="764" t="s">
        <v>311</v>
      </c>
      <c r="Q12" s="764" t="s">
        <v>311</v>
      </c>
      <c r="R12" s="764" t="s">
        <v>311</v>
      </c>
      <c r="S12" s="764" t="s">
        <v>311</v>
      </c>
      <c r="T12" s="764" t="s">
        <v>311</v>
      </c>
      <c r="U12" s="764" t="s">
        <v>311</v>
      </c>
      <c r="V12" s="764" t="s">
        <v>311</v>
      </c>
      <c r="W12" s="764" t="s">
        <v>311</v>
      </c>
      <c r="X12" s="764" t="s">
        <v>311</v>
      </c>
      <c r="Y12" s="764" t="s">
        <v>311</v>
      </c>
      <c r="Z12" s="764" t="s">
        <v>311</v>
      </c>
      <c r="AA12" s="764" t="s">
        <v>311</v>
      </c>
    </row>
    <row r="13" spans="2:27" ht="12.75" customHeight="1" x14ac:dyDescent="0.35">
      <c r="B13" s="762" t="s">
        <v>589</v>
      </c>
      <c r="C13" s="1072" t="s">
        <v>588</v>
      </c>
      <c r="D13" s="762" t="s">
        <v>548</v>
      </c>
      <c r="E13" s="764" t="str">
        <f ca="1">_xll.VAData($C$3,E$8,$C13,E$10,$C$5,$C$4,$C$7)</f>
        <v>-</v>
      </c>
      <c r="F13" s="764" t="str">
        <f ca="1">_xll.VAData($C$3,F$8,$C13,F$10,$C$5,$C$4,$C$7)</f>
        <v>-</v>
      </c>
      <c r="G13" s="764" t="str">
        <f ca="1">_xll.VAData($C$3,G$8,$C13,G$10,$C$5,$C$4,$C$7)</f>
        <v>-</v>
      </c>
      <c r="H13" s="764" t="str">
        <f ca="1">_xll.VAData($C$3,H$8,$C13,H$10,$C$5,$C$4,$C$7)</f>
        <v>-</v>
      </c>
      <c r="I13" s="764">
        <f ca="1">_xll.VAData($C$3,I$8,$C13,I$10,$C$5,$C$4,$C$7)</f>
        <v>659911.417823239</v>
      </c>
      <c r="J13" s="764" t="str">
        <f ca="1">_xll.VAData($C$3,J$8,$C13,J$10,$C$5,$C$4,$C$7)</f>
        <v>-</v>
      </c>
      <c r="K13" s="764" t="str">
        <f ca="1">_xll.VAData($C$3,K$8,$C13,K$10,$C$5,$C$4,$C$7)</f>
        <v>-</v>
      </c>
      <c r="L13" s="764" t="str">
        <f ca="1">_xll.VAData($C$3,L$8,$C13,L$10,$C$5,$C$4,$C$7)</f>
        <v>-</v>
      </c>
      <c r="M13" s="764" t="str">
        <f ca="1">_xll.VAData($C$3,M$8,$C13,M$10,$C$5,$C$4,$C$7)</f>
        <v>-</v>
      </c>
      <c r="N13" s="764">
        <f ca="1">_xll.VAData($C$3,N$8,$C13,N$10,$C$5,$C$4,$C$7)</f>
        <v>875470.02145513345</v>
      </c>
      <c r="O13" s="764" t="str">
        <f ca="1">_xll.VAData($C$3,O$8,$C13,O$10,$C$5,$C$4,$C$7)</f>
        <v>-</v>
      </c>
      <c r="P13" s="764" t="str">
        <f ca="1">_xll.VAData($C$3,P$8,$C13,P$10,$C$5,$C$4,$C$7)</f>
        <v>-</v>
      </c>
      <c r="Q13" s="764" t="str">
        <f ca="1">_xll.VAData($C$3,Q$8,$C13,Q$10,$C$5,$C$4,$C$7)</f>
        <v>-</v>
      </c>
      <c r="R13" s="764" t="str">
        <f ca="1">_xll.VAData($C$3,R$8,$C13,R$10,$C$5,$C$4,$C$7)</f>
        <v>-</v>
      </c>
      <c r="S13" s="764">
        <f ca="1">_xll.VAData($C$3,S$8,$C13,S$10,$C$5,$C$4,$C$7)</f>
        <v>882280.41576205345</v>
      </c>
      <c r="T13" s="764">
        <f ca="1">_xll.VAData($C$3,T$8,$C13,T$10,$C$5,$C$4,$C$7)</f>
        <v>889143.96516401705</v>
      </c>
      <c r="U13" s="764">
        <f ca="1">_xll.VAData($C$3,U$8,$C13,U$10,$C$5,$C$4,$C$7)</f>
        <v>896061.08597990649</v>
      </c>
      <c r="V13" s="764">
        <f ca="1">_xll.VAData($C$3,V$8,$C13,V$10,$C$5,$C$4,$C$7)</f>
        <v>903032.19780107052</v>
      </c>
      <c r="W13" s="764">
        <f ca="1">_xll.VAData($C$3,W$8,$C13,W$10,$C$5,$C$4,$C$7)</f>
        <v>910057.72351713839</v>
      </c>
      <c r="X13" s="764">
        <f ca="1">_xll.VAData($C$3,X$8,$C13,X$10,$C$5,$C$4,$C$7)</f>
        <v>917138.08934205899</v>
      </c>
      <c r="Y13" s="764">
        <f ca="1">_xll.VAData($C$3,Y$8,$C13,Y$10,$C$5,$C$4,$C$7)</f>
        <v>924273.724840304</v>
      </c>
      <c r="Z13" s="764">
        <f ca="1">_xll.VAData($C$3,Z$8,$C13,Z$10,$C$5,$C$4,$C$7)</f>
        <v>931465.06295331952</v>
      </c>
      <c r="AA13" s="764">
        <f ca="1">_xll.VAData($C$3,AA$8,$C13,AA$10,$C$5,$C$4,$C$7)</f>
        <v>938712.54002618836</v>
      </c>
    </row>
    <row r="14" spans="2:27" ht="12.75" customHeight="1" x14ac:dyDescent="0.35">
      <c r="B14" s="762" t="s">
        <v>587</v>
      </c>
      <c r="C14" s="1072" t="s">
        <v>586</v>
      </c>
      <c r="D14" s="762" t="s">
        <v>312</v>
      </c>
      <c r="E14" s="764" t="str">
        <f ca="1">_xll.VAData($C$3,E$8,$C14,E$10,$C$5,$C$4,$C$7)</f>
        <v>-</v>
      </c>
      <c r="F14" s="764" t="str">
        <f ca="1">_xll.VAData($C$3,F$8,$C14,F$10,$C$5,$C$4,$C$7)</f>
        <v>-</v>
      </c>
      <c r="G14" s="764" t="str">
        <f ca="1">_xll.VAData($C$3,G$8,$C14,G$10,$C$5,$C$4,$C$7)</f>
        <v>-</v>
      </c>
      <c r="H14" s="764" t="str">
        <f ca="1">_xll.VAData($C$3,H$8,$C14,H$10,$C$5,$C$4,$C$7)</f>
        <v>-</v>
      </c>
      <c r="I14" s="764" t="str">
        <f ca="1">_xll.VAData($C$3,I$8,$C14,I$10,$C$5,$C$4,$C$7)</f>
        <v>-</v>
      </c>
      <c r="J14" s="764" t="str">
        <f ca="1">_xll.VAData($C$3,J$8,$C14,J$10,$C$5,$C$4,$C$7)</f>
        <v>-</v>
      </c>
      <c r="K14" s="764" t="str">
        <f ca="1">_xll.VAData($C$3,K$8,$C14,K$10,$C$5,$C$4,$C$7)</f>
        <v>-</v>
      </c>
      <c r="L14" s="764" t="str">
        <f ca="1">_xll.VAData($C$3,L$8,$C14,L$10,$C$5,$C$4,$C$7)</f>
        <v>-</v>
      </c>
      <c r="M14" s="764" t="str">
        <f ca="1">_xll.VAData($C$3,M$8,$C14,M$10,$C$5,$C$4,$C$7)</f>
        <v>-</v>
      </c>
      <c r="N14" s="764" t="str">
        <f ca="1">_xll.VAData($C$3,N$8,$C14,N$10,$C$5,$C$4,$C$7)</f>
        <v>-</v>
      </c>
      <c r="O14" s="764" t="str">
        <f ca="1">_xll.VAData($C$3,O$8,$C14,O$10,$C$5,$C$4,$C$7)</f>
        <v>-</v>
      </c>
      <c r="P14" s="764" t="str">
        <f ca="1">_xll.VAData($C$3,P$8,$C14,P$10,$C$5,$C$4,$C$7)</f>
        <v>-</v>
      </c>
      <c r="Q14" s="764" t="str">
        <f ca="1">_xll.VAData($C$3,Q$8,$C14,Q$10,$C$5,$C$4,$C$7)</f>
        <v>-</v>
      </c>
      <c r="R14" s="764" t="str">
        <f ca="1">_xll.VAData($C$3,R$8,$C14,R$10,$C$5,$C$4,$C$7)</f>
        <v>-</v>
      </c>
      <c r="S14" s="764" t="str">
        <f ca="1">_xll.VAData($C$3,S$8,$C14,S$10,$C$5,$C$4,$C$7)</f>
        <v>-</v>
      </c>
      <c r="T14" s="764" t="str">
        <f ca="1">_xll.VAData($C$3,T$8,$C14,T$10,$C$5,$C$4,$C$7)</f>
        <v>-</v>
      </c>
      <c r="U14" s="764">
        <f ca="1">_xll.VAData($C$3,U$8,$C14,U$10,$C$5,$C$4,$C$7)</f>
        <v>2</v>
      </c>
      <c r="V14" s="764">
        <f ca="1">_xll.VAData($C$3,V$8,$C14,V$10,$C$5,$C$4,$C$7)</f>
        <v>2.3250000000000002</v>
      </c>
      <c r="W14" s="764">
        <f ca="1">_xll.VAData($C$3,W$8,$C14,W$10,$C$5,$C$4,$C$7)</f>
        <v>3.76</v>
      </c>
      <c r="X14" s="764">
        <f ca="1">_xll.VAData($C$3,X$8,$C14,X$10,$C$5,$C$4,$C$7)</f>
        <v>5.1950000000000003</v>
      </c>
      <c r="Y14" s="764">
        <f ca="1">_xll.VAData($C$3,Y$8,$C14,Y$10,$C$5,$C$4,$C$7)</f>
        <v>6.63</v>
      </c>
      <c r="Z14" s="764">
        <f ca="1">_xll.VAData($C$3,Z$8,$C14,Z$10,$C$5,$C$4,$C$7)</f>
        <v>8.0649999999999995</v>
      </c>
      <c r="AA14" s="764">
        <f ca="1">_xll.VAData($C$3,AA$8,$C14,AA$10,$C$5,$C$4,$C$7)</f>
        <v>9.5</v>
      </c>
    </row>
    <row r="15" spans="2:27" ht="12.75" customHeight="1" x14ac:dyDescent="0.35">
      <c r="B15" s="762" t="s">
        <v>585</v>
      </c>
      <c r="C15" s="1071" t="s">
        <v>584</v>
      </c>
      <c r="D15" s="762" t="s">
        <v>548</v>
      </c>
      <c r="E15" s="764" t="str">
        <f ca="1">_xll.VAData($C$3,E$8,$C15,E$10,$C$5,$C$4,$C$7)</f>
        <v>-</v>
      </c>
      <c r="F15" s="764" t="str">
        <f ca="1">_xll.VAData($C$3,F$8,$C15,F$10,$C$5,$C$4,$C$7)</f>
        <v>-</v>
      </c>
      <c r="G15" s="764" t="str">
        <f ca="1">_xll.VAData($C$3,G$8,$C15,G$10,$C$5,$C$4,$C$7)</f>
        <v>-</v>
      </c>
      <c r="H15" s="764" t="str">
        <f ca="1">_xll.VAData($C$3,H$8,$C15,H$10,$C$5,$C$4,$C$7)</f>
        <v>-</v>
      </c>
      <c r="I15" s="764" t="str">
        <f ca="1">_xll.VAData($C$3,I$8,$C15,I$10,$C$5,$C$4,$C$7)</f>
        <v>-</v>
      </c>
      <c r="J15" s="764" t="str">
        <f ca="1">_xll.VAData($C$3,J$8,$C15,J$10,$C$5,$C$4,$C$7)</f>
        <v>-</v>
      </c>
      <c r="K15" s="764" t="str">
        <f ca="1">_xll.VAData($C$3,K$8,$C15,K$10,$C$5,$C$4,$C$7)</f>
        <v>-</v>
      </c>
      <c r="L15" s="764" t="str">
        <f ca="1">_xll.VAData($C$3,L$8,$C15,L$10,$C$5,$C$4,$C$7)</f>
        <v>-</v>
      </c>
      <c r="M15" s="764" t="str">
        <f ca="1">_xll.VAData($C$3,M$8,$C15,M$10,$C$5,$C$4,$C$7)</f>
        <v>-</v>
      </c>
      <c r="N15" s="764" t="str">
        <f ca="1">_xll.VAData($C$3,N$8,$C15,N$10,$C$5,$C$4,$C$7)</f>
        <v>-</v>
      </c>
      <c r="O15" s="764" t="str">
        <f ca="1">_xll.VAData($C$3,O$8,$C15,O$10,$C$5,$C$4,$C$7)</f>
        <v>-</v>
      </c>
      <c r="P15" s="764" t="str">
        <f ca="1">_xll.VAData($C$3,P$8,$C15,P$10,$C$5,$C$4,$C$7)</f>
        <v>-</v>
      </c>
      <c r="Q15" s="764" t="str">
        <f ca="1">_xll.VAData($C$3,Q$8,$C15,Q$10,$C$5,$C$4,$C$7)</f>
        <v>-</v>
      </c>
      <c r="R15" s="764" t="str">
        <f ca="1">_xll.VAData($C$3,R$8,$C15,R$10,$C$5,$C$4,$C$7)</f>
        <v>-</v>
      </c>
      <c r="S15" s="764" t="str">
        <f ca="1">_xll.VAData($C$3,S$8,$C15,S$10,$C$5,$C$4,$C$7)</f>
        <v>-</v>
      </c>
      <c r="T15" s="764" t="str">
        <f ca="1">_xll.VAData($C$3,T$8,$C15,T$10,$C$5,$C$4,$C$7)</f>
        <v>-</v>
      </c>
      <c r="U15" s="764">
        <f ca="1">_xll.VAData($C$3,U$8,$C15,U$10,$C$5,$C$4,$C$7)</f>
        <v>10026.14705258406</v>
      </c>
      <c r="V15" s="764">
        <f ca="1">_xll.VAData($C$3,V$8,$C15,V$10,$C$5,$C$4,$C$7)</f>
        <v>12350.662413204085</v>
      </c>
      <c r="W15" s="764">
        <f ca="1">_xll.VAData($C$3,W$8,$C15,W$10,$C$5,$C$4,$C$7)</f>
        <v>14886.889516675643</v>
      </c>
      <c r="X15" s="764">
        <f ca="1">_xll.VAData($C$3,X$8,$C15,X$10,$C$5,$C$4,$C$7)</f>
        <v>22649.327317693103</v>
      </c>
      <c r="Y15" s="764">
        <f ca="1">_xll.VAData($C$3,Y$8,$C15,Y$10,$C$5,$C$4,$C$7)</f>
        <v>30992.199983062917</v>
      </c>
      <c r="Z15" s="764">
        <f ca="1">_xll.VAData($C$3,Z$8,$C15,Z$10,$C$5,$C$4,$C$7)</f>
        <v>40968.741402440872</v>
      </c>
      <c r="AA15" s="764">
        <f ca="1">_xll.VAData($C$3,AA$8,$C15,AA$10,$C$5,$C$4,$C$7)</f>
        <v>50911.831827629168</v>
      </c>
    </row>
    <row r="16" spans="2:27" ht="12.75" customHeight="1" x14ac:dyDescent="0.35">
      <c r="B16" s="762" t="s">
        <v>583</v>
      </c>
      <c r="C16" s="1072" t="s">
        <v>582</v>
      </c>
      <c r="D16" s="762" t="s">
        <v>541</v>
      </c>
      <c r="E16" s="764" t="str">
        <f ca="1">_xll.VAData($C$3,E$8,$C16,E$10,$C$5,$C$4,$C$7)</f>
        <v>-</v>
      </c>
      <c r="F16" s="764" t="str">
        <f ca="1">_xll.VAData($C$3,F$8,$C16,F$10,$C$5,$C$4,$C$7)</f>
        <v>-</v>
      </c>
      <c r="G16" s="764" t="str">
        <f ca="1">_xll.VAData($C$3,G$8,$C16,G$10,$C$5,$C$4,$C$7)</f>
        <v>-</v>
      </c>
      <c r="H16" s="764" t="str">
        <f ca="1">_xll.VAData($C$3,H$8,$C16,H$10,$C$5,$C$4,$C$7)</f>
        <v>-</v>
      </c>
      <c r="I16" s="764" t="str">
        <f ca="1">_xll.VAData($C$3,I$8,$C16,I$10,$C$5,$C$4,$C$7)</f>
        <v>-</v>
      </c>
      <c r="J16" s="764" t="str">
        <f ca="1">_xll.VAData($C$3,J$8,$C16,J$10,$C$5,$C$4,$C$7)</f>
        <v>-</v>
      </c>
      <c r="K16" s="764" t="str">
        <f ca="1">_xll.VAData($C$3,K$8,$C16,K$10,$C$5,$C$4,$C$7)</f>
        <v>-</v>
      </c>
      <c r="L16" s="764" t="str">
        <f ca="1">_xll.VAData($C$3,L$8,$C16,L$10,$C$5,$C$4,$C$7)</f>
        <v>-</v>
      </c>
      <c r="M16" s="764" t="str">
        <f ca="1">_xll.VAData($C$3,M$8,$C16,M$10,$C$5,$C$4,$C$7)</f>
        <v>-</v>
      </c>
      <c r="N16" s="764" t="str">
        <f ca="1">_xll.VAData($C$3,N$8,$C16,N$10,$C$5,$C$4,$C$7)</f>
        <v>-</v>
      </c>
      <c r="O16" s="764" t="str">
        <f ca="1">_xll.VAData($C$3,O$8,$C16,O$10,$C$5,$C$4,$C$7)</f>
        <v>-</v>
      </c>
      <c r="P16" s="764" t="str">
        <f ca="1">_xll.VAData($C$3,P$8,$C16,P$10,$C$5,$C$4,$C$7)</f>
        <v>-</v>
      </c>
      <c r="Q16" s="764" t="str">
        <f ca="1">_xll.VAData($C$3,Q$8,$C16,Q$10,$C$5,$C$4,$C$7)</f>
        <v>-</v>
      </c>
      <c r="R16" s="764" t="str">
        <f ca="1">_xll.VAData($C$3,R$8,$C16,R$10,$C$5,$C$4,$C$7)</f>
        <v>-</v>
      </c>
      <c r="S16" s="764" t="str">
        <f ca="1">_xll.VAData($C$3,S$8,$C16,S$10,$C$5,$C$4,$C$7)</f>
        <v>-</v>
      </c>
      <c r="T16" s="764" t="str">
        <f ca="1">_xll.VAData($C$3,T$8,$C16,T$10,$C$5,$C$4,$C$7)</f>
        <v>-</v>
      </c>
      <c r="U16" s="764" t="str">
        <f ca="1">_xll.VAData($C$3,U$8,$C16,U$10,$C$5,$C$4,$C$7)</f>
        <v>-</v>
      </c>
      <c r="V16" s="764">
        <f ca="1">_xll.VAData($C$3,V$8,$C16,V$10,$C$5,$C$4,$C$7)</f>
        <v>23000</v>
      </c>
      <c r="W16" s="764">
        <f ca="1">_xll.VAData($C$3,W$8,$C16,W$10,$C$5,$C$4,$C$7)</f>
        <v>23500</v>
      </c>
      <c r="X16" s="764">
        <f ca="1">_xll.VAData($C$3,X$8,$C16,X$10,$C$5,$C$4,$C$7)</f>
        <v>23740</v>
      </c>
      <c r="Y16" s="764">
        <f ca="1">_xll.VAData($C$3,Y$8,$C16,Y$10,$C$5,$C$4,$C$7)</f>
        <v>23984.799999999999</v>
      </c>
      <c r="Z16" s="764">
        <f ca="1">_xll.VAData($C$3,Z$8,$C16,Z$10,$C$5,$C$4,$C$7)</f>
        <v>24234.495999999999</v>
      </c>
      <c r="AA16" s="764">
        <f ca="1">_xll.VAData($C$3,AA$8,$C16,AA$10,$C$5,$C$4,$C$7)</f>
        <v>24489.18592</v>
      </c>
    </row>
    <row r="17" spans="2:27" ht="12.75" customHeight="1" x14ac:dyDescent="0.35">
      <c r="B17" s="762" t="s">
        <v>581</v>
      </c>
      <c r="C17" s="1072" t="s">
        <v>580</v>
      </c>
      <c r="D17" s="762" t="s">
        <v>312</v>
      </c>
      <c r="E17" s="764" t="str">
        <f ca="1">_xll.VAData($C$3,E$8,$C17,E$10,$C$5,$C$4,$C$7)</f>
        <v>-</v>
      </c>
      <c r="F17" s="764" t="str">
        <f ca="1">_xll.VAData($C$3,F$8,$C17,F$10,$C$5,$C$4,$C$7)</f>
        <v>-</v>
      </c>
      <c r="G17" s="764" t="str">
        <f ca="1">_xll.VAData($C$3,G$8,$C17,G$10,$C$5,$C$4,$C$7)</f>
        <v>-</v>
      </c>
      <c r="H17" s="764" t="str">
        <f ca="1">_xll.VAData($C$3,H$8,$C17,H$10,$C$5,$C$4,$C$7)</f>
        <v>-</v>
      </c>
      <c r="I17" s="764">
        <f ca="1">_xll.VAData($C$3,I$8,$C17,I$10,$C$5,$C$4,$C$7)</f>
        <v>40</v>
      </c>
      <c r="J17" s="764" t="str">
        <f ca="1">_xll.VAData($C$3,J$8,$C17,J$10,$C$5,$C$4,$C$7)</f>
        <v>-</v>
      </c>
      <c r="K17" s="764" t="str">
        <f ca="1">_xll.VAData($C$3,K$8,$C17,K$10,$C$5,$C$4,$C$7)</f>
        <v>-</v>
      </c>
      <c r="L17" s="764" t="str">
        <f ca="1">_xll.VAData($C$3,L$8,$C17,L$10,$C$5,$C$4,$C$7)</f>
        <v>-</v>
      </c>
      <c r="M17" s="764" t="str">
        <f ca="1">_xll.VAData($C$3,M$8,$C17,M$10,$C$5,$C$4,$C$7)</f>
        <v>-</v>
      </c>
      <c r="N17" s="764">
        <f ca="1">_xll.VAData($C$3,N$8,$C17,N$10,$C$5,$C$4,$C$7)</f>
        <v>40</v>
      </c>
      <c r="O17" s="764" t="str">
        <f ca="1">_xll.VAData($C$3,O$8,$C17,O$10,$C$5,$C$4,$C$7)</f>
        <v>-</v>
      </c>
      <c r="P17" s="764" t="str">
        <f ca="1">_xll.VAData($C$3,P$8,$C17,P$10,$C$5,$C$4,$C$7)</f>
        <v>-</v>
      </c>
      <c r="Q17" s="764" t="str">
        <f ca="1">_xll.VAData($C$3,Q$8,$C17,Q$10,$C$5,$C$4,$C$7)</f>
        <v>-</v>
      </c>
      <c r="R17" s="764" t="str">
        <f ca="1">_xll.VAData($C$3,R$8,$C17,R$10,$C$5,$C$4,$C$7)</f>
        <v>-</v>
      </c>
      <c r="S17" s="764">
        <f ca="1">_xll.VAData($C$3,S$8,$C17,S$10,$C$5,$C$4,$C$7)</f>
        <v>40</v>
      </c>
      <c r="T17" s="764">
        <f ca="1">_xll.VAData($C$3,T$8,$C17,T$10,$C$5,$C$4,$C$7)</f>
        <v>40</v>
      </c>
      <c r="U17" s="764">
        <f ca="1">_xll.VAData($C$3,U$8,$C17,U$10,$C$5,$C$4,$C$7)</f>
        <v>32.5</v>
      </c>
      <c r="V17" s="764">
        <f ca="1">_xll.VAData($C$3,V$8,$C17,V$10,$C$5,$C$4,$C$7)</f>
        <v>30.166666666666668</v>
      </c>
      <c r="W17" s="764">
        <f ca="1">_xll.VAData($C$3,W$8,$C17,W$10,$C$5,$C$4,$C$7)</f>
        <v>30.666666666666668</v>
      </c>
      <c r="X17" s="764">
        <f ca="1">_xll.VAData($C$3,X$8,$C17,X$10,$C$5,$C$4,$C$7)</f>
        <v>31.166666666666668</v>
      </c>
      <c r="Y17" s="764">
        <f ca="1">_xll.VAData($C$3,Y$8,$C17,Y$10,$C$5,$C$4,$C$7)</f>
        <v>31.666666666666668</v>
      </c>
      <c r="Z17" s="764">
        <f ca="1">_xll.VAData($C$3,Z$8,$C17,Z$10,$C$5,$C$4,$C$7)</f>
        <v>32.166666666666664</v>
      </c>
      <c r="AA17" s="764">
        <f ca="1">_xll.VAData($C$3,AA$8,$C17,AA$10,$C$5,$C$4,$C$7)</f>
        <v>32.666666666666664</v>
      </c>
    </row>
    <row r="18" spans="2:27" ht="12.75" customHeight="1" x14ac:dyDescent="0.35">
      <c r="B18" s="762" t="s">
        <v>579</v>
      </c>
      <c r="C18" s="1071" t="s">
        <v>578</v>
      </c>
      <c r="D18" s="762" t="s">
        <v>541</v>
      </c>
      <c r="E18" s="764" t="str">
        <f ca="1">_xll.VAData($C$3,E$8,$C18,E$10,$C$5,$C$4,$C$7)</f>
        <v>-</v>
      </c>
      <c r="F18" s="764" t="str">
        <f ca="1">_xll.VAData($C$3,F$8,$C18,F$10,$C$5,$C$4,$C$7)</f>
        <v>-</v>
      </c>
      <c r="G18" s="764" t="str">
        <f ca="1">_xll.VAData($C$3,G$8,$C18,G$10,$C$5,$C$4,$C$7)</f>
        <v>-</v>
      </c>
      <c r="H18" s="764" t="str">
        <f ca="1">_xll.VAData($C$3,H$8,$C18,H$10,$C$5,$C$4,$C$7)</f>
        <v>-</v>
      </c>
      <c r="I18" s="764" t="str">
        <f ca="1">_xll.VAData($C$3,I$8,$C18,I$10,$C$5,$C$4,$C$7)</f>
        <v>-</v>
      </c>
      <c r="J18" s="764" t="str">
        <f ca="1">_xll.VAData($C$3,J$8,$C18,J$10,$C$5,$C$4,$C$7)</f>
        <v>-</v>
      </c>
      <c r="K18" s="764" t="str">
        <f ca="1">_xll.VAData($C$3,K$8,$C18,K$10,$C$5,$C$4,$C$7)</f>
        <v>-</v>
      </c>
      <c r="L18" s="764" t="str">
        <f ca="1">_xll.VAData($C$3,L$8,$C18,L$10,$C$5,$C$4,$C$7)</f>
        <v>-</v>
      </c>
      <c r="M18" s="764" t="str">
        <f ca="1">_xll.VAData($C$3,M$8,$C18,M$10,$C$5,$C$4,$C$7)</f>
        <v>-</v>
      </c>
      <c r="N18" s="764" t="str">
        <f ca="1">_xll.VAData($C$3,N$8,$C18,N$10,$C$5,$C$4,$C$7)</f>
        <v>-</v>
      </c>
      <c r="O18" s="764" t="str">
        <f ca="1">_xll.VAData($C$3,O$8,$C18,O$10,$C$5,$C$4,$C$7)</f>
        <v>-</v>
      </c>
      <c r="P18" s="764" t="str">
        <f ca="1">_xll.VAData($C$3,P$8,$C18,P$10,$C$5,$C$4,$C$7)</f>
        <v>-</v>
      </c>
      <c r="Q18" s="764" t="str">
        <f ca="1">_xll.VAData($C$3,Q$8,$C18,Q$10,$C$5,$C$4,$C$7)</f>
        <v>-</v>
      </c>
      <c r="R18" s="764" t="str">
        <f ca="1">_xll.VAData($C$3,R$8,$C18,R$10,$C$5,$C$4,$C$7)</f>
        <v>-</v>
      </c>
      <c r="S18" s="764" t="str">
        <f ca="1">_xll.VAData($C$3,S$8,$C18,S$10,$C$5,$C$4,$C$7)</f>
        <v>-</v>
      </c>
      <c r="T18" s="764" t="str">
        <f ca="1">_xll.VAData($C$3,T$8,$C18,T$10,$C$5,$C$4,$C$7)</f>
        <v>-</v>
      </c>
      <c r="U18" s="764">
        <f ca="1">_xll.VAData($C$3,U$8,$C18,U$10,$C$5,$C$4,$C$7)</f>
        <v>18000</v>
      </c>
      <c r="V18" s="764">
        <f ca="1">_xll.VAData($C$3,V$8,$C18,V$10,$C$5,$C$4,$C$7)</f>
        <v>17833.2</v>
      </c>
      <c r="W18" s="764">
        <f ca="1">_xll.VAData($C$3,W$8,$C18,W$10,$C$5,$C$4,$C$7)</f>
        <v>16753.861333333334</v>
      </c>
      <c r="X18" s="764">
        <f ca="1">_xll.VAData($C$3,X$8,$C18,X$10,$C$5,$C$4,$C$7)</f>
        <v>16917.901426666667</v>
      </c>
      <c r="Y18" s="764">
        <f ca="1">_xll.VAData($C$3,Y$8,$C18,Y$10,$C$5,$C$4,$C$7)</f>
        <v>17086.891450399999</v>
      </c>
      <c r="Z18" s="764">
        <f ca="1">_xll.VAData($C$3,Z$8,$C18,Z$10,$C$5,$C$4,$C$7)</f>
        <v>17260.921364273334</v>
      </c>
      <c r="AA18" s="764">
        <f ca="1">_xll.VAData($C$3,AA$8,$C18,AA$10,$C$5,$C$4,$C$7)</f>
        <v>17440.082262673699</v>
      </c>
    </row>
    <row r="19" spans="2:27" ht="12.75" customHeight="1" x14ac:dyDescent="0.35">
      <c r="B19" s="762" t="s">
        <v>577</v>
      </c>
      <c r="C19" s="1070" t="s">
        <v>576</v>
      </c>
      <c r="D19" s="762" t="s">
        <v>313</v>
      </c>
      <c r="E19" s="764" t="str">
        <f ca="1">_xll.VAData($C$3,E$8,$C19,E$10,$C$5,$C$4,$C$7)</f>
        <v>-</v>
      </c>
      <c r="F19" s="764" t="str">
        <f ca="1">_xll.VAData($C$3,F$8,$C19,F$10,$C$5,$C$4,$C$7)</f>
        <v>-</v>
      </c>
      <c r="G19" s="764" t="str">
        <f ca="1">_xll.VAData($C$3,G$8,$C19,G$10,$C$5,$C$4,$C$7)</f>
        <v>-</v>
      </c>
      <c r="H19" s="764" t="str">
        <f ca="1">_xll.VAData($C$3,H$8,$C19,H$10,$C$5,$C$4,$C$7)</f>
        <v>-</v>
      </c>
      <c r="I19" s="764">
        <f ca="1">_xll.VAData($C$3,I$8,$C19,I$10,$C$5,$C$4,$C$7)</f>
        <v>0</v>
      </c>
      <c r="J19" s="764" t="str">
        <f ca="1">_xll.VAData($C$3,J$8,$C19,J$10,$C$5,$C$4,$C$7)</f>
        <v>-</v>
      </c>
      <c r="K19" s="764" t="str">
        <f ca="1">_xll.VAData($C$3,K$8,$C19,K$10,$C$5,$C$4,$C$7)</f>
        <v>-</v>
      </c>
      <c r="L19" s="764" t="str">
        <f ca="1">_xll.VAData($C$3,L$8,$C19,L$10,$C$5,$C$4,$C$7)</f>
        <v>-</v>
      </c>
      <c r="M19" s="764" t="str">
        <f ca="1">_xll.VAData($C$3,M$8,$C19,M$10,$C$5,$C$4,$C$7)</f>
        <v>-</v>
      </c>
      <c r="N19" s="764">
        <f ca="1">_xll.VAData($C$3,N$8,$C19,N$10,$C$5,$C$4,$C$7)</f>
        <v>0</v>
      </c>
      <c r="O19" s="764" t="str">
        <f ca="1">_xll.VAData($C$3,O$8,$C19,O$10,$C$5,$C$4,$C$7)</f>
        <v>-</v>
      </c>
      <c r="P19" s="764" t="str">
        <f ca="1">_xll.VAData($C$3,P$8,$C19,P$10,$C$5,$C$4,$C$7)</f>
        <v>-</v>
      </c>
      <c r="Q19" s="764" t="str">
        <f ca="1">_xll.VAData($C$3,Q$8,$C19,Q$10,$C$5,$C$4,$C$7)</f>
        <v>-</v>
      </c>
      <c r="R19" s="764" t="str">
        <f ca="1">_xll.VAData($C$3,R$8,$C19,R$10,$C$5,$C$4,$C$7)</f>
        <v>-</v>
      </c>
      <c r="S19" s="764">
        <f ca="1">_xll.VAData($C$3,S$8,$C19,S$10,$C$5,$C$4,$C$7)</f>
        <v>0</v>
      </c>
      <c r="T19" s="764">
        <f ca="1">_xll.VAData($C$3,T$8,$C19,T$10,$C$5,$C$4,$C$7)</f>
        <v>0</v>
      </c>
      <c r="U19" s="764">
        <f ca="1">_xll.VAData($C$3,U$8,$C19,U$10,$C$5,$C$4,$C$7)</f>
        <v>29.32648012880825</v>
      </c>
      <c r="V19" s="764">
        <f ca="1">_xll.VAData($C$3,V$8,$C19,V$10,$C$5,$C$4,$C$7)</f>
        <v>90.2474503312217</v>
      </c>
      <c r="W19" s="764">
        <f ca="1">_xll.VAData($C$3,W$8,$C19,W$10,$C$5,$C$4,$C$7)</f>
        <v>196.03091262883697</v>
      </c>
      <c r="X19" s="764">
        <f ca="1">_xll.VAData($C$3,X$8,$C19,X$10,$C$5,$C$4,$C$7)</f>
        <v>316.81522897765774</v>
      </c>
      <c r="Y19" s="764">
        <f ca="1">_xll.VAData($C$3,Y$8,$C19,Y$10,$C$5,$C$4,$C$7)</f>
        <v>452.42736727727623</v>
      </c>
      <c r="Z19" s="764">
        <f ca="1">_xll.VAData($C$3,Z$8,$C19,Z$10,$C$5,$C$4,$C$7)</f>
        <v>590.38147172703827</v>
      </c>
      <c r="AA19" s="764">
        <f ca="1">_xll.VAData($C$3,AA$8,$C19,AA$10,$C$5,$C$4,$C$7)</f>
        <v>724.8722236526263</v>
      </c>
    </row>
    <row r="20" spans="2:27" ht="12.75" customHeight="1" x14ac:dyDescent="0.35">
      <c r="B20" s="762" t="s">
        <v>575</v>
      </c>
      <c r="C20" s="769" t="s">
        <v>574</v>
      </c>
      <c r="D20" s="762" t="s">
        <v>312</v>
      </c>
      <c r="E20" s="764" t="str">
        <f ca="1">_xll.VAData($C$3,E$8,$C20,E$10,$C$5,$C$4,$C$7)</f>
        <v>-</v>
      </c>
      <c r="F20" s="764" t="str">
        <f ca="1">_xll.VAData($C$3,F$8,$C20,F$10,$C$5,$C$4,$C$7)</f>
        <v>-</v>
      </c>
      <c r="G20" s="764" t="str">
        <f ca="1">_xll.VAData($C$3,G$8,$C20,G$10,$C$5,$C$4,$C$7)</f>
        <v>-</v>
      </c>
      <c r="H20" s="764" t="str">
        <f ca="1">_xll.VAData($C$3,H$8,$C20,H$10,$C$5,$C$4,$C$7)</f>
        <v>-</v>
      </c>
      <c r="I20" s="764" t="str">
        <f ca="1">_xll.VAData($C$3,I$8,$C20,I$10,$C$5,$C$4,$C$7)</f>
        <v>-</v>
      </c>
      <c r="J20" s="764">
        <f ca="1">_xll.VAData($C$3,J$8,$C20,J$10,$C$5,$C$4,$C$7)</f>
        <v>53.75</v>
      </c>
      <c r="K20" s="764">
        <f ca="1">_xll.VAData($C$3,K$8,$C20,K$10,$C$5,$C$4,$C$7)</f>
        <v>53.75</v>
      </c>
      <c r="L20" s="764">
        <f ca="1">_xll.VAData($C$3,L$8,$C20,L$10,$C$5,$C$4,$C$7)</f>
        <v>53.75</v>
      </c>
      <c r="M20" s="764">
        <f ca="1">_xll.VAData($C$3,M$8,$C20,M$10,$C$5,$C$4,$C$7)</f>
        <v>53.75</v>
      </c>
      <c r="N20" s="764">
        <f ca="1">_xll.VAData($C$3,N$8,$C20,N$10,$C$5,$C$4,$C$7)</f>
        <v>53.75</v>
      </c>
      <c r="O20" s="764">
        <f ca="1">_xll.VAData($C$3,O$8,$C20,O$10,$C$5,$C$4,$C$7)</f>
        <v>53.75</v>
      </c>
      <c r="P20" s="764">
        <f ca="1">_xll.VAData($C$3,P$8,$C20,P$10,$C$5,$C$4,$C$7)</f>
        <v>53.75</v>
      </c>
      <c r="Q20" s="764">
        <f ca="1">_xll.VAData($C$3,Q$8,$C20,Q$10,$C$5,$C$4,$C$7)</f>
        <v>53.75</v>
      </c>
      <c r="R20" s="764">
        <f ca="1">_xll.VAData($C$3,R$8,$C20,R$10,$C$5,$C$4,$C$7)</f>
        <v>53.75</v>
      </c>
      <c r="S20" s="764">
        <f ca="1">_xll.VAData($C$3,S$8,$C20,S$10,$C$5,$C$4,$C$7)</f>
        <v>53.75</v>
      </c>
      <c r="T20" s="764">
        <f ca="1">_xll.VAData($C$3,T$8,$C20,T$10,$C$5,$C$4,$C$7)</f>
        <v>53.75</v>
      </c>
      <c r="U20" s="764">
        <f ca="1">_xll.VAData($C$3,U$8,$C20,U$10,$C$5,$C$4,$C$7)</f>
        <v>53.75</v>
      </c>
      <c r="V20" s="764">
        <f ca="1">_xll.VAData($C$3,V$8,$C20,V$10,$C$5,$C$4,$C$7)</f>
        <v>53.75</v>
      </c>
      <c r="W20" s="764">
        <f ca="1">_xll.VAData($C$3,W$8,$C20,W$10,$C$5,$C$4,$C$7)</f>
        <v>53.75</v>
      </c>
      <c r="X20" s="764">
        <f ca="1">_xll.VAData($C$3,X$8,$C20,X$10,$C$5,$C$4,$C$7)</f>
        <v>53.75</v>
      </c>
      <c r="Y20" s="764">
        <f ca="1">_xll.VAData($C$3,Y$8,$C20,Y$10,$C$5,$C$4,$C$7)</f>
        <v>53.75</v>
      </c>
      <c r="Z20" s="764">
        <f ca="1">_xll.VAData($C$3,Z$8,$C20,Z$10,$C$5,$C$4,$C$7)</f>
        <v>53.75</v>
      </c>
      <c r="AA20" s="764">
        <f ca="1">_xll.VAData($C$3,AA$8,$C20,AA$10,$C$5,$C$4,$C$7)</f>
        <v>53.75</v>
      </c>
    </row>
    <row r="21" spans="2:27" ht="12.75" customHeight="1" x14ac:dyDescent="0.35">
      <c r="B21" s="762" t="s">
        <v>573</v>
      </c>
      <c r="C21" s="765" t="s">
        <v>572</v>
      </c>
      <c r="D21" s="762" t="s">
        <v>313</v>
      </c>
      <c r="E21" s="764" t="str">
        <f ca="1">_xll.VAData($C$3,E$8,$C21,E$10,$C$5,$C$4,$C$7)</f>
        <v>-</v>
      </c>
      <c r="F21" s="764" t="str">
        <f ca="1">_xll.VAData($C$3,F$8,$C21,F$10,$C$5,$C$4,$C$7)</f>
        <v>-</v>
      </c>
      <c r="G21" s="764" t="str">
        <f ca="1">_xll.VAData($C$3,G$8,$C21,G$10,$C$5,$C$4,$C$7)</f>
        <v>-</v>
      </c>
      <c r="H21" s="764" t="str">
        <f ca="1">_xll.VAData($C$3,H$8,$C21,H$10,$C$5,$C$4,$C$7)</f>
        <v>-</v>
      </c>
      <c r="I21" s="764">
        <f ca="1">_xll.VAData($C$3,I$8,$C21,I$10,$C$5,$C$4,$C$7)</f>
        <v>0</v>
      </c>
      <c r="J21" s="764" t="str">
        <f ca="1">_xll.VAData($C$3,J$8,$C21,J$10,$C$5,$C$4,$C$7)</f>
        <v>-</v>
      </c>
      <c r="K21" s="764" t="str">
        <f ca="1">_xll.VAData($C$3,K$8,$C21,K$10,$C$5,$C$4,$C$7)</f>
        <v>-</v>
      </c>
      <c r="L21" s="764" t="str">
        <f ca="1">_xll.VAData($C$3,L$8,$C21,L$10,$C$5,$C$4,$C$7)</f>
        <v>-</v>
      </c>
      <c r="M21" s="764" t="str">
        <f ca="1">_xll.VAData($C$3,M$8,$C21,M$10,$C$5,$C$4,$C$7)</f>
        <v>-</v>
      </c>
      <c r="N21" s="764">
        <f ca="1">_xll.VAData($C$3,N$8,$C21,N$10,$C$5,$C$4,$C$7)</f>
        <v>0</v>
      </c>
      <c r="O21" s="764" t="str">
        <f ca="1">_xll.VAData($C$3,O$8,$C21,O$10,$C$5,$C$4,$C$7)</f>
        <v>-</v>
      </c>
      <c r="P21" s="764" t="str">
        <f ca="1">_xll.VAData($C$3,P$8,$C21,P$10,$C$5,$C$4,$C$7)</f>
        <v>-</v>
      </c>
      <c r="Q21" s="764" t="str">
        <f ca="1">_xll.VAData($C$3,Q$8,$C21,Q$10,$C$5,$C$4,$C$7)</f>
        <v>-</v>
      </c>
      <c r="R21" s="764" t="str">
        <f ca="1">_xll.VAData($C$3,R$8,$C21,R$10,$C$5,$C$4,$C$7)</f>
        <v>-</v>
      </c>
      <c r="S21" s="764">
        <f ca="1">_xll.VAData($C$3,S$8,$C21,S$10,$C$5,$C$4,$C$7)</f>
        <v>0</v>
      </c>
      <c r="T21" s="764">
        <f ca="1">_xll.VAData($C$3,T$8,$C21,T$10,$C$5,$C$4,$C$7)</f>
        <v>0</v>
      </c>
      <c r="U21" s="764">
        <f ca="1">_xll.VAData($C$3,U$8,$C21,U$10,$C$5,$C$4,$C$7)</f>
        <v>17.595888077285025</v>
      </c>
      <c r="V21" s="764">
        <f ca="1">_xll.VAData($C$3,V$8,$C21,V$10,$C$5,$C$4,$C$7)</f>
        <v>53.153453588680321</v>
      </c>
      <c r="W21" s="764">
        <f ca="1">_xll.VAData($C$3,W$8,$C21,W$10,$C$5,$C$4,$C$7)</f>
        <v>135.9303494366595</v>
      </c>
      <c r="X21" s="764">
        <f ca="1">_xll.VAData($C$3,X$8,$C21,X$10,$C$5,$C$4,$C$7)</f>
        <v>216.23472224746311</v>
      </c>
      <c r="Y21" s="764">
        <f ca="1">_xll.VAData($C$3,Y$8,$C21,Y$10,$C$5,$C$4,$C$7)</f>
        <v>308.203636752009</v>
      </c>
      <c r="Z21" s="764">
        <f ca="1">_xll.VAData($C$3,Z$8,$C21,Z$10,$C$5,$C$4,$C$7)</f>
        <v>398.53516398830232</v>
      </c>
      <c r="AA21" s="764">
        <f ca="1">_xll.VAData($C$3,AA$8,$C21,AA$10,$C$5,$C$4,$C$7)</f>
        <v>485.88174637359964</v>
      </c>
    </row>
    <row r="22" spans="2:27" ht="12.75" customHeight="1" x14ac:dyDescent="0.35">
      <c r="B22" s="762" t="s">
        <v>175</v>
      </c>
      <c r="C22" s="762" t="s">
        <v>410</v>
      </c>
      <c r="D22" s="762" t="s">
        <v>311</v>
      </c>
      <c r="E22" s="764" t="s">
        <v>311</v>
      </c>
      <c r="F22" s="764" t="s">
        <v>311</v>
      </c>
      <c r="G22" s="764" t="s">
        <v>311</v>
      </c>
      <c r="H22" s="764" t="s">
        <v>311</v>
      </c>
      <c r="I22" s="764" t="s">
        <v>311</v>
      </c>
      <c r="J22" s="764" t="s">
        <v>311</v>
      </c>
      <c r="K22" s="764" t="s">
        <v>311</v>
      </c>
      <c r="L22" s="764" t="s">
        <v>311</v>
      </c>
      <c r="M22" s="764" t="s">
        <v>311</v>
      </c>
      <c r="N22" s="764" t="s">
        <v>311</v>
      </c>
      <c r="O22" s="764" t="s">
        <v>311</v>
      </c>
      <c r="P22" s="764" t="s">
        <v>311</v>
      </c>
      <c r="Q22" s="764" t="s">
        <v>311</v>
      </c>
      <c r="R22" s="764" t="s">
        <v>311</v>
      </c>
      <c r="S22" s="764" t="s">
        <v>311</v>
      </c>
      <c r="T22" s="764" t="s">
        <v>311</v>
      </c>
      <c r="U22" s="764" t="s">
        <v>311</v>
      </c>
      <c r="V22" s="764" t="s">
        <v>311</v>
      </c>
      <c r="W22" s="764" t="s">
        <v>311</v>
      </c>
      <c r="X22" s="764" t="s">
        <v>311</v>
      </c>
      <c r="Y22" s="764" t="s">
        <v>311</v>
      </c>
      <c r="Z22" s="764" t="s">
        <v>311</v>
      </c>
      <c r="AA22" s="764" t="s">
        <v>311</v>
      </c>
    </row>
    <row r="23" spans="2:27" ht="12.75" customHeight="1" x14ac:dyDescent="0.35">
      <c r="B23" s="762" t="s">
        <v>571</v>
      </c>
      <c r="C23" s="769" t="s">
        <v>570</v>
      </c>
      <c r="D23" s="762" t="s">
        <v>313</v>
      </c>
      <c r="E23" s="764" t="str">
        <f ca="1">_xll.VAData($C$3,E$8,$C23,E$10,$C$5,$C$4,$C$7)</f>
        <v>-</v>
      </c>
      <c r="F23" s="764" t="str">
        <f ca="1">_xll.VAData($C$3,F$8,$C23,F$10,$C$5,$C$4,$C$7)</f>
        <v>-</v>
      </c>
      <c r="G23" s="764" t="str">
        <f ca="1">_xll.VAData($C$3,G$8,$C23,G$10,$C$5,$C$4,$C$7)</f>
        <v>-</v>
      </c>
      <c r="H23" s="764" t="str">
        <f ca="1">_xll.VAData($C$3,H$8,$C23,H$10,$C$5,$C$4,$C$7)</f>
        <v>-</v>
      </c>
      <c r="I23" s="764">
        <f ca="1">_xll.VAData($C$3,I$8,$C23,I$10,$C$5,$C$4,$C$7)</f>
        <v>0</v>
      </c>
      <c r="J23" s="764" t="str">
        <f ca="1">_xll.VAData($C$3,J$8,$C23,J$10,$C$5,$C$4,$C$7)</f>
        <v>-</v>
      </c>
      <c r="K23" s="764" t="str">
        <f ca="1">_xll.VAData($C$3,K$8,$C23,K$10,$C$5,$C$4,$C$7)</f>
        <v>-</v>
      </c>
      <c r="L23" s="764" t="str">
        <f ca="1">_xll.VAData($C$3,L$8,$C23,L$10,$C$5,$C$4,$C$7)</f>
        <v>-</v>
      </c>
      <c r="M23" s="764" t="str">
        <f ca="1">_xll.VAData($C$3,M$8,$C23,M$10,$C$5,$C$4,$C$7)</f>
        <v>-</v>
      </c>
      <c r="N23" s="764">
        <f ca="1">_xll.VAData($C$3,N$8,$C23,N$10,$C$5,$C$4,$C$7)</f>
        <v>0</v>
      </c>
      <c r="O23" s="764" t="str">
        <f ca="1">_xll.VAData($C$3,O$8,$C23,O$10,$C$5,$C$4,$C$7)</f>
        <v>-</v>
      </c>
      <c r="P23" s="764" t="str">
        <f ca="1">_xll.VAData($C$3,P$8,$C23,P$10,$C$5,$C$4,$C$7)</f>
        <v>-</v>
      </c>
      <c r="Q23" s="764" t="str">
        <f ca="1">_xll.VAData($C$3,Q$8,$C23,Q$10,$C$5,$C$4,$C$7)</f>
        <v>-</v>
      </c>
      <c r="R23" s="764" t="str">
        <f ca="1">_xll.VAData($C$3,R$8,$C23,R$10,$C$5,$C$4,$C$7)</f>
        <v>-</v>
      </c>
      <c r="S23" s="764">
        <f ca="1">_xll.VAData($C$3,S$8,$C23,S$10,$C$5,$C$4,$C$7)</f>
        <v>0</v>
      </c>
      <c r="T23" s="764">
        <f ca="1">_xll.VAData($C$3,T$8,$C23,T$10,$C$5,$C$4,$C$7)</f>
        <v>0</v>
      </c>
      <c r="U23" s="764">
        <f ca="1">_xll.VAData($C$3,U$8,$C23,U$10,$C$5,$C$4,$C$7)</f>
        <v>0</v>
      </c>
      <c r="V23" s="764">
        <f ca="1">_xll.VAData($C$3,V$8,$C23,V$10,$C$5,$C$4,$C$7)</f>
        <v>0</v>
      </c>
      <c r="W23" s="764">
        <f ca="1">_xll.VAData($C$3,W$8,$C23,W$10,$C$5,$C$4,$C$7)</f>
        <v>0</v>
      </c>
      <c r="X23" s="764">
        <f ca="1">_xll.VAData($C$3,X$8,$C23,X$10,$C$5,$C$4,$C$7)</f>
        <v>0</v>
      </c>
      <c r="Y23" s="764">
        <f ca="1">_xll.VAData($C$3,Y$8,$C23,Y$10,$C$5,$C$4,$C$7)</f>
        <v>2.09601506128186</v>
      </c>
      <c r="Z23" s="764">
        <f ca="1">_xll.VAData($C$3,Z$8,$C23,Z$10,$C$5,$C$4,$C$7)</f>
        <v>13.495930769364801</v>
      </c>
      <c r="AA23" s="764">
        <f ca="1">_xll.VAData($C$3,AA$8,$C23,AA$10,$C$5,$C$4,$C$7)</f>
        <v>44.982236399764702</v>
      </c>
    </row>
    <row r="24" spans="2:27" ht="12.75" customHeight="1" x14ac:dyDescent="0.35">
      <c r="B24" s="762" t="s">
        <v>569</v>
      </c>
      <c r="C24" s="769" t="s">
        <v>568</v>
      </c>
      <c r="D24" s="762" t="s">
        <v>312</v>
      </c>
      <c r="E24" s="764" t="str">
        <f ca="1">_xll.VAData($C$3,E$8,$C24,E$10,$C$5,$C$4,$C$7)</f>
        <v>-</v>
      </c>
      <c r="F24" s="764" t="str">
        <f ca="1">_xll.VAData($C$3,F$8,$C24,F$10,$C$5,$C$4,$C$7)</f>
        <v>-</v>
      </c>
      <c r="G24" s="764" t="str">
        <f ca="1">_xll.VAData($C$3,G$8,$C24,G$10,$C$5,$C$4,$C$7)</f>
        <v>-</v>
      </c>
      <c r="H24" s="764" t="str">
        <f ca="1">_xll.VAData($C$3,H$8,$C24,H$10,$C$5,$C$4,$C$7)</f>
        <v>-</v>
      </c>
      <c r="I24" s="764" t="str">
        <f ca="1">_xll.VAData($C$3,I$8,$C24,I$10,$C$5,$C$4,$C$7)</f>
        <v>-</v>
      </c>
      <c r="J24" s="764">
        <f ca="1">_xll.VAData($C$3,J$8,$C24,J$10,$C$5,$C$4,$C$7)</f>
        <v>50</v>
      </c>
      <c r="K24" s="764">
        <f ca="1">_xll.VAData($C$3,K$8,$C24,K$10,$C$5,$C$4,$C$7)</f>
        <v>50</v>
      </c>
      <c r="L24" s="764">
        <f ca="1">_xll.VAData($C$3,L$8,$C24,L$10,$C$5,$C$4,$C$7)</f>
        <v>50</v>
      </c>
      <c r="M24" s="764">
        <f ca="1">_xll.VAData($C$3,M$8,$C24,M$10,$C$5,$C$4,$C$7)</f>
        <v>50</v>
      </c>
      <c r="N24" s="764">
        <f ca="1">_xll.VAData($C$3,N$8,$C24,N$10,$C$5,$C$4,$C$7)</f>
        <v>50</v>
      </c>
      <c r="O24" s="764" t="str">
        <f ca="1">_xll.VAData($C$3,O$8,$C24,O$10,$C$5,$C$4,$C$7)</f>
        <v>-</v>
      </c>
      <c r="P24" s="764" t="str">
        <f ca="1">_xll.VAData($C$3,P$8,$C24,P$10,$C$5,$C$4,$C$7)</f>
        <v>-</v>
      </c>
      <c r="Q24" s="764" t="str">
        <f ca="1">_xll.VAData($C$3,Q$8,$C24,Q$10,$C$5,$C$4,$C$7)</f>
        <v>-</v>
      </c>
      <c r="R24" s="764" t="str">
        <f ca="1">_xll.VAData($C$3,R$8,$C24,R$10,$C$5,$C$4,$C$7)</f>
        <v>-</v>
      </c>
      <c r="S24" s="764">
        <f ca="1">_xll.VAData($C$3,S$8,$C24,S$10,$C$5,$C$4,$C$7)</f>
        <v>50</v>
      </c>
      <c r="T24" s="764">
        <f ca="1">_xll.VAData($C$3,T$8,$C24,T$10,$C$5,$C$4,$C$7)</f>
        <v>50</v>
      </c>
      <c r="U24" s="764">
        <f ca="1">_xll.VAData($C$3,U$8,$C24,U$10,$C$5,$C$4,$C$7)</f>
        <v>50</v>
      </c>
      <c r="V24" s="764">
        <f ca="1">_xll.VAData($C$3,V$8,$C24,V$10,$C$5,$C$4,$C$7)</f>
        <v>50</v>
      </c>
      <c r="W24" s="764">
        <f ca="1">_xll.VAData($C$3,W$8,$C24,W$10,$C$5,$C$4,$C$7)</f>
        <v>50</v>
      </c>
      <c r="X24" s="764">
        <f ca="1">_xll.VAData($C$3,X$8,$C24,X$10,$C$5,$C$4,$C$7)</f>
        <v>50</v>
      </c>
      <c r="Y24" s="764">
        <f ca="1">_xll.VAData($C$3,Y$8,$C24,Y$10,$C$5,$C$4,$C$7)</f>
        <v>50</v>
      </c>
      <c r="Z24" s="764">
        <f ca="1">_xll.VAData($C$3,Z$8,$C24,Z$10,$C$5,$C$4,$C$7)</f>
        <v>50</v>
      </c>
      <c r="AA24" s="764">
        <f ca="1">_xll.VAData($C$3,AA$8,$C24,AA$10,$C$5,$C$4,$C$7)</f>
        <v>50</v>
      </c>
    </row>
    <row r="25" spans="2:27" ht="12.75" customHeight="1" x14ac:dyDescent="0.35">
      <c r="B25" s="762" t="s">
        <v>567</v>
      </c>
      <c r="C25" s="765" t="s">
        <v>566</v>
      </c>
      <c r="D25" s="762" t="s">
        <v>313</v>
      </c>
      <c r="E25" s="764" t="str">
        <f ca="1">_xll.VAData($C$3,E$8,$C25,E$10,$C$5,$C$4,$C$7)</f>
        <v>-</v>
      </c>
      <c r="F25" s="764" t="str">
        <f ca="1">_xll.VAData($C$3,F$8,$C25,F$10,$C$5,$C$4,$C$7)</f>
        <v>-</v>
      </c>
      <c r="G25" s="764" t="str">
        <f ca="1">_xll.VAData($C$3,G$8,$C25,G$10,$C$5,$C$4,$C$7)</f>
        <v>-</v>
      </c>
      <c r="H25" s="764" t="str">
        <f ca="1">_xll.VAData($C$3,H$8,$C25,H$10,$C$5,$C$4,$C$7)</f>
        <v>-</v>
      </c>
      <c r="I25" s="764">
        <f ca="1">_xll.VAData($C$3,I$8,$C25,I$10,$C$5,$C$4,$C$7)</f>
        <v>0</v>
      </c>
      <c r="J25" s="764" t="str">
        <f ca="1">_xll.VAData($C$3,J$8,$C25,J$10,$C$5,$C$4,$C$7)</f>
        <v>-</v>
      </c>
      <c r="K25" s="764" t="str">
        <f ca="1">_xll.VAData($C$3,K$8,$C25,K$10,$C$5,$C$4,$C$7)</f>
        <v>-</v>
      </c>
      <c r="L25" s="764" t="str">
        <f ca="1">_xll.VAData($C$3,L$8,$C25,L$10,$C$5,$C$4,$C$7)</f>
        <v>-</v>
      </c>
      <c r="M25" s="764" t="str">
        <f ca="1">_xll.VAData($C$3,M$8,$C25,M$10,$C$5,$C$4,$C$7)</f>
        <v>-</v>
      </c>
      <c r="N25" s="764">
        <f ca="1">_xll.VAData($C$3,N$8,$C25,N$10,$C$5,$C$4,$C$7)</f>
        <v>0</v>
      </c>
      <c r="O25" s="764" t="str">
        <f ca="1">_xll.VAData($C$3,O$8,$C25,O$10,$C$5,$C$4,$C$7)</f>
        <v>-</v>
      </c>
      <c r="P25" s="764" t="str">
        <f ca="1">_xll.VAData($C$3,P$8,$C25,P$10,$C$5,$C$4,$C$7)</f>
        <v>-</v>
      </c>
      <c r="Q25" s="764" t="str">
        <f ca="1">_xll.VAData($C$3,Q$8,$C25,Q$10,$C$5,$C$4,$C$7)</f>
        <v>-</v>
      </c>
      <c r="R25" s="764" t="str">
        <f ca="1">_xll.VAData($C$3,R$8,$C25,R$10,$C$5,$C$4,$C$7)</f>
        <v>-</v>
      </c>
      <c r="S25" s="764">
        <f ca="1">_xll.VAData($C$3,S$8,$C25,S$10,$C$5,$C$4,$C$7)</f>
        <v>0</v>
      </c>
      <c r="T25" s="764">
        <f ca="1">_xll.VAData($C$3,T$8,$C25,T$10,$C$5,$C$4,$C$7)</f>
        <v>0</v>
      </c>
      <c r="U25" s="764">
        <f ca="1">_xll.VAData($C$3,U$8,$C25,U$10,$C$5,$C$4,$C$7)</f>
        <v>0</v>
      </c>
      <c r="V25" s="764">
        <f ca="1">_xll.VAData($C$3,V$8,$C25,V$10,$C$5,$C$4,$C$7)</f>
        <v>0</v>
      </c>
      <c r="W25" s="764">
        <f ca="1">_xll.VAData($C$3,W$8,$C25,W$10,$C$5,$C$4,$C$7)</f>
        <v>0</v>
      </c>
      <c r="X25" s="764">
        <f ca="1">_xll.VAData($C$3,X$8,$C25,X$10,$C$5,$C$4,$C$7)</f>
        <v>0</v>
      </c>
      <c r="Y25" s="764">
        <f ca="1">_xll.VAData($C$3,Y$8,$C25,Y$10,$C$5,$C$4,$C$7)</f>
        <v>1.04800753064093</v>
      </c>
      <c r="Z25" s="764">
        <f ca="1">_xll.VAData($C$3,Z$8,$C25,Z$10,$C$5,$C$4,$C$7)</f>
        <v>6.7479653846824004</v>
      </c>
      <c r="AA25" s="764">
        <f ca="1">_xll.VAData($C$3,AA$8,$C25,AA$10,$C$5,$C$4,$C$7)</f>
        <v>22.491118199882301</v>
      </c>
    </row>
    <row r="26" spans="2:27" ht="12.75" customHeight="1" x14ac:dyDescent="0.35">
      <c r="B26" s="762" t="s">
        <v>175</v>
      </c>
      <c r="C26" s="762" t="s">
        <v>410</v>
      </c>
      <c r="D26" s="762" t="s">
        <v>311</v>
      </c>
      <c r="E26" s="764" t="s">
        <v>311</v>
      </c>
      <c r="F26" s="764" t="s">
        <v>311</v>
      </c>
      <c r="G26" s="764" t="s">
        <v>311</v>
      </c>
      <c r="H26" s="764" t="s">
        <v>311</v>
      </c>
      <c r="I26" s="764" t="s">
        <v>311</v>
      </c>
      <c r="J26" s="764" t="s">
        <v>311</v>
      </c>
      <c r="K26" s="764" t="s">
        <v>311</v>
      </c>
      <c r="L26" s="764" t="s">
        <v>311</v>
      </c>
      <c r="M26" s="764" t="s">
        <v>311</v>
      </c>
      <c r="N26" s="764" t="s">
        <v>311</v>
      </c>
      <c r="O26" s="764" t="s">
        <v>311</v>
      </c>
      <c r="P26" s="764" t="s">
        <v>311</v>
      </c>
      <c r="Q26" s="764" t="s">
        <v>311</v>
      </c>
      <c r="R26" s="764" t="s">
        <v>311</v>
      </c>
      <c r="S26" s="764" t="s">
        <v>311</v>
      </c>
      <c r="T26" s="764" t="s">
        <v>311</v>
      </c>
      <c r="U26" s="764" t="s">
        <v>311</v>
      </c>
      <c r="V26" s="764" t="s">
        <v>311</v>
      </c>
      <c r="W26" s="764" t="s">
        <v>311</v>
      </c>
      <c r="X26" s="764" t="s">
        <v>311</v>
      </c>
      <c r="Y26" s="764" t="s">
        <v>311</v>
      </c>
      <c r="Z26" s="764" t="s">
        <v>311</v>
      </c>
      <c r="AA26" s="764" t="s">
        <v>311</v>
      </c>
    </row>
    <row r="27" spans="2:27" ht="12.75" customHeight="1" x14ac:dyDescent="0.35">
      <c r="B27" s="762" t="s">
        <v>565</v>
      </c>
      <c r="C27" s="766" t="s">
        <v>564</v>
      </c>
      <c r="D27" s="762" t="s">
        <v>313</v>
      </c>
      <c r="E27" s="764" t="str">
        <f ca="1">_xll.VAData($C$3,E$8,$C27,E$10,$C$5,$C$4,$C$7)</f>
        <v>-</v>
      </c>
      <c r="F27" s="764" t="str">
        <f ca="1">_xll.VAData($C$3,F$8,$C27,F$10,$C$5,$C$4,$C$7)</f>
        <v>-</v>
      </c>
      <c r="G27" s="764">
        <f ca="1">_xll.VAData($C$3,G$8,$C27,G$10,$C$5,$C$4,$C$7)</f>
        <v>0</v>
      </c>
      <c r="H27" s="764">
        <f ca="1">_xll.VAData($C$3,H$8,$C27,H$10,$C$5,$C$4,$C$7)</f>
        <v>0</v>
      </c>
      <c r="I27" s="764">
        <f ca="1">_xll.VAData($C$3,I$8,$C27,I$10,$C$5,$C$4,$C$7)</f>
        <v>0</v>
      </c>
      <c r="J27" s="764">
        <f ca="1">_xll.VAData($C$3,J$8,$C27,J$10,$C$5,$C$4,$C$7)</f>
        <v>0</v>
      </c>
      <c r="K27" s="764">
        <f ca="1">_xll.VAData($C$3,K$8,$C27,K$10,$C$5,$C$4,$C$7)</f>
        <v>0</v>
      </c>
      <c r="L27" s="764">
        <f ca="1">_xll.VAData($C$3,L$8,$C27,L$10,$C$5,$C$4,$C$7)</f>
        <v>0</v>
      </c>
      <c r="M27" s="764">
        <f ca="1">_xll.VAData($C$3,M$8,$C27,M$10,$C$5,$C$4,$C$7)</f>
        <v>0</v>
      </c>
      <c r="N27" s="764">
        <f ca="1">_xll.VAData($C$3,N$8,$C27,N$10,$C$5,$C$4,$C$7)</f>
        <v>0</v>
      </c>
      <c r="O27" s="764" t="str">
        <f ca="1">_xll.VAData($C$3,O$8,$C27,O$10,$C$5,$C$4,$C$7)</f>
        <v>-</v>
      </c>
      <c r="P27" s="764" t="str">
        <f ca="1">_xll.VAData($C$3,P$8,$C27,P$10,$C$5,$C$4,$C$7)</f>
        <v>-</v>
      </c>
      <c r="Q27" s="764" t="str">
        <f ca="1">_xll.VAData($C$3,Q$8,$C27,Q$10,$C$5,$C$4,$C$7)</f>
        <v>-</v>
      </c>
      <c r="R27" s="764" t="str">
        <f ca="1">_xll.VAData($C$3,R$8,$C27,R$10,$C$5,$C$4,$C$7)</f>
        <v>-</v>
      </c>
      <c r="S27" s="764">
        <f ca="1">_xll.VAData($C$3,S$8,$C27,S$10,$C$5,$C$4,$C$7)</f>
        <v>0</v>
      </c>
      <c r="T27" s="764">
        <f ca="1">_xll.VAData($C$3,T$8,$C27,T$10,$C$5,$C$4,$C$7)</f>
        <v>0</v>
      </c>
      <c r="U27" s="764">
        <f ca="1">_xll.VAData($C$3,U$8,$C27,U$10,$C$5,$C$4,$C$7)</f>
        <v>29.32648012880825</v>
      </c>
      <c r="V27" s="764">
        <f ca="1">_xll.VAData($C$3,V$8,$C27,V$10,$C$5,$C$4,$C$7)</f>
        <v>90.584867280957752</v>
      </c>
      <c r="W27" s="764">
        <f ca="1">_xll.VAData($C$3,W$8,$C27,W$10,$C$5,$C$4,$C$7)</f>
        <v>196.03091262883697</v>
      </c>
      <c r="X27" s="764">
        <f ca="1">_xll.VAData($C$3,X$8,$C27,X$10,$C$5,$C$4,$C$7)</f>
        <v>316.81522897765774</v>
      </c>
      <c r="Y27" s="764">
        <f ca="1">_xll.VAData($C$3,Y$8,$C27,Y$10,$C$5,$C$4,$C$7)</f>
        <v>452.95137104259652</v>
      </c>
      <c r="Z27" s="764">
        <f ca="1">_xll.VAData($C$3,Z$8,$C27,Z$10,$C$5,$C$4,$C$7)</f>
        <v>593.75545441937948</v>
      </c>
      <c r="AA27" s="764">
        <f ca="1">_xll.VAData($C$3,AA$8,$C27,AA$10,$C$5,$C$4,$C$7)</f>
        <v>736.11778275256722</v>
      </c>
    </row>
    <row r="28" spans="2:27" ht="12.75" customHeight="1" x14ac:dyDescent="0.35">
      <c r="B28" s="762" t="s">
        <v>563</v>
      </c>
      <c r="C28" s="766" t="s">
        <v>562</v>
      </c>
      <c r="D28" s="762" t="s">
        <v>312</v>
      </c>
      <c r="E28" s="764" t="str">
        <f ca="1">_xll.VAData($C$3,E$8,$C28,E$10,$C$5,$C$4,$C$7)</f>
        <v>-</v>
      </c>
      <c r="F28" s="764" t="str">
        <f ca="1">_xll.VAData($C$3,F$8,$C28,F$10,$C$5,$C$4,$C$7)</f>
        <v>-</v>
      </c>
      <c r="G28" s="764" t="str">
        <f ca="1">_xll.VAData($C$3,G$8,$C28,G$10,$C$5,$C$4,$C$7)</f>
        <v>-</v>
      </c>
      <c r="H28" s="764" t="str">
        <f ca="1">_xll.VAData($C$3,H$8,$C28,H$10,$C$5,$C$4,$C$7)</f>
        <v>-</v>
      </c>
      <c r="I28" s="764" t="str">
        <f ca="1">_xll.VAData($C$3,I$8,$C28,I$10,$C$5,$C$4,$C$7)</f>
        <v>-</v>
      </c>
      <c r="J28" s="764">
        <f ca="1">_xll.VAData($C$3,J$8,$C28,J$10,$C$5,$C$4,$C$7)</f>
        <v>53.75</v>
      </c>
      <c r="K28" s="764">
        <f ca="1">_xll.VAData($C$3,K$8,$C28,K$10,$C$5,$C$4,$C$7)</f>
        <v>53.75</v>
      </c>
      <c r="L28" s="764">
        <f ca="1">_xll.VAData($C$3,L$8,$C28,L$10,$C$5,$C$4,$C$7)</f>
        <v>53.75</v>
      </c>
      <c r="M28" s="764">
        <f ca="1">_xll.VAData($C$3,M$8,$C28,M$10,$C$5,$C$4,$C$7)</f>
        <v>53.75</v>
      </c>
      <c r="N28" s="764">
        <f ca="1">_xll.VAData($C$3,N$8,$C28,N$10,$C$5,$C$4,$C$7)</f>
        <v>53.75</v>
      </c>
      <c r="O28" s="764">
        <f ca="1">_xll.VAData($C$3,O$8,$C28,O$10,$C$5,$C$4,$C$7)</f>
        <v>53.75</v>
      </c>
      <c r="P28" s="764">
        <f ca="1">_xll.VAData($C$3,P$8,$C28,P$10,$C$5,$C$4,$C$7)</f>
        <v>53.75</v>
      </c>
      <c r="Q28" s="764">
        <f ca="1">_xll.VAData($C$3,Q$8,$C28,Q$10,$C$5,$C$4,$C$7)</f>
        <v>53.75</v>
      </c>
      <c r="R28" s="764">
        <f ca="1">_xll.VAData($C$3,R$8,$C28,R$10,$C$5,$C$4,$C$7)</f>
        <v>53.75</v>
      </c>
      <c r="S28" s="764">
        <f ca="1">_xll.VAData($C$3,S$8,$C28,S$10,$C$5,$C$4,$C$7)</f>
        <v>53.75</v>
      </c>
      <c r="T28" s="764">
        <f ca="1">_xll.VAData($C$3,T$8,$C28,T$10,$C$5,$C$4,$C$7)</f>
        <v>53.75</v>
      </c>
      <c r="U28" s="764">
        <f ca="1">_xll.VAData($C$3,U$8,$C28,U$10,$C$5,$C$4,$C$7)</f>
        <v>53.75</v>
      </c>
      <c r="V28" s="764">
        <f ca="1">_xll.VAData($C$3,V$8,$C28,V$10,$C$5,$C$4,$C$7)</f>
        <v>53.75</v>
      </c>
      <c r="W28" s="764">
        <f ca="1">_xll.VAData($C$3,W$8,$C28,W$10,$C$5,$C$4,$C$7)</f>
        <v>53.75</v>
      </c>
      <c r="X28" s="764">
        <f ca="1">_xll.VAData($C$3,X$8,$C28,X$10,$C$5,$C$4,$C$7)</f>
        <v>53.75</v>
      </c>
      <c r="Y28" s="764">
        <f ca="1">_xll.VAData($C$3,Y$8,$C28,Y$10,$C$5,$C$4,$C$7)</f>
        <v>53.75</v>
      </c>
      <c r="Z28" s="764">
        <f ca="1">_xll.VAData($C$3,Z$8,$C28,Z$10,$C$5,$C$4,$C$7)</f>
        <v>53.75</v>
      </c>
      <c r="AA28" s="764">
        <f ca="1">_xll.VAData($C$3,AA$8,$C28,AA$10,$C$5,$C$4,$C$7)</f>
        <v>53.75</v>
      </c>
    </row>
    <row r="29" spans="2:27" ht="12.75" customHeight="1" x14ac:dyDescent="0.35">
      <c r="B29" s="762" t="s">
        <v>561</v>
      </c>
      <c r="C29" s="768" t="s">
        <v>560</v>
      </c>
      <c r="D29" s="762" t="s">
        <v>313</v>
      </c>
      <c r="E29" s="764" t="str">
        <f ca="1">_xll.VAData($C$3,E$8,$C29,E$10,$C$5,$C$4,$C$7)</f>
        <v>-</v>
      </c>
      <c r="F29" s="764" t="str">
        <f ca="1">_xll.VAData($C$3,F$8,$C29,F$10,$C$5,$C$4,$C$7)</f>
        <v>-</v>
      </c>
      <c r="G29" s="764">
        <f ca="1">_xll.VAData($C$3,G$8,$C29,G$10,$C$5,$C$4,$C$7)</f>
        <v>0</v>
      </c>
      <c r="H29" s="764">
        <f ca="1">_xll.VAData($C$3,H$8,$C29,H$10,$C$5,$C$4,$C$7)</f>
        <v>0</v>
      </c>
      <c r="I29" s="764">
        <f ca="1">_xll.VAData($C$3,I$8,$C29,I$10,$C$5,$C$4,$C$7)</f>
        <v>0</v>
      </c>
      <c r="J29" s="764" t="str">
        <f ca="1">_xll.VAData($C$3,J$8,$C29,J$10,$C$5,$C$4,$C$7)</f>
        <v>-</v>
      </c>
      <c r="K29" s="764" t="str">
        <f ca="1">_xll.VAData($C$3,K$8,$C29,K$10,$C$5,$C$4,$C$7)</f>
        <v>-</v>
      </c>
      <c r="L29" s="764" t="str">
        <f ca="1">_xll.VAData($C$3,L$8,$C29,L$10,$C$5,$C$4,$C$7)</f>
        <v>-</v>
      </c>
      <c r="M29" s="764" t="str">
        <f ca="1">_xll.VAData($C$3,M$8,$C29,M$10,$C$5,$C$4,$C$7)</f>
        <v>-</v>
      </c>
      <c r="N29" s="764">
        <f ca="1">_xll.VAData($C$3,N$8,$C29,N$10,$C$5,$C$4,$C$7)</f>
        <v>0</v>
      </c>
      <c r="O29" s="764">
        <f ca="1">_xll.VAData($C$3,O$8,$C29,O$10,$C$5,$C$4,$C$7)</f>
        <v>0</v>
      </c>
      <c r="P29" s="764">
        <f ca="1">_xll.VAData($C$3,P$8,$C29,P$10,$C$5,$C$4,$C$7)</f>
        <v>0</v>
      </c>
      <c r="Q29" s="764">
        <f ca="1">_xll.VAData($C$3,Q$8,$C29,Q$10,$C$5,$C$4,$C$7)</f>
        <v>0</v>
      </c>
      <c r="R29" s="764">
        <f ca="1">_xll.VAData($C$3,R$8,$C29,R$10,$C$5,$C$4,$C$7)</f>
        <v>0</v>
      </c>
      <c r="S29" s="764">
        <f ca="1">_xll.VAData($C$3,S$8,$C29,S$10,$C$5,$C$4,$C$7)</f>
        <v>0</v>
      </c>
      <c r="T29" s="764">
        <f ca="1">_xll.VAData($C$3,T$8,$C29,T$10,$C$5,$C$4,$C$7)</f>
        <v>0</v>
      </c>
      <c r="U29" s="764">
        <f ca="1">_xll.VAData($C$3,U$8,$C29,U$10,$C$5,$C$4,$C$7)</f>
        <v>17.595888077285025</v>
      </c>
      <c r="V29" s="764">
        <f ca="1">_xll.VAData($C$3,V$8,$C29,V$10,$C$5,$C$4,$C$7)</f>
        <v>53.288420368574748</v>
      </c>
      <c r="W29" s="764">
        <f ca="1">_xll.VAData($C$3,W$8,$C29,W$10,$C$5,$C$4,$C$7)</f>
        <v>135.9303494366595</v>
      </c>
      <c r="X29" s="764">
        <f ca="1">_xll.VAData($C$3,X$8,$C29,X$10,$C$5,$C$4,$C$7)</f>
        <v>216.23472224746311</v>
      </c>
      <c r="Y29" s="764">
        <f ca="1">_xll.VAData($C$3,Y$8,$C29,Y$10,$C$5,$C$4,$C$7)</f>
        <v>308.55297259555601</v>
      </c>
      <c r="Z29" s="764">
        <f ca="1">_xll.VAData($C$3,Z$8,$C29,Z$10,$C$5,$C$4,$C$7)</f>
        <v>400.78448578319632</v>
      </c>
      <c r="AA29" s="764">
        <f ca="1">_xll.VAData($C$3,AA$8,$C29,AA$10,$C$5,$C$4,$C$7)</f>
        <v>493.37878577356065</v>
      </c>
    </row>
    <row r="30" spans="2:27" ht="12.75" customHeight="1" x14ac:dyDescent="0.35">
      <c r="B30" s="762" t="s">
        <v>175</v>
      </c>
      <c r="C30" s="762" t="s">
        <v>410</v>
      </c>
      <c r="D30" s="762" t="s">
        <v>311</v>
      </c>
      <c r="E30" s="764" t="s">
        <v>311</v>
      </c>
      <c r="F30" s="764" t="s">
        <v>311</v>
      </c>
      <c r="G30" s="764" t="s">
        <v>311</v>
      </c>
      <c r="H30" s="764" t="s">
        <v>311</v>
      </c>
      <c r="I30" s="764" t="s">
        <v>311</v>
      </c>
      <c r="J30" s="764" t="s">
        <v>311</v>
      </c>
      <c r="K30" s="764" t="s">
        <v>311</v>
      </c>
      <c r="L30" s="764" t="s">
        <v>311</v>
      </c>
      <c r="M30" s="764" t="s">
        <v>311</v>
      </c>
      <c r="N30" s="764" t="s">
        <v>311</v>
      </c>
      <c r="O30" s="764" t="s">
        <v>311</v>
      </c>
      <c r="P30" s="764" t="s">
        <v>311</v>
      </c>
      <c r="Q30" s="764" t="s">
        <v>311</v>
      </c>
      <c r="R30" s="764" t="s">
        <v>311</v>
      </c>
      <c r="S30" s="764" t="s">
        <v>311</v>
      </c>
      <c r="T30" s="764" t="s">
        <v>311</v>
      </c>
      <c r="U30" s="764" t="s">
        <v>311</v>
      </c>
      <c r="V30" s="764" t="s">
        <v>311</v>
      </c>
      <c r="W30" s="764" t="s">
        <v>311</v>
      </c>
      <c r="X30" s="764" t="s">
        <v>311</v>
      </c>
      <c r="Y30" s="764" t="s">
        <v>311</v>
      </c>
      <c r="Z30" s="764" t="s">
        <v>311</v>
      </c>
      <c r="AA30" s="764" t="s">
        <v>311</v>
      </c>
    </row>
    <row r="31" spans="2:27" ht="12.75" customHeight="1" x14ac:dyDescent="0.35">
      <c r="B31" s="762" t="s">
        <v>175</v>
      </c>
      <c r="C31" s="763" t="s">
        <v>559</v>
      </c>
      <c r="D31" s="762" t="s">
        <v>311</v>
      </c>
      <c r="E31" s="764" t="s">
        <v>311</v>
      </c>
      <c r="F31" s="764" t="s">
        <v>311</v>
      </c>
      <c r="G31" s="764" t="s">
        <v>311</v>
      </c>
      <c r="H31" s="764" t="s">
        <v>311</v>
      </c>
      <c r="I31" s="764" t="s">
        <v>311</v>
      </c>
      <c r="J31" s="764" t="s">
        <v>311</v>
      </c>
      <c r="K31" s="764" t="s">
        <v>311</v>
      </c>
      <c r="L31" s="764" t="s">
        <v>311</v>
      </c>
      <c r="M31" s="764" t="s">
        <v>311</v>
      </c>
      <c r="N31" s="764" t="s">
        <v>311</v>
      </c>
      <c r="O31" s="764" t="s">
        <v>311</v>
      </c>
      <c r="P31" s="764" t="s">
        <v>311</v>
      </c>
      <c r="Q31" s="764" t="s">
        <v>311</v>
      </c>
      <c r="R31" s="764" t="s">
        <v>311</v>
      </c>
      <c r="S31" s="764" t="s">
        <v>311</v>
      </c>
      <c r="T31" s="764" t="s">
        <v>311</v>
      </c>
      <c r="U31" s="764" t="s">
        <v>311</v>
      </c>
      <c r="V31" s="764" t="s">
        <v>311</v>
      </c>
      <c r="W31" s="764" t="s">
        <v>311</v>
      </c>
      <c r="X31" s="764" t="s">
        <v>311</v>
      </c>
      <c r="Y31" s="764" t="s">
        <v>311</v>
      </c>
      <c r="Z31" s="764" t="s">
        <v>311</v>
      </c>
      <c r="AA31" s="764" t="s">
        <v>311</v>
      </c>
    </row>
    <row r="32" spans="2:27" ht="12.75" customHeight="1" x14ac:dyDescent="0.35">
      <c r="B32" s="762" t="s">
        <v>558</v>
      </c>
      <c r="C32" s="1074" t="s">
        <v>557</v>
      </c>
      <c r="D32" s="762" t="s">
        <v>548</v>
      </c>
      <c r="E32" s="764" t="str">
        <f ca="1">_xll.VAData($C$3,E$8,$C32,E$10,$C$5,$C$4,$C$7)</f>
        <v>-</v>
      </c>
      <c r="F32" s="764" t="str">
        <f ca="1">_xll.VAData($C$3,F$8,$C32,F$10,$C$5,$C$4,$C$7)</f>
        <v>-</v>
      </c>
      <c r="G32" s="764" t="str">
        <f ca="1">_xll.VAData($C$3,G$8,$C32,G$10,$C$5,$C$4,$C$7)</f>
        <v>-</v>
      </c>
      <c r="H32" s="764" t="str">
        <f ca="1">_xll.VAData($C$3,H$8,$C32,H$10,$C$5,$C$4,$C$7)</f>
        <v>-</v>
      </c>
      <c r="I32" s="764">
        <f ca="1">_xll.VAData($C$3,I$8,$C32,I$10,$C$5,$C$4,$C$7)</f>
        <v>4584783.75</v>
      </c>
      <c r="J32" s="764" t="str">
        <f ca="1">_xll.VAData($C$3,J$8,$C32,J$10,$C$5,$C$4,$C$7)</f>
        <v>-</v>
      </c>
      <c r="K32" s="764" t="str">
        <f ca="1">_xll.VAData($C$3,K$8,$C32,K$10,$C$5,$C$4,$C$7)</f>
        <v>-</v>
      </c>
      <c r="L32" s="764" t="str">
        <f ca="1">_xll.VAData($C$3,L$8,$C32,L$10,$C$5,$C$4,$C$7)</f>
        <v>-</v>
      </c>
      <c r="M32" s="764" t="str">
        <f ca="1">_xll.VAData($C$3,M$8,$C32,M$10,$C$5,$C$4,$C$7)</f>
        <v>-</v>
      </c>
      <c r="N32" s="764">
        <f ca="1">_xll.VAData($C$3,N$8,$C32,N$10,$C$5,$C$4,$C$7)</f>
        <v>4602902.8687499976</v>
      </c>
      <c r="O32" s="764" t="str">
        <f ca="1">_xll.VAData($C$3,O$8,$C32,O$10,$C$5,$C$4,$C$7)</f>
        <v>-</v>
      </c>
      <c r="P32" s="764" t="str">
        <f ca="1">_xll.VAData($C$3,P$8,$C32,P$10,$C$5,$C$4,$C$7)</f>
        <v>-</v>
      </c>
      <c r="Q32" s="764" t="str">
        <f ca="1">_xll.VAData($C$3,Q$8,$C32,Q$10,$C$5,$C$4,$C$7)</f>
        <v>-</v>
      </c>
      <c r="R32" s="764" t="str">
        <f ca="1">_xll.VAData($C$3,R$8,$C32,R$10,$C$5,$C$4,$C$7)</f>
        <v>-</v>
      </c>
      <c r="S32" s="764">
        <f ca="1">_xll.VAData($C$3,S$8,$C32,S$10,$C$5,$C$4,$C$7)</f>
        <v>4621107.7782937475</v>
      </c>
      <c r="T32" s="764">
        <f ca="1">_xll.VAData($C$3,T$8,$C32,T$10,$C$5,$C$4,$C$7)</f>
        <v>4639398.9027804164</v>
      </c>
      <c r="U32" s="764">
        <f ca="1">_xll.VAData($C$3,U$8,$C32,U$10,$C$5,$C$4,$C$7)</f>
        <v>4657776.6684751129</v>
      </c>
      <c r="V32" s="764">
        <f ca="1">_xll.VAData($C$3,V$8,$C32,V$10,$C$5,$C$4,$C$7)</f>
        <v>4676241.5037694639</v>
      </c>
      <c r="W32" s="764">
        <f ca="1">_xll.VAData($C$3,W$8,$C32,W$10,$C$5,$C$4,$C$7)</f>
        <v>4694793.8391922396</v>
      </c>
      <c r="X32" s="764">
        <f ca="1">_xll.VAData($C$3,X$8,$C32,X$10,$C$5,$C$4,$C$7)</f>
        <v>4713434.107420031</v>
      </c>
      <c r="Y32" s="764">
        <f ca="1">_xll.VAData($C$3,Y$8,$C32,Y$10,$C$5,$C$4,$C$7)</f>
        <v>4732162.7432879955</v>
      </c>
      <c r="Z32" s="764">
        <f ca="1">_xll.VAData($C$3,Z$8,$C32,Z$10,$C$5,$C$4,$C$7)</f>
        <v>4750980.1838006284</v>
      </c>
      <c r="AA32" s="764">
        <f ca="1">_xll.VAData($C$3,AA$8,$C32,AA$10,$C$5,$C$4,$C$7)</f>
        <v>4769886.8681426216</v>
      </c>
    </row>
    <row r="33" spans="2:27" ht="12.75" customHeight="1" x14ac:dyDescent="0.35">
      <c r="B33" s="762" t="s">
        <v>556</v>
      </c>
      <c r="C33" s="1074" t="s">
        <v>555</v>
      </c>
      <c r="D33" s="762" t="s">
        <v>312</v>
      </c>
      <c r="E33" s="764" t="str">
        <f ca="1">_xll.VAData($C$3,E$8,$C33,E$10,$C$5,$C$4,$C$7)</f>
        <v>-</v>
      </c>
      <c r="F33" s="764" t="str">
        <f ca="1">_xll.VAData($C$3,F$8,$C33,F$10,$C$5,$C$4,$C$7)</f>
        <v>-</v>
      </c>
      <c r="G33" s="764" t="str">
        <f ca="1">_xll.VAData($C$3,G$8,$C33,G$10,$C$5,$C$4,$C$7)</f>
        <v>-</v>
      </c>
      <c r="H33" s="764" t="str">
        <f ca="1">_xll.VAData($C$3,H$8,$C33,H$10,$C$5,$C$4,$C$7)</f>
        <v>-</v>
      </c>
      <c r="I33" s="764">
        <f ca="1">_xll.VAData($C$3,I$8,$C33,I$10,$C$5,$C$4,$C$7)</f>
        <v>35</v>
      </c>
      <c r="J33" s="764" t="str">
        <f ca="1">_xll.VAData($C$3,J$8,$C33,J$10,$C$5,$C$4,$C$7)</f>
        <v>-</v>
      </c>
      <c r="K33" s="764" t="str">
        <f ca="1">_xll.VAData($C$3,K$8,$C33,K$10,$C$5,$C$4,$C$7)</f>
        <v>-</v>
      </c>
      <c r="L33" s="764" t="str">
        <f ca="1">_xll.VAData($C$3,L$8,$C33,L$10,$C$5,$C$4,$C$7)</f>
        <v>-</v>
      </c>
      <c r="M33" s="764" t="str">
        <f ca="1">_xll.VAData($C$3,M$8,$C33,M$10,$C$5,$C$4,$C$7)</f>
        <v>-</v>
      </c>
      <c r="N33" s="764">
        <f ca="1">_xll.VAData($C$3,N$8,$C33,N$10,$C$5,$C$4,$C$7)</f>
        <v>35</v>
      </c>
      <c r="O33" s="764" t="str">
        <f ca="1">_xll.VAData($C$3,O$8,$C33,O$10,$C$5,$C$4,$C$7)</f>
        <v>-</v>
      </c>
      <c r="P33" s="764" t="str">
        <f ca="1">_xll.VAData($C$3,P$8,$C33,P$10,$C$5,$C$4,$C$7)</f>
        <v>-</v>
      </c>
      <c r="Q33" s="764" t="str">
        <f ca="1">_xll.VAData($C$3,Q$8,$C33,Q$10,$C$5,$C$4,$C$7)</f>
        <v>-</v>
      </c>
      <c r="R33" s="764" t="str">
        <f ca="1">_xll.VAData($C$3,R$8,$C33,R$10,$C$5,$C$4,$C$7)</f>
        <v>-</v>
      </c>
      <c r="S33" s="764">
        <f ca="1">_xll.VAData($C$3,S$8,$C33,S$10,$C$5,$C$4,$C$7)</f>
        <v>35</v>
      </c>
      <c r="T33" s="764">
        <f ca="1">_xll.VAData($C$3,T$8,$C33,T$10,$C$5,$C$4,$C$7)</f>
        <v>35</v>
      </c>
      <c r="U33" s="764">
        <f ca="1">_xll.VAData($C$3,U$8,$C33,U$10,$C$5,$C$4,$C$7)</f>
        <v>35</v>
      </c>
      <c r="V33" s="764">
        <f ca="1">_xll.VAData($C$3,V$8,$C33,V$10,$C$5,$C$4,$C$7)</f>
        <v>35</v>
      </c>
      <c r="W33" s="764">
        <f ca="1">_xll.VAData($C$3,W$8,$C33,W$10,$C$5,$C$4,$C$7)</f>
        <v>35</v>
      </c>
      <c r="X33" s="764">
        <f ca="1">_xll.VAData($C$3,X$8,$C33,X$10,$C$5,$C$4,$C$7)</f>
        <v>35</v>
      </c>
      <c r="Y33" s="764">
        <f ca="1">_xll.VAData($C$3,Y$8,$C33,Y$10,$C$5,$C$4,$C$7)</f>
        <v>35</v>
      </c>
      <c r="Z33" s="764">
        <f ca="1">_xll.VAData($C$3,Z$8,$C33,Z$10,$C$5,$C$4,$C$7)</f>
        <v>35</v>
      </c>
      <c r="AA33" s="764">
        <f ca="1">_xll.VAData($C$3,AA$8,$C33,AA$10,$C$5,$C$4,$C$7)</f>
        <v>35</v>
      </c>
    </row>
    <row r="34" spans="2:27" ht="12.75" customHeight="1" x14ac:dyDescent="0.35">
      <c r="B34" s="762" t="s">
        <v>554</v>
      </c>
      <c r="C34" s="1073" t="s">
        <v>553</v>
      </c>
      <c r="D34" s="762" t="s">
        <v>548</v>
      </c>
      <c r="E34" s="764" t="str">
        <f ca="1">_xll.VAData($C$3,E$8,$C34,E$10,$C$5,$C$4,$C$7)</f>
        <v>-</v>
      </c>
      <c r="F34" s="764" t="str">
        <f ca="1">_xll.VAData($C$3,F$8,$C34,F$10,$C$5,$C$4,$C$7)</f>
        <v>-</v>
      </c>
      <c r="G34" s="764" t="str">
        <f ca="1">_xll.VAData($C$3,G$8,$C34,G$10,$C$5,$C$4,$C$7)</f>
        <v>-</v>
      </c>
      <c r="H34" s="764" t="str">
        <f ca="1">_xll.VAData($C$3,H$8,$C34,H$10,$C$5,$C$4,$C$7)</f>
        <v>-</v>
      </c>
      <c r="I34" s="764">
        <f ca="1">_xll.VAData($C$3,I$8,$C34,I$10,$C$5,$C$4,$C$7)</f>
        <v>1412735.7746325</v>
      </c>
      <c r="J34" s="764" t="str">
        <f ca="1">_xll.VAData($C$3,J$8,$C34,J$10,$C$5,$C$4,$C$7)</f>
        <v>-</v>
      </c>
      <c r="K34" s="764" t="str">
        <f ca="1">_xll.VAData($C$3,K$8,$C34,K$10,$C$5,$C$4,$C$7)</f>
        <v>-</v>
      </c>
      <c r="L34" s="764" t="str">
        <f ca="1">_xll.VAData($C$3,L$8,$C34,L$10,$C$5,$C$4,$C$7)</f>
        <v>-</v>
      </c>
      <c r="M34" s="764" t="str">
        <f ca="1">_xll.VAData($C$3,M$8,$C34,M$10,$C$5,$C$4,$C$7)</f>
        <v>-</v>
      </c>
      <c r="N34" s="764">
        <f ca="1">_xll.VAData($C$3,N$8,$C34,N$10,$C$5,$C$4,$C$7)</f>
        <v>1425442.1826709874</v>
      </c>
      <c r="O34" s="764" t="str">
        <f ca="1">_xll.VAData($C$3,O$8,$C34,O$10,$C$5,$C$4,$C$7)</f>
        <v>-</v>
      </c>
      <c r="P34" s="764" t="str">
        <f ca="1">_xll.VAData($C$3,P$8,$C34,P$10,$C$5,$C$4,$C$7)</f>
        <v>-</v>
      </c>
      <c r="Q34" s="764" t="str">
        <f ca="1">_xll.VAData($C$3,Q$8,$C34,Q$10,$C$5,$C$4,$C$7)</f>
        <v>-</v>
      </c>
      <c r="R34" s="764" t="str">
        <f ca="1">_xll.VAData($C$3,R$8,$C34,R$10,$C$5,$C$4,$C$7)</f>
        <v>-</v>
      </c>
      <c r="S34" s="764">
        <f ca="1">_xll.VAData($C$3,S$8,$C34,S$10,$C$5,$C$4,$C$7)</f>
        <v>1438318.9296509326</v>
      </c>
      <c r="T34" s="764">
        <f ca="1">_xll.VAData($C$3,T$8,$C34,T$10,$C$5,$C$4,$C$7)</f>
        <v>1451368.7209783155</v>
      </c>
      <c r="U34" s="764">
        <f ca="1">_xll.VAData($C$3,U$8,$C34,U$10,$C$5,$C$4,$C$7)</f>
        <v>1464594.3082322646</v>
      </c>
      <c r="V34" s="764">
        <f ca="1">_xll.VAData($C$3,V$8,$C34,V$10,$C$5,$C$4,$C$7)</f>
        <v>1477998.4899822171</v>
      </c>
      <c r="W34" s="764">
        <f ca="1">_xll.VAData($C$3,W$8,$C34,W$10,$C$5,$C$4,$C$7)</f>
        <v>1491584.1126199209</v>
      </c>
      <c r="X34" s="764">
        <f ca="1">_xll.VAData($C$3,X$8,$C34,X$10,$C$5,$C$4,$C$7)</f>
        <v>1505354.0712065019</v>
      </c>
      <c r="Y34" s="764">
        <f ca="1">_xll.VAData($C$3,Y$8,$C34,Y$10,$C$5,$C$4,$C$7)</f>
        <v>1519311.3103349011</v>
      </c>
      <c r="Z34" s="764">
        <f ca="1">_xll.VAData($C$3,Z$8,$C34,Z$10,$C$5,$C$4,$C$7)</f>
        <v>1533458.8250079574</v>
      </c>
      <c r="AA34" s="764">
        <f ca="1">_xll.VAData($C$3,AA$8,$C34,AA$10,$C$5,$C$4,$C$7)</f>
        <v>1547799.6615324528</v>
      </c>
    </row>
    <row r="35" spans="2:27" ht="12.75" customHeight="1" x14ac:dyDescent="0.35">
      <c r="B35" s="762" t="s">
        <v>552</v>
      </c>
      <c r="C35" s="1072" t="s">
        <v>551</v>
      </c>
      <c r="D35" s="762" t="s">
        <v>312</v>
      </c>
      <c r="E35" s="764" t="str">
        <f ca="1">_xll.VAData($C$3,E$8,$C35,E$10,$C$5,$C$4,$C$7)</f>
        <v>-</v>
      </c>
      <c r="F35" s="764" t="str">
        <f ca="1">_xll.VAData($C$3,F$8,$C35,F$10,$C$5,$C$4,$C$7)</f>
        <v>-</v>
      </c>
      <c r="G35" s="764" t="str">
        <f ca="1">_xll.VAData($C$3,G$8,$C35,G$10,$C$5,$C$4,$C$7)</f>
        <v>-</v>
      </c>
      <c r="H35" s="764" t="str">
        <f ca="1">_xll.VAData($C$3,H$8,$C35,H$10,$C$5,$C$4,$C$7)</f>
        <v>-</v>
      </c>
      <c r="I35" s="764" t="str">
        <f ca="1">_xll.VAData($C$3,I$8,$C35,I$10,$C$5,$C$4,$C$7)</f>
        <v>-</v>
      </c>
      <c r="J35" s="764" t="str">
        <f ca="1">_xll.VAData($C$3,J$8,$C35,J$10,$C$5,$C$4,$C$7)</f>
        <v>-</v>
      </c>
      <c r="K35" s="764" t="str">
        <f ca="1">_xll.VAData($C$3,K$8,$C35,K$10,$C$5,$C$4,$C$7)</f>
        <v>-</v>
      </c>
      <c r="L35" s="764" t="str">
        <f ca="1">_xll.VAData($C$3,L$8,$C35,L$10,$C$5,$C$4,$C$7)</f>
        <v>-</v>
      </c>
      <c r="M35" s="764" t="str">
        <f ca="1">_xll.VAData($C$3,M$8,$C35,M$10,$C$5,$C$4,$C$7)</f>
        <v>-</v>
      </c>
      <c r="N35" s="764" t="str">
        <f ca="1">_xll.VAData($C$3,N$8,$C35,N$10,$C$5,$C$4,$C$7)</f>
        <v>-</v>
      </c>
      <c r="O35" s="764" t="str">
        <f ca="1">_xll.VAData($C$3,O$8,$C35,O$10,$C$5,$C$4,$C$7)</f>
        <v>-</v>
      </c>
      <c r="P35" s="764" t="str">
        <f ca="1">_xll.VAData($C$3,P$8,$C35,P$10,$C$5,$C$4,$C$7)</f>
        <v>-</v>
      </c>
      <c r="Q35" s="764" t="str">
        <f ca="1">_xll.VAData($C$3,Q$8,$C35,Q$10,$C$5,$C$4,$C$7)</f>
        <v>-</v>
      </c>
      <c r="R35" s="764" t="str">
        <f ca="1">_xll.VAData($C$3,R$8,$C35,R$10,$C$5,$C$4,$C$7)</f>
        <v>-</v>
      </c>
      <c r="S35" s="764" t="str">
        <f ca="1">_xll.VAData($C$3,S$8,$C35,S$10,$C$5,$C$4,$C$7)</f>
        <v>-</v>
      </c>
      <c r="T35" s="764" t="str">
        <f ca="1">_xll.VAData($C$3,T$8,$C35,T$10,$C$5,$C$4,$C$7)</f>
        <v>-</v>
      </c>
      <c r="U35" s="764" t="str">
        <f ca="1">_xll.VAData($C$3,U$8,$C35,U$10,$C$5,$C$4,$C$7)</f>
        <v>-</v>
      </c>
      <c r="V35" s="764">
        <f ca="1">_xll.VAData($C$3,V$8,$C35,V$10,$C$5,$C$4,$C$7)</f>
        <v>0.5</v>
      </c>
      <c r="W35" s="764">
        <f ca="1">_xll.VAData($C$3,W$8,$C35,W$10,$C$5,$C$4,$C$7)</f>
        <v>0.67500000000000004</v>
      </c>
      <c r="X35" s="764">
        <f ca="1">_xll.VAData($C$3,X$8,$C35,X$10,$C$5,$C$4,$C$7)</f>
        <v>1.2250000000000001</v>
      </c>
      <c r="Y35" s="764">
        <f ca="1">_xll.VAData($C$3,Y$8,$C35,Y$10,$C$5,$C$4,$C$7)</f>
        <v>2.7124999999999999</v>
      </c>
      <c r="Z35" s="764">
        <f ca="1">_xll.VAData($C$3,Z$8,$C35,Z$10,$C$5,$C$4,$C$7)</f>
        <v>4.2750000000000004</v>
      </c>
      <c r="AA35" s="764">
        <f ca="1">_xll.VAData($C$3,AA$8,$C35,AA$10,$C$5,$C$4,$C$7)</f>
        <v>5.5625</v>
      </c>
    </row>
    <row r="36" spans="2:27" ht="12.75" customHeight="1" x14ac:dyDescent="0.35">
      <c r="B36" s="762" t="s">
        <v>550</v>
      </c>
      <c r="C36" s="1071" t="s">
        <v>549</v>
      </c>
      <c r="D36" s="762" t="s">
        <v>548</v>
      </c>
      <c r="E36" s="764" t="str">
        <f ca="1">_xll.VAData($C$3,E$8,$C36,E$10,$C$5,$C$4,$C$7)</f>
        <v>-</v>
      </c>
      <c r="F36" s="764" t="str">
        <f ca="1">_xll.VAData($C$3,F$8,$C36,F$10,$C$5,$C$4,$C$7)</f>
        <v>-</v>
      </c>
      <c r="G36" s="764" t="str">
        <f ca="1">_xll.VAData($C$3,G$8,$C36,G$10,$C$5,$C$4,$C$7)</f>
        <v>-</v>
      </c>
      <c r="H36" s="764" t="str">
        <f ca="1">_xll.VAData($C$3,H$8,$C36,H$10,$C$5,$C$4,$C$7)</f>
        <v>-</v>
      </c>
      <c r="I36" s="764" t="str">
        <f ca="1">_xll.VAData($C$3,I$8,$C36,I$10,$C$5,$C$4,$C$7)</f>
        <v>-</v>
      </c>
      <c r="J36" s="764" t="str">
        <f ca="1">_xll.VAData($C$3,J$8,$C36,J$10,$C$5,$C$4,$C$7)</f>
        <v>-</v>
      </c>
      <c r="K36" s="764" t="str">
        <f ca="1">_xll.VAData($C$3,K$8,$C36,K$10,$C$5,$C$4,$C$7)</f>
        <v>-</v>
      </c>
      <c r="L36" s="764" t="str">
        <f ca="1">_xll.VAData($C$3,L$8,$C36,L$10,$C$5,$C$4,$C$7)</f>
        <v>-</v>
      </c>
      <c r="M36" s="764" t="str">
        <f ca="1">_xll.VAData($C$3,M$8,$C36,M$10,$C$5,$C$4,$C$7)</f>
        <v>-</v>
      </c>
      <c r="N36" s="764" t="str">
        <f ca="1">_xll.VAData($C$3,N$8,$C36,N$10,$C$5,$C$4,$C$7)</f>
        <v>-</v>
      </c>
      <c r="O36" s="764" t="str">
        <f ca="1">_xll.VAData($C$3,O$8,$C36,O$10,$C$5,$C$4,$C$7)</f>
        <v>-</v>
      </c>
      <c r="P36" s="764" t="str">
        <f ca="1">_xll.VAData($C$3,P$8,$C36,P$10,$C$5,$C$4,$C$7)</f>
        <v>-</v>
      </c>
      <c r="Q36" s="764" t="str">
        <f ca="1">_xll.VAData($C$3,Q$8,$C36,Q$10,$C$5,$C$4,$C$7)</f>
        <v>-</v>
      </c>
      <c r="R36" s="764" t="str">
        <f ca="1">_xll.VAData($C$3,R$8,$C36,R$10,$C$5,$C$4,$C$7)</f>
        <v>-</v>
      </c>
      <c r="S36" s="764" t="str">
        <f ca="1">_xll.VAData($C$3,S$8,$C36,S$10,$C$5,$C$4,$C$7)</f>
        <v>-</v>
      </c>
      <c r="T36" s="764" t="str">
        <f ca="1">_xll.VAData($C$3,T$8,$C36,T$10,$C$5,$C$4,$C$7)</f>
        <v>-</v>
      </c>
      <c r="U36" s="764" t="str">
        <f ca="1">_xll.VAData($C$3,U$8,$C36,U$10,$C$5,$C$4,$C$7)</f>
        <v>-</v>
      </c>
      <c r="V36" s="764">
        <f ca="1">_xll.VAData($C$3,V$8,$C36,V$10,$C$5,$C$4,$C$7)</f>
        <v>8506.8214169331004</v>
      </c>
      <c r="W36" s="764">
        <f ca="1">_xll.VAData($C$3,W$8,$C36,W$10,$C$5,$C$4,$C$7)</f>
        <v>12187.577111593961</v>
      </c>
      <c r="X36" s="764">
        <f ca="1">_xll.VAData($C$3,X$8,$C36,X$10,$C$5,$C$4,$C$7)</f>
        <v>16173.244264305815</v>
      </c>
      <c r="Y36" s="764">
        <f ca="1">_xll.VAData($C$3,Y$8,$C36,Y$10,$C$5,$C$4,$C$7)</f>
        <v>31022.850061791309</v>
      </c>
      <c r="Z36" s="764">
        <f ca="1">_xll.VAData($C$3,Z$8,$C36,Z$10,$C$5,$C$4,$C$7)</f>
        <v>46847.714690996421</v>
      </c>
      <c r="AA36" s="764">
        <f ca="1">_xll.VAData($C$3,AA$8,$C36,AA$10,$C$5,$C$4,$C$7)</f>
        <v>60970.31982544042</v>
      </c>
    </row>
    <row r="37" spans="2:27" ht="12.75" customHeight="1" x14ac:dyDescent="0.35">
      <c r="B37" s="762" t="s">
        <v>547</v>
      </c>
      <c r="C37" s="1072" t="s">
        <v>546</v>
      </c>
      <c r="D37" s="762" t="s">
        <v>541</v>
      </c>
      <c r="E37" s="764" t="str">
        <f ca="1">_xll.VAData($C$3,E$8,$C37,E$10,$C$5,$C$4,$C$7)</f>
        <v>-</v>
      </c>
      <c r="F37" s="764" t="str">
        <f ca="1">_xll.VAData($C$3,F$8,$C37,F$10,$C$5,$C$4,$C$7)</f>
        <v>-</v>
      </c>
      <c r="G37" s="764" t="str">
        <f ca="1">_xll.VAData($C$3,G$8,$C37,G$10,$C$5,$C$4,$C$7)</f>
        <v>-</v>
      </c>
      <c r="H37" s="764" t="str">
        <f ca="1">_xll.VAData($C$3,H$8,$C37,H$10,$C$5,$C$4,$C$7)</f>
        <v>-</v>
      </c>
      <c r="I37" s="764" t="str">
        <f ca="1">_xll.VAData($C$3,I$8,$C37,I$10,$C$5,$C$4,$C$7)</f>
        <v>-</v>
      </c>
      <c r="J37" s="764" t="str">
        <f ca="1">_xll.VAData($C$3,J$8,$C37,J$10,$C$5,$C$4,$C$7)</f>
        <v>-</v>
      </c>
      <c r="K37" s="764" t="str">
        <f ca="1">_xll.VAData($C$3,K$8,$C37,K$10,$C$5,$C$4,$C$7)</f>
        <v>-</v>
      </c>
      <c r="L37" s="764" t="str">
        <f ca="1">_xll.VAData($C$3,L$8,$C37,L$10,$C$5,$C$4,$C$7)</f>
        <v>-</v>
      </c>
      <c r="M37" s="764" t="str">
        <f ca="1">_xll.VAData($C$3,M$8,$C37,M$10,$C$5,$C$4,$C$7)</f>
        <v>-</v>
      </c>
      <c r="N37" s="764" t="str">
        <f ca="1">_xll.VAData($C$3,N$8,$C37,N$10,$C$5,$C$4,$C$7)</f>
        <v>-</v>
      </c>
      <c r="O37" s="764" t="str">
        <f ca="1">_xll.VAData($C$3,O$8,$C37,O$10,$C$5,$C$4,$C$7)</f>
        <v>-</v>
      </c>
      <c r="P37" s="764" t="str">
        <f ca="1">_xll.VAData($C$3,P$8,$C37,P$10,$C$5,$C$4,$C$7)</f>
        <v>-</v>
      </c>
      <c r="Q37" s="764" t="str">
        <f ca="1">_xll.VAData($C$3,Q$8,$C37,Q$10,$C$5,$C$4,$C$7)</f>
        <v>-</v>
      </c>
      <c r="R37" s="764" t="str">
        <f ca="1">_xll.VAData($C$3,R$8,$C37,R$10,$C$5,$C$4,$C$7)</f>
        <v>-</v>
      </c>
      <c r="S37" s="764" t="str">
        <f ca="1">_xll.VAData($C$3,S$8,$C37,S$10,$C$5,$C$4,$C$7)</f>
        <v>-</v>
      </c>
      <c r="T37" s="764" t="str">
        <f ca="1">_xll.VAData($C$3,T$8,$C37,T$10,$C$5,$C$4,$C$7)</f>
        <v>-</v>
      </c>
      <c r="U37" s="764" t="str">
        <f ca="1">_xll.VAData($C$3,U$8,$C37,U$10,$C$5,$C$4,$C$7)</f>
        <v>-</v>
      </c>
      <c r="V37" s="764">
        <f ca="1">_xll.VAData($C$3,V$8,$C37,V$10,$C$5,$C$4,$C$7)</f>
        <v>23860</v>
      </c>
      <c r="W37" s="764">
        <f ca="1">_xll.VAData($C$3,W$8,$C37,W$10,$C$5,$C$4,$C$7)</f>
        <v>24230.799999999999</v>
      </c>
      <c r="X37" s="764">
        <f ca="1">_xll.VAData($C$3,X$8,$C37,X$10,$C$5,$C$4,$C$7)</f>
        <v>25086.737000000001</v>
      </c>
      <c r="Y37" s="764">
        <f ca="1">_xll.VAData($C$3,Y$8,$C37,Y$10,$C$5,$C$4,$C$7)</f>
        <v>25742.446609999999</v>
      </c>
      <c r="Z37" s="764">
        <f ca="1">_xll.VAData($C$3,Z$8,$C37,Z$10,$C$5,$C$4,$C$7)</f>
        <v>26423.407883299999</v>
      </c>
      <c r="AA37" s="764">
        <f ca="1">_xll.VAData($C$3,AA$8,$C37,AA$10,$C$5,$C$4,$C$7)</f>
        <v>27130.693388549</v>
      </c>
    </row>
    <row r="38" spans="2:27" ht="12.75" customHeight="1" x14ac:dyDescent="0.35">
      <c r="B38" s="762" t="s">
        <v>545</v>
      </c>
      <c r="C38" s="1072" t="s">
        <v>544</v>
      </c>
      <c r="D38" s="762" t="s">
        <v>312</v>
      </c>
      <c r="E38" s="764" t="str">
        <f ca="1">_xll.VAData($C$3,E$8,$C38,E$10,$C$5,$C$4,$C$7)</f>
        <v>-</v>
      </c>
      <c r="F38" s="764" t="str">
        <f ca="1">_xll.VAData($C$3,F$8,$C38,F$10,$C$5,$C$4,$C$7)</f>
        <v>-</v>
      </c>
      <c r="G38" s="764" t="str">
        <f ca="1">_xll.VAData($C$3,G$8,$C38,G$10,$C$5,$C$4,$C$7)</f>
        <v>-</v>
      </c>
      <c r="H38" s="764" t="str">
        <f ca="1">_xll.VAData($C$3,H$8,$C38,H$10,$C$5,$C$4,$C$7)</f>
        <v>-</v>
      </c>
      <c r="I38" s="764">
        <f ca="1">_xll.VAData($C$3,I$8,$C38,I$10,$C$5,$C$4,$C$7)</f>
        <v>40</v>
      </c>
      <c r="J38" s="764" t="str">
        <f ca="1">_xll.VAData($C$3,J$8,$C38,J$10,$C$5,$C$4,$C$7)</f>
        <v>-</v>
      </c>
      <c r="K38" s="764" t="str">
        <f ca="1">_xll.VAData($C$3,K$8,$C38,K$10,$C$5,$C$4,$C$7)</f>
        <v>-</v>
      </c>
      <c r="L38" s="764" t="str">
        <f ca="1">_xll.VAData($C$3,L$8,$C38,L$10,$C$5,$C$4,$C$7)</f>
        <v>-</v>
      </c>
      <c r="M38" s="764" t="str">
        <f ca="1">_xll.VAData($C$3,M$8,$C38,M$10,$C$5,$C$4,$C$7)</f>
        <v>-</v>
      </c>
      <c r="N38" s="764">
        <f ca="1">_xll.VAData($C$3,N$8,$C38,N$10,$C$5,$C$4,$C$7)</f>
        <v>40</v>
      </c>
      <c r="O38" s="764" t="str">
        <f ca="1">_xll.VAData($C$3,O$8,$C38,O$10,$C$5,$C$4,$C$7)</f>
        <v>-</v>
      </c>
      <c r="P38" s="764" t="str">
        <f ca="1">_xll.VAData($C$3,P$8,$C38,P$10,$C$5,$C$4,$C$7)</f>
        <v>-</v>
      </c>
      <c r="Q38" s="764" t="str">
        <f ca="1">_xll.VAData($C$3,Q$8,$C38,Q$10,$C$5,$C$4,$C$7)</f>
        <v>-</v>
      </c>
      <c r="R38" s="764" t="str">
        <f ca="1">_xll.VAData($C$3,R$8,$C38,R$10,$C$5,$C$4,$C$7)</f>
        <v>-</v>
      </c>
      <c r="S38" s="764">
        <f ca="1">_xll.VAData($C$3,S$8,$C38,S$10,$C$5,$C$4,$C$7)</f>
        <v>40</v>
      </c>
      <c r="T38" s="764">
        <f ca="1">_xll.VAData($C$3,T$8,$C38,T$10,$C$5,$C$4,$C$7)</f>
        <v>40</v>
      </c>
      <c r="U38" s="764">
        <f ca="1">_xll.VAData($C$3,U$8,$C38,U$10,$C$5,$C$4,$C$7)</f>
        <v>40</v>
      </c>
      <c r="V38" s="764">
        <f ca="1">_xll.VAData($C$3,V$8,$C38,V$10,$C$5,$C$4,$C$7)</f>
        <v>30.166666666666668</v>
      </c>
      <c r="W38" s="764">
        <f ca="1">_xll.VAData($C$3,W$8,$C38,W$10,$C$5,$C$4,$C$7)</f>
        <v>30.666666666666668</v>
      </c>
      <c r="X38" s="764">
        <f ca="1">_xll.VAData($C$3,X$8,$C38,X$10,$C$5,$C$4,$C$7)</f>
        <v>31.166666666666668</v>
      </c>
      <c r="Y38" s="764">
        <f ca="1">_xll.VAData($C$3,Y$8,$C38,Y$10,$C$5,$C$4,$C$7)</f>
        <v>31.666666666666668</v>
      </c>
      <c r="Z38" s="764">
        <f ca="1">_xll.VAData($C$3,Z$8,$C38,Z$10,$C$5,$C$4,$C$7)</f>
        <v>32.166666666666664</v>
      </c>
      <c r="AA38" s="764">
        <f ca="1">_xll.VAData($C$3,AA$8,$C38,AA$10,$C$5,$C$4,$C$7)</f>
        <v>32.666666666666664</v>
      </c>
    </row>
    <row r="39" spans="2:27" ht="12.75" customHeight="1" x14ac:dyDescent="0.35">
      <c r="B39" s="762" t="s">
        <v>543</v>
      </c>
      <c r="C39" s="1071" t="s">
        <v>542</v>
      </c>
      <c r="D39" s="762" t="s">
        <v>541</v>
      </c>
      <c r="E39" s="764" t="str">
        <f ca="1">_xll.VAData($C$3,E$8,$C39,E$10,$C$5,$C$4,$C$7)</f>
        <v>-</v>
      </c>
      <c r="F39" s="764" t="str">
        <f ca="1">_xll.VAData($C$3,F$8,$C39,F$10,$C$5,$C$4,$C$7)</f>
        <v>-</v>
      </c>
      <c r="G39" s="764" t="str">
        <f ca="1">_xll.VAData($C$3,G$8,$C39,G$10,$C$5,$C$4,$C$7)</f>
        <v>-</v>
      </c>
      <c r="H39" s="764" t="str">
        <f ca="1">_xll.VAData($C$3,H$8,$C39,H$10,$C$5,$C$4,$C$7)</f>
        <v>-</v>
      </c>
      <c r="I39" s="764" t="str">
        <f ca="1">_xll.VAData($C$3,I$8,$C39,I$10,$C$5,$C$4,$C$7)</f>
        <v>-</v>
      </c>
      <c r="J39" s="764" t="str">
        <f ca="1">_xll.VAData($C$3,J$8,$C39,J$10,$C$5,$C$4,$C$7)</f>
        <v>-</v>
      </c>
      <c r="K39" s="764" t="str">
        <f ca="1">_xll.VAData($C$3,K$8,$C39,K$10,$C$5,$C$4,$C$7)</f>
        <v>-</v>
      </c>
      <c r="L39" s="764" t="str">
        <f ca="1">_xll.VAData($C$3,L$8,$C39,L$10,$C$5,$C$4,$C$7)</f>
        <v>-</v>
      </c>
      <c r="M39" s="764" t="str">
        <f ca="1">_xll.VAData($C$3,M$8,$C39,M$10,$C$5,$C$4,$C$7)</f>
        <v>-</v>
      </c>
      <c r="N39" s="764" t="str">
        <f ca="1">_xll.VAData($C$3,N$8,$C39,N$10,$C$5,$C$4,$C$7)</f>
        <v>-</v>
      </c>
      <c r="O39" s="764" t="str">
        <f ca="1">_xll.VAData($C$3,O$8,$C39,O$10,$C$5,$C$4,$C$7)</f>
        <v>-</v>
      </c>
      <c r="P39" s="764" t="str">
        <f ca="1">_xll.VAData($C$3,P$8,$C39,P$10,$C$5,$C$4,$C$7)</f>
        <v>-</v>
      </c>
      <c r="Q39" s="764" t="str">
        <f ca="1">_xll.VAData($C$3,Q$8,$C39,Q$10,$C$5,$C$4,$C$7)</f>
        <v>-</v>
      </c>
      <c r="R39" s="764" t="str">
        <f ca="1">_xll.VAData($C$3,R$8,$C39,R$10,$C$5,$C$4,$C$7)</f>
        <v>-</v>
      </c>
      <c r="S39" s="764" t="str">
        <f ca="1">_xll.VAData($C$3,S$8,$C39,S$10,$C$5,$C$4,$C$7)</f>
        <v>-</v>
      </c>
      <c r="T39" s="764" t="str">
        <f ca="1">_xll.VAData($C$3,T$8,$C39,T$10,$C$5,$C$4,$C$7)</f>
        <v>-</v>
      </c>
      <c r="U39" s="764" t="str">
        <f ca="1">_xll.VAData($C$3,U$8,$C39,U$10,$C$5,$C$4,$C$7)</f>
        <v>-</v>
      </c>
      <c r="V39" s="764">
        <f ca="1">_xll.VAData($C$3,V$8,$C39,V$10,$C$5,$C$4,$C$7)</f>
        <v>17833.2</v>
      </c>
      <c r="W39" s="764">
        <f ca="1">_xll.VAData($C$3,W$8,$C39,W$10,$C$5,$C$4,$C$7)</f>
        <v>17930.792000000001</v>
      </c>
      <c r="X39" s="764">
        <f ca="1">_xll.VAData($C$3,X$8,$C39,X$10,$C$5,$C$4,$C$7)</f>
        <v>19396.801069999998</v>
      </c>
      <c r="Y39" s="764">
        <f ca="1">_xll.VAData($C$3,Y$8,$C39,Y$10,$C$5,$C$4,$C$7)</f>
        <v>19861.1223378</v>
      </c>
      <c r="Z39" s="764">
        <f ca="1">_xll.VAData($C$3,Z$8,$C39,Z$10,$C$5,$C$4,$C$7)</f>
        <v>20346.145660704999</v>
      </c>
      <c r="AA39" s="764">
        <f ca="1">_xll.VAData($C$3,AA$8,$C39,AA$10,$C$5,$C$4,$C$7)</f>
        <v>20852.786330380273</v>
      </c>
    </row>
    <row r="40" spans="2:27" ht="12.75" customHeight="1" x14ac:dyDescent="0.35">
      <c r="B40" s="762" t="s">
        <v>540</v>
      </c>
      <c r="C40" s="1070" t="s">
        <v>539</v>
      </c>
      <c r="D40" s="762" t="s">
        <v>313</v>
      </c>
      <c r="E40" s="764" t="str">
        <f ca="1">_xll.VAData($C$3,E$8,$C40,E$10,$C$5,$C$4,$C$7)</f>
        <v>-</v>
      </c>
      <c r="F40" s="764" t="str">
        <f ca="1">_xll.VAData($C$3,F$8,$C40,F$10,$C$5,$C$4,$C$7)</f>
        <v>-</v>
      </c>
      <c r="G40" s="764" t="str">
        <f ca="1">_xll.VAData($C$3,G$8,$C40,G$10,$C$5,$C$4,$C$7)</f>
        <v>-</v>
      </c>
      <c r="H40" s="764" t="str">
        <f ca="1">_xll.VAData($C$3,H$8,$C40,H$10,$C$5,$C$4,$C$7)</f>
        <v>-</v>
      </c>
      <c r="I40" s="764">
        <f ca="1">_xll.VAData($C$3,I$8,$C40,I$10,$C$5,$C$4,$C$7)</f>
        <v>0</v>
      </c>
      <c r="J40" s="764" t="str">
        <f ca="1">_xll.VAData($C$3,J$8,$C40,J$10,$C$5,$C$4,$C$7)</f>
        <v>-</v>
      </c>
      <c r="K40" s="764" t="str">
        <f ca="1">_xll.VAData($C$3,K$8,$C40,K$10,$C$5,$C$4,$C$7)</f>
        <v>-</v>
      </c>
      <c r="L40" s="764" t="str">
        <f ca="1">_xll.VAData($C$3,L$8,$C40,L$10,$C$5,$C$4,$C$7)</f>
        <v>-</v>
      </c>
      <c r="M40" s="764" t="str">
        <f ca="1">_xll.VAData($C$3,M$8,$C40,M$10,$C$5,$C$4,$C$7)</f>
        <v>-</v>
      </c>
      <c r="N40" s="764">
        <f ca="1">_xll.VAData($C$3,N$8,$C40,N$10,$C$5,$C$4,$C$7)</f>
        <v>0</v>
      </c>
      <c r="O40" s="764" t="str">
        <f ca="1">_xll.VAData($C$3,O$8,$C40,O$10,$C$5,$C$4,$C$7)</f>
        <v>-</v>
      </c>
      <c r="P40" s="764" t="str">
        <f ca="1">_xll.VAData($C$3,P$8,$C40,P$10,$C$5,$C$4,$C$7)</f>
        <v>-</v>
      </c>
      <c r="Q40" s="764" t="str">
        <f ca="1">_xll.VAData($C$3,Q$8,$C40,Q$10,$C$5,$C$4,$C$7)</f>
        <v>-</v>
      </c>
      <c r="R40" s="764" t="str">
        <f ca="1">_xll.VAData($C$3,R$8,$C40,R$10,$C$5,$C$4,$C$7)</f>
        <v>-</v>
      </c>
      <c r="S40" s="764">
        <f ca="1">_xll.VAData($C$3,S$8,$C40,S$10,$C$5,$C$4,$C$7)</f>
        <v>0</v>
      </c>
      <c r="T40" s="764">
        <f ca="1">_xll.VAData($C$3,T$8,$C40,T$10,$C$5,$C$4,$C$7)</f>
        <v>0</v>
      </c>
      <c r="U40" s="764">
        <f ca="1">_xll.VAData($C$3,U$8,$C40,U$10,$C$5,$C$4,$C$7)</f>
        <v>0</v>
      </c>
      <c r="V40" s="764">
        <f ca="1">_xll.VAData($C$3,V$8,$C40,V$10,$C$5,$C$4,$C$7)</f>
        <v>31.333005188561401</v>
      </c>
      <c r="W40" s="764">
        <f ca="1">_xll.VAData($C$3,W$8,$C40,W$10,$C$5,$C$4,$C$7)</f>
        <v>72.874931262691817</v>
      </c>
      <c r="X40" s="764">
        <f ca="1">_xll.VAData($C$3,X$8,$C40,X$10,$C$5,$C$4,$C$7)</f>
        <v>205.38141128563623</v>
      </c>
      <c r="Y40" s="764">
        <f ca="1">_xll.VAData($C$3,Y$8,$C40,Y$10,$C$5,$C$4,$C$7)</f>
        <v>388.60214669754652</v>
      </c>
      <c r="Z40" s="764">
        <f ca="1">_xll.VAData($C$3,Z$8,$C40,Z$10,$C$5,$C$4,$C$7)</f>
        <v>592.28238081247923</v>
      </c>
      <c r="AA40" s="764">
        <f ca="1">_xll.VAData($C$3,AA$8,$C40,AA$10,$C$5,$C$4,$C$7)</f>
        <v>786.41443470443903</v>
      </c>
    </row>
    <row r="41" spans="2:27" ht="12.75" customHeight="1" x14ac:dyDescent="0.35">
      <c r="B41" s="762" t="s">
        <v>538</v>
      </c>
      <c r="C41" s="769" t="s">
        <v>537</v>
      </c>
      <c r="D41" s="762" t="s">
        <v>312</v>
      </c>
      <c r="E41" s="764" t="str">
        <f ca="1">_xll.VAData($C$3,E$8,$C41,E$10,$C$5,$C$4,$C$7)</f>
        <v>-</v>
      </c>
      <c r="F41" s="764" t="str">
        <f ca="1">_xll.VAData($C$3,F$8,$C41,F$10,$C$5,$C$4,$C$7)</f>
        <v>-</v>
      </c>
      <c r="G41" s="764" t="str">
        <f ca="1">_xll.VAData($C$3,G$8,$C41,G$10,$C$5,$C$4,$C$7)</f>
        <v>-</v>
      </c>
      <c r="H41" s="764" t="str">
        <f ca="1">_xll.VAData($C$3,H$8,$C41,H$10,$C$5,$C$4,$C$7)</f>
        <v>-</v>
      </c>
      <c r="I41" s="764" t="str">
        <f ca="1">_xll.VAData($C$3,I$8,$C41,I$10,$C$5,$C$4,$C$7)</f>
        <v>-</v>
      </c>
      <c r="J41" s="764">
        <f ca="1">_xll.VAData($C$3,J$8,$C41,J$10,$C$5,$C$4,$C$7)</f>
        <v>30</v>
      </c>
      <c r="K41" s="764">
        <f ca="1">_xll.VAData($C$3,K$8,$C41,K$10,$C$5,$C$4,$C$7)</f>
        <v>30</v>
      </c>
      <c r="L41" s="764">
        <f ca="1">_xll.VAData($C$3,L$8,$C41,L$10,$C$5,$C$4,$C$7)</f>
        <v>30</v>
      </c>
      <c r="M41" s="764">
        <f ca="1">_xll.VAData($C$3,M$8,$C41,M$10,$C$5,$C$4,$C$7)</f>
        <v>30</v>
      </c>
      <c r="N41" s="764">
        <f ca="1">_xll.VAData($C$3,N$8,$C41,N$10,$C$5,$C$4,$C$7)</f>
        <v>30</v>
      </c>
      <c r="O41" s="764">
        <f ca="1">_xll.VAData($C$3,O$8,$C41,O$10,$C$5,$C$4,$C$7)</f>
        <v>30</v>
      </c>
      <c r="P41" s="764">
        <f ca="1">_xll.VAData($C$3,P$8,$C41,P$10,$C$5,$C$4,$C$7)</f>
        <v>30</v>
      </c>
      <c r="Q41" s="764">
        <f ca="1">_xll.VAData($C$3,Q$8,$C41,Q$10,$C$5,$C$4,$C$7)</f>
        <v>30</v>
      </c>
      <c r="R41" s="764">
        <f ca="1">_xll.VAData($C$3,R$8,$C41,R$10,$C$5,$C$4,$C$7)</f>
        <v>30</v>
      </c>
      <c r="S41" s="764">
        <f ca="1">_xll.VAData($C$3,S$8,$C41,S$10,$C$5,$C$4,$C$7)</f>
        <v>30</v>
      </c>
      <c r="T41" s="764">
        <f ca="1">_xll.VAData($C$3,T$8,$C41,T$10,$C$5,$C$4,$C$7)</f>
        <v>30</v>
      </c>
      <c r="U41" s="764">
        <f ca="1">_xll.VAData($C$3,U$8,$C41,U$10,$C$5,$C$4,$C$7)</f>
        <v>30</v>
      </c>
      <c r="V41" s="764">
        <f ca="1">_xll.VAData($C$3,V$8,$C41,V$10,$C$5,$C$4,$C$7)</f>
        <v>30</v>
      </c>
      <c r="W41" s="764">
        <f ca="1">_xll.VAData($C$3,W$8,$C41,W$10,$C$5,$C$4,$C$7)</f>
        <v>30</v>
      </c>
      <c r="X41" s="764">
        <f ca="1">_xll.VAData($C$3,X$8,$C41,X$10,$C$5,$C$4,$C$7)</f>
        <v>30</v>
      </c>
      <c r="Y41" s="764">
        <f ca="1">_xll.VAData($C$3,Y$8,$C41,Y$10,$C$5,$C$4,$C$7)</f>
        <v>30</v>
      </c>
      <c r="Z41" s="764">
        <f ca="1">_xll.VAData($C$3,Z$8,$C41,Z$10,$C$5,$C$4,$C$7)</f>
        <v>30</v>
      </c>
      <c r="AA41" s="764">
        <f ca="1">_xll.VAData($C$3,AA$8,$C41,AA$10,$C$5,$C$4,$C$7)</f>
        <v>30</v>
      </c>
    </row>
    <row r="42" spans="2:27" ht="12.75" customHeight="1" x14ac:dyDescent="0.35">
      <c r="B42" s="762" t="s">
        <v>536</v>
      </c>
      <c r="C42" s="765" t="s">
        <v>535</v>
      </c>
      <c r="D42" s="762" t="s">
        <v>313</v>
      </c>
      <c r="E42" s="764" t="str">
        <f ca="1">_xll.VAData($C$3,E$8,$C42,E$10,$C$5,$C$4,$C$7)</f>
        <v>-</v>
      </c>
      <c r="F42" s="764" t="str">
        <f ca="1">_xll.VAData($C$3,F$8,$C42,F$10,$C$5,$C$4,$C$7)</f>
        <v>-</v>
      </c>
      <c r="G42" s="764" t="str">
        <f ca="1">_xll.VAData($C$3,G$8,$C42,G$10,$C$5,$C$4,$C$7)</f>
        <v>-</v>
      </c>
      <c r="H42" s="764" t="str">
        <f ca="1">_xll.VAData($C$3,H$8,$C42,H$10,$C$5,$C$4,$C$7)</f>
        <v>-</v>
      </c>
      <c r="I42" s="764">
        <f ca="1">_xll.VAData($C$3,I$8,$C42,I$10,$C$5,$C$4,$C$7)</f>
        <v>0</v>
      </c>
      <c r="J42" s="764" t="str">
        <f ca="1">_xll.VAData($C$3,J$8,$C42,J$10,$C$5,$C$4,$C$7)</f>
        <v>-</v>
      </c>
      <c r="K42" s="764" t="str">
        <f ca="1">_xll.VAData($C$3,K$8,$C42,K$10,$C$5,$C$4,$C$7)</f>
        <v>-</v>
      </c>
      <c r="L42" s="764" t="str">
        <f ca="1">_xll.VAData($C$3,L$8,$C42,L$10,$C$5,$C$4,$C$7)</f>
        <v>-</v>
      </c>
      <c r="M42" s="764" t="str">
        <f ca="1">_xll.VAData($C$3,M$8,$C42,M$10,$C$5,$C$4,$C$7)</f>
        <v>-</v>
      </c>
      <c r="N42" s="764">
        <f ca="1">_xll.VAData($C$3,N$8,$C42,N$10,$C$5,$C$4,$C$7)</f>
        <v>0</v>
      </c>
      <c r="O42" s="764" t="str">
        <f ca="1">_xll.VAData($C$3,O$8,$C42,O$10,$C$5,$C$4,$C$7)</f>
        <v>-</v>
      </c>
      <c r="P42" s="764" t="str">
        <f ca="1">_xll.VAData($C$3,P$8,$C42,P$10,$C$5,$C$4,$C$7)</f>
        <v>-</v>
      </c>
      <c r="Q42" s="764" t="str">
        <f ca="1">_xll.VAData($C$3,Q$8,$C42,Q$10,$C$5,$C$4,$C$7)</f>
        <v>-</v>
      </c>
      <c r="R42" s="764" t="str">
        <f ca="1">_xll.VAData($C$3,R$8,$C42,R$10,$C$5,$C$4,$C$7)</f>
        <v>-</v>
      </c>
      <c r="S42" s="764">
        <f ca="1">_xll.VAData($C$3,S$8,$C42,S$10,$C$5,$C$4,$C$7)</f>
        <v>0</v>
      </c>
      <c r="T42" s="764">
        <f ca="1">_xll.VAData($C$3,T$8,$C42,T$10,$C$5,$C$4,$C$7)</f>
        <v>0</v>
      </c>
      <c r="U42" s="764">
        <f ca="1">_xll.VAData($C$3,U$8,$C42,U$10,$C$5,$C$4,$C$7)</f>
        <v>0</v>
      </c>
      <c r="V42" s="764">
        <f ca="1">_xll.VAData($C$3,V$8,$C42,V$10,$C$5,$C$4,$C$7)</f>
        <v>15.666502594280701</v>
      </c>
      <c r="W42" s="764">
        <f ca="1">_xll.VAData($C$3,W$8,$C42,W$10,$C$5,$C$4,$C$7)</f>
        <v>40.671555038661666</v>
      </c>
      <c r="X42" s="764">
        <f ca="1">_xll.VAData($C$3,X$8,$C42,X$10,$C$5,$C$4,$C$7)</f>
        <v>87.761698559962639</v>
      </c>
      <c r="Y42" s="764">
        <f ca="1">_xll.VAData($C$3,Y$8,$C42,Y$10,$C$5,$C$4,$C$7)</f>
        <v>152.24154670258815</v>
      </c>
      <c r="Z42" s="764">
        <f ca="1">_xll.VAData($C$3,Z$8,$C42,Z$10,$C$5,$C$4,$C$7)</f>
        <v>226.11230470398701</v>
      </c>
      <c r="AA42" s="764">
        <f ca="1">_xll.VAData($C$3,AA$8,$C42,AA$10,$C$5,$C$4,$C$7)</f>
        <v>298.94416817138165</v>
      </c>
    </row>
    <row r="43" spans="2:27" ht="12.75" customHeight="1" x14ac:dyDescent="0.35">
      <c r="B43" s="762" t="s">
        <v>175</v>
      </c>
      <c r="C43" s="762" t="s">
        <v>410</v>
      </c>
      <c r="D43" s="762" t="s">
        <v>311</v>
      </c>
      <c r="E43" s="764" t="s">
        <v>311</v>
      </c>
      <c r="F43" s="764" t="s">
        <v>311</v>
      </c>
      <c r="G43" s="764" t="s">
        <v>311</v>
      </c>
      <c r="H43" s="764" t="s">
        <v>311</v>
      </c>
      <c r="I43" s="764" t="s">
        <v>311</v>
      </c>
      <c r="J43" s="764" t="s">
        <v>311</v>
      </c>
      <c r="K43" s="764" t="s">
        <v>311</v>
      </c>
      <c r="L43" s="764" t="s">
        <v>311</v>
      </c>
      <c r="M43" s="764" t="s">
        <v>311</v>
      </c>
      <c r="N43" s="764" t="s">
        <v>311</v>
      </c>
      <c r="O43" s="764" t="s">
        <v>311</v>
      </c>
      <c r="P43" s="764" t="s">
        <v>311</v>
      </c>
      <c r="Q43" s="764" t="s">
        <v>311</v>
      </c>
      <c r="R43" s="764" t="s">
        <v>311</v>
      </c>
      <c r="S43" s="764" t="s">
        <v>311</v>
      </c>
      <c r="T43" s="764" t="s">
        <v>311</v>
      </c>
      <c r="U43" s="764" t="s">
        <v>311</v>
      </c>
      <c r="V43" s="764" t="s">
        <v>311</v>
      </c>
      <c r="W43" s="764" t="s">
        <v>311</v>
      </c>
      <c r="X43" s="764" t="s">
        <v>311</v>
      </c>
      <c r="Y43" s="764" t="s">
        <v>311</v>
      </c>
      <c r="Z43" s="764" t="s">
        <v>311</v>
      </c>
      <c r="AA43" s="764" t="s">
        <v>311</v>
      </c>
    </row>
    <row r="44" spans="2:27" ht="12.75" customHeight="1" x14ac:dyDescent="0.35">
      <c r="B44" s="762" t="s">
        <v>534</v>
      </c>
      <c r="C44" s="769" t="s">
        <v>533</v>
      </c>
      <c r="D44" s="762" t="s">
        <v>313</v>
      </c>
      <c r="E44" s="764" t="str">
        <f ca="1">_xll.VAData($C$3,E$8,$C44,E$10,$C$5,$C$4,$C$7)</f>
        <v>-</v>
      </c>
      <c r="F44" s="764" t="str">
        <f ca="1">_xll.VAData($C$3,F$8,$C44,F$10,$C$5,$C$4,$C$7)</f>
        <v>-</v>
      </c>
      <c r="G44" s="764" t="str">
        <f ca="1">_xll.VAData($C$3,G$8,$C44,G$10,$C$5,$C$4,$C$7)</f>
        <v>-</v>
      </c>
      <c r="H44" s="764" t="str">
        <f ca="1">_xll.VAData($C$3,H$8,$C44,H$10,$C$5,$C$4,$C$7)</f>
        <v>-</v>
      </c>
      <c r="I44" s="764">
        <f ca="1">_xll.VAData($C$3,I$8,$C44,I$10,$C$5,$C$4,$C$7)</f>
        <v>0</v>
      </c>
      <c r="J44" s="764" t="str">
        <f ca="1">_xll.VAData($C$3,J$8,$C44,J$10,$C$5,$C$4,$C$7)</f>
        <v>-</v>
      </c>
      <c r="K44" s="764" t="str">
        <f ca="1">_xll.VAData($C$3,K$8,$C44,K$10,$C$5,$C$4,$C$7)</f>
        <v>-</v>
      </c>
      <c r="L44" s="764" t="str">
        <f ca="1">_xll.VAData($C$3,L$8,$C44,L$10,$C$5,$C$4,$C$7)</f>
        <v>-</v>
      </c>
      <c r="M44" s="764" t="str">
        <f ca="1">_xll.VAData($C$3,M$8,$C44,M$10,$C$5,$C$4,$C$7)</f>
        <v>-</v>
      </c>
      <c r="N44" s="764">
        <f ca="1">_xll.VAData($C$3,N$8,$C44,N$10,$C$5,$C$4,$C$7)</f>
        <v>0</v>
      </c>
      <c r="O44" s="764" t="str">
        <f ca="1">_xll.VAData($C$3,O$8,$C44,O$10,$C$5,$C$4,$C$7)</f>
        <v>-</v>
      </c>
      <c r="P44" s="764" t="str">
        <f ca="1">_xll.VAData($C$3,P$8,$C44,P$10,$C$5,$C$4,$C$7)</f>
        <v>-</v>
      </c>
      <c r="Q44" s="764" t="str">
        <f ca="1">_xll.VAData($C$3,Q$8,$C44,Q$10,$C$5,$C$4,$C$7)</f>
        <v>-</v>
      </c>
      <c r="R44" s="764" t="str">
        <f ca="1">_xll.VAData($C$3,R$8,$C44,R$10,$C$5,$C$4,$C$7)</f>
        <v>-</v>
      </c>
      <c r="S44" s="764">
        <f ca="1">_xll.VAData($C$3,S$8,$C44,S$10,$C$5,$C$4,$C$7)</f>
        <v>0</v>
      </c>
      <c r="T44" s="764">
        <f ca="1">_xll.VAData($C$3,T$8,$C44,T$10,$C$5,$C$4,$C$7)</f>
        <v>0</v>
      </c>
      <c r="U44" s="764">
        <f ca="1">_xll.VAData($C$3,U$8,$C44,U$10,$C$5,$C$4,$C$7)</f>
        <v>0</v>
      </c>
      <c r="V44" s="764">
        <f ca="1">_xll.VAData($C$3,V$8,$C44,V$10,$C$5,$C$4,$C$7)</f>
        <v>0</v>
      </c>
      <c r="W44" s="764">
        <f ca="1">_xll.VAData($C$3,W$8,$C44,W$10,$C$5,$C$4,$C$7)</f>
        <v>0</v>
      </c>
      <c r="X44" s="764">
        <f ca="1">_xll.VAData($C$3,X$8,$C44,X$10,$C$5,$C$4,$C$7)</f>
        <v>0</v>
      </c>
      <c r="Y44" s="764">
        <f ca="1">_xll.VAData($C$3,Y$8,$C44,Y$10,$C$5,$C$4,$C$7)</f>
        <v>0</v>
      </c>
      <c r="Z44" s="764">
        <f ca="1">_xll.VAData($C$3,Z$8,$C44,Z$10,$C$5,$C$4,$C$7)</f>
        <v>6.9188399536566898</v>
      </c>
      <c r="AA44" s="764">
        <f ca="1">_xll.VAData($C$3,AA$8,$C44,AA$10,$C$5,$C$4,$C$7)</f>
        <v>37.43147765647899</v>
      </c>
    </row>
    <row r="45" spans="2:27" ht="12.75" customHeight="1" x14ac:dyDescent="0.35">
      <c r="B45" s="762" t="s">
        <v>532</v>
      </c>
      <c r="C45" s="769" t="s">
        <v>531</v>
      </c>
      <c r="D45" s="762" t="s">
        <v>312</v>
      </c>
      <c r="E45" s="764" t="str">
        <f ca="1">_xll.VAData($C$3,E$8,$C45,E$10,$C$5,$C$4,$C$7)</f>
        <v>-</v>
      </c>
      <c r="F45" s="764" t="str">
        <f ca="1">_xll.VAData($C$3,F$8,$C45,F$10,$C$5,$C$4,$C$7)</f>
        <v>-</v>
      </c>
      <c r="G45" s="764" t="str">
        <f ca="1">_xll.VAData($C$3,G$8,$C45,G$10,$C$5,$C$4,$C$7)</f>
        <v>-</v>
      </c>
      <c r="H45" s="764" t="str">
        <f ca="1">_xll.VAData($C$3,H$8,$C45,H$10,$C$5,$C$4,$C$7)</f>
        <v>-</v>
      </c>
      <c r="I45" s="764" t="str">
        <f ca="1">_xll.VAData($C$3,I$8,$C45,I$10,$C$5,$C$4,$C$7)</f>
        <v>-</v>
      </c>
      <c r="J45" s="764">
        <f ca="1">_xll.VAData($C$3,J$8,$C45,J$10,$C$5,$C$4,$C$7)</f>
        <v>20</v>
      </c>
      <c r="K45" s="764">
        <f ca="1">_xll.VAData($C$3,K$8,$C45,K$10,$C$5,$C$4,$C$7)</f>
        <v>20</v>
      </c>
      <c r="L45" s="764">
        <f ca="1">_xll.VAData($C$3,L$8,$C45,L$10,$C$5,$C$4,$C$7)</f>
        <v>20</v>
      </c>
      <c r="M45" s="764">
        <f ca="1">_xll.VAData($C$3,M$8,$C45,M$10,$C$5,$C$4,$C$7)</f>
        <v>20</v>
      </c>
      <c r="N45" s="764">
        <f ca="1">_xll.VAData($C$3,N$8,$C45,N$10,$C$5,$C$4,$C$7)</f>
        <v>20</v>
      </c>
      <c r="O45" s="764" t="str">
        <f ca="1">_xll.VAData($C$3,O$8,$C45,O$10,$C$5,$C$4,$C$7)</f>
        <v>-</v>
      </c>
      <c r="P45" s="764" t="str">
        <f ca="1">_xll.VAData($C$3,P$8,$C45,P$10,$C$5,$C$4,$C$7)</f>
        <v>-</v>
      </c>
      <c r="Q45" s="764" t="str">
        <f ca="1">_xll.VAData($C$3,Q$8,$C45,Q$10,$C$5,$C$4,$C$7)</f>
        <v>-</v>
      </c>
      <c r="R45" s="764" t="str">
        <f ca="1">_xll.VAData($C$3,R$8,$C45,R$10,$C$5,$C$4,$C$7)</f>
        <v>-</v>
      </c>
      <c r="S45" s="764">
        <f ca="1">_xll.VAData($C$3,S$8,$C45,S$10,$C$5,$C$4,$C$7)</f>
        <v>20</v>
      </c>
      <c r="T45" s="764">
        <f ca="1">_xll.VAData($C$3,T$8,$C45,T$10,$C$5,$C$4,$C$7)</f>
        <v>20</v>
      </c>
      <c r="U45" s="764">
        <f ca="1">_xll.VAData($C$3,U$8,$C45,U$10,$C$5,$C$4,$C$7)</f>
        <v>20</v>
      </c>
      <c r="V45" s="764">
        <f ca="1">_xll.VAData($C$3,V$8,$C45,V$10,$C$5,$C$4,$C$7)</f>
        <v>20</v>
      </c>
      <c r="W45" s="764">
        <f ca="1">_xll.VAData($C$3,W$8,$C45,W$10,$C$5,$C$4,$C$7)</f>
        <v>20</v>
      </c>
      <c r="X45" s="764">
        <f ca="1">_xll.VAData($C$3,X$8,$C45,X$10,$C$5,$C$4,$C$7)</f>
        <v>20</v>
      </c>
      <c r="Y45" s="764">
        <f ca="1">_xll.VAData($C$3,Y$8,$C45,Y$10,$C$5,$C$4,$C$7)</f>
        <v>20</v>
      </c>
      <c r="Z45" s="764">
        <f ca="1">_xll.VAData($C$3,Z$8,$C45,Z$10,$C$5,$C$4,$C$7)</f>
        <v>20</v>
      </c>
      <c r="AA45" s="764">
        <f ca="1">_xll.VAData($C$3,AA$8,$C45,AA$10,$C$5,$C$4,$C$7)</f>
        <v>20</v>
      </c>
    </row>
    <row r="46" spans="2:27" ht="12.75" customHeight="1" x14ac:dyDescent="0.35">
      <c r="B46" s="762" t="s">
        <v>530</v>
      </c>
      <c r="C46" s="765" t="s">
        <v>529</v>
      </c>
      <c r="D46" s="762" t="s">
        <v>313</v>
      </c>
      <c r="E46" s="764" t="str">
        <f ca="1">_xll.VAData($C$3,E$8,$C46,E$10,$C$5,$C$4,$C$7)</f>
        <v>-</v>
      </c>
      <c r="F46" s="764" t="str">
        <f ca="1">_xll.VAData($C$3,F$8,$C46,F$10,$C$5,$C$4,$C$7)</f>
        <v>-</v>
      </c>
      <c r="G46" s="764" t="str">
        <f ca="1">_xll.VAData($C$3,G$8,$C46,G$10,$C$5,$C$4,$C$7)</f>
        <v>-</v>
      </c>
      <c r="H46" s="764" t="str">
        <f ca="1">_xll.VAData($C$3,H$8,$C46,H$10,$C$5,$C$4,$C$7)</f>
        <v>-</v>
      </c>
      <c r="I46" s="764">
        <f ca="1">_xll.VAData($C$3,I$8,$C46,I$10,$C$5,$C$4,$C$7)</f>
        <v>0</v>
      </c>
      <c r="J46" s="764" t="str">
        <f ca="1">_xll.VAData($C$3,J$8,$C46,J$10,$C$5,$C$4,$C$7)</f>
        <v>-</v>
      </c>
      <c r="K46" s="764" t="str">
        <f ca="1">_xll.VAData($C$3,K$8,$C46,K$10,$C$5,$C$4,$C$7)</f>
        <v>-</v>
      </c>
      <c r="L46" s="764" t="str">
        <f ca="1">_xll.VAData($C$3,L$8,$C46,L$10,$C$5,$C$4,$C$7)</f>
        <v>-</v>
      </c>
      <c r="M46" s="764" t="str">
        <f ca="1">_xll.VAData($C$3,M$8,$C46,M$10,$C$5,$C$4,$C$7)</f>
        <v>-</v>
      </c>
      <c r="N46" s="764">
        <f ca="1">_xll.VAData($C$3,N$8,$C46,N$10,$C$5,$C$4,$C$7)</f>
        <v>0</v>
      </c>
      <c r="O46" s="764" t="str">
        <f ca="1">_xll.VAData($C$3,O$8,$C46,O$10,$C$5,$C$4,$C$7)</f>
        <v>-</v>
      </c>
      <c r="P46" s="764" t="str">
        <f ca="1">_xll.VAData($C$3,P$8,$C46,P$10,$C$5,$C$4,$C$7)</f>
        <v>-</v>
      </c>
      <c r="Q46" s="764" t="str">
        <f ca="1">_xll.VAData($C$3,Q$8,$C46,Q$10,$C$5,$C$4,$C$7)</f>
        <v>-</v>
      </c>
      <c r="R46" s="764" t="str">
        <f ca="1">_xll.VAData($C$3,R$8,$C46,R$10,$C$5,$C$4,$C$7)</f>
        <v>-</v>
      </c>
      <c r="S46" s="764">
        <f ca="1">_xll.VAData($C$3,S$8,$C46,S$10,$C$5,$C$4,$C$7)</f>
        <v>0</v>
      </c>
      <c r="T46" s="764">
        <f ca="1">_xll.VAData($C$3,T$8,$C46,T$10,$C$5,$C$4,$C$7)</f>
        <v>0</v>
      </c>
      <c r="U46" s="764">
        <f ca="1">_xll.VAData($C$3,U$8,$C46,U$10,$C$5,$C$4,$C$7)</f>
        <v>0</v>
      </c>
      <c r="V46" s="764">
        <f ca="1">_xll.VAData($C$3,V$8,$C46,V$10,$C$5,$C$4,$C$7)</f>
        <v>0</v>
      </c>
      <c r="W46" s="764">
        <f ca="1">_xll.VAData($C$3,W$8,$C46,W$10,$C$5,$C$4,$C$7)</f>
        <v>0</v>
      </c>
      <c r="X46" s="764">
        <f ca="1">_xll.VAData($C$3,X$8,$C46,X$10,$C$5,$C$4,$C$7)</f>
        <v>0</v>
      </c>
      <c r="Y46" s="764">
        <f ca="1">_xll.VAData($C$3,Y$8,$C46,Y$10,$C$5,$C$4,$C$7)</f>
        <v>0</v>
      </c>
      <c r="Z46" s="764">
        <f ca="1">_xll.VAData($C$3,Z$8,$C46,Z$10,$C$5,$C$4,$C$7)</f>
        <v>1.38376799073134</v>
      </c>
      <c r="AA46" s="764">
        <f ca="1">_xll.VAData($C$3,AA$8,$C46,AA$10,$C$5,$C$4,$C$7)</f>
        <v>7.4862955312957888</v>
      </c>
    </row>
    <row r="47" spans="2:27" ht="12.75" customHeight="1" x14ac:dyDescent="0.35">
      <c r="B47" s="762" t="s">
        <v>175</v>
      </c>
      <c r="C47" s="762" t="s">
        <v>410</v>
      </c>
      <c r="D47" s="762" t="s">
        <v>311</v>
      </c>
      <c r="E47" s="764" t="s">
        <v>311</v>
      </c>
      <c r="F47" s="764" t="s">
        <v>311</v>
      </c>
      <c r="G47" s="764" t="s">
        <v>311</v>
      </c>
      <c r="H47" s="764" t="s">
        <v>311</v>
      </c>
      <c r="I47" s="764" t="s">
        <v>311</v>
      </c>
      <c r="J47" s="764" t="s">
        <v>311</v>
      </c>
      <c r="K47" s="764" t="s">
        <v>311</v>
      </c>
      <c r="L47" s="764" t="s">
        <v>311</v>
      </c>
      <c r="M47" s="764" t="s">
        <v>311</v>
      </c>
      <c r="N47" s="764" t="s">
        <v>311</v>
      </c>
      <c r="O47" s="764" t="s">
        <v>311</v>
      </c>
      <c r="P47" s="764" t="s">
        <v>311</v>
      </c>
      <c r="Q47" s="764" t="s">
        <v>311</v>
      </c>
      <c r="R47" s="764" t="s">
        <v>311</v>
      </c>
      <c r="S47" s="764" t="s">
        <v>311</v>
      </c>
      <c r="T47" s="764" t="s">
        <v>311</v>
      </c>
      <c r="U47" s="764" t="s">
        <v>311</v>
      </c>
      <c r="V47" s="764" t="s">
        <v>311</v>
      </c>
      <c r="W47" s="764" t="s">
        <v>311</v>
      </c>
      <c r="X47" s="764" t="s">
        <v>311</v>
      </c>
      <c r="Y47" s="764" t="s">
        <v>311</v>
      </c>
      <c r="Z47" s="764" t="s">
        <v>311</v>
      </c>
      <c r="AA47" s="764" t="s">
        <v>311</v>
      </c>
    </row>
    <row r="48" spans="2:27" ht="12.75" customHeight="1" x14ac:dyDescent="0.35">
      <c r="B48" s="762" t="s">
        <v>528</v>
      </c>
      <c r="C48" s="766" t="s">
        <v>527</v>
      </c>
      <c r="D48" s="762" t="s">
        <v>313</v>
      </c>
      <c r="E48" s="764" t="str">
        <f ca="1">_xll.VAData($C$3,E$8,$C48,E$10,$C$5,$C$4,$C$7)</f>
        <v>-</v>
      </c>
      <c r="F48" s="764" t="str">
        <f ca="1">_xll.VAData($C$3,F$8,$C48,F$10,$C$5,$C$4,$C$7)</f>
        <v>-</v>
      </c>
      <c r="G48" s="764">
        <f ca="1">_xll.VAData($C$3,G$8,$C48,G$10,$C$5,$C$4,$C$7)</f>
        <v>0</v>
      </c>
      <c r="H48" s="764">
        <f ca="1">_xll.VAData($C$3,H$8,$C48,H$10,$C$5,$C$4,$C$7)</f>
        <v>0</v>
      </c>
      <c r="I48" s="764">
        <f ca="1">_xll.VAData($C$3,I$8,$C48,I$10,$C$5,$C$4,$C$7)</f>
        <v>0</v>
      </c>
      <c r="J48" s="764" t="str">
        <f ca="1">_xll.VAData($C$3,J$8,$C48,J$10,$C$5,$C$4,$C$7)</f>
        <v>-</v>
      </c>
      <c r="K48" s="764" t="str">
        <f ca="1">_xll.VAData($C$3,K$8,$C48,K$10,$C$5,$C$4,$C$7)</f>
        <v>-</v>
      </c>
      <c r="L48" s="764" t="str">
        <f ca="1">_xll.VAData($C$3,L$8,$C48,L$10,$C$5,$C$4,$C$7)</f>
        <v>-</v>
      </c>
      <c r="M48" s="764" t="str">
        <f ca="1">_xll.VAData($C$3,M$8,$C48,M$10,$C$5,$C$4,$C$7)</f>
        <v>-</v>
      </c>
      <c r="N48" s="764">
        <f ca="1">_xll.VAData($C$3,N$8,$C48,N$10,$C$5,$C$4,$C$7)</f>
        <v>0</v>
      </c>
      <c r="O48" s="764" t="str">
        <f ca="1">_xll.VAData($C$3,O$8,$C48,O$10,$C$5,$C$4,$C$7)</f>
        <v>-</v>
      </c>
      <c r="P48" s="764" t="str">
        <f ca="1">_xll.VAData($C$3,P$8,$C48,P$10,$C$5,$C$4,$C$7)</f>
        <v>-</v>
      </c>
      <c r="Q48" s="764" t="str">
        <f ca="1">_xll.VAData($C$3,Q$8,$C48,Q$10,$C$5,$C$4,$C$7)</f>
        <v>-</v>
      </c>
      <c r="R48" s="764" t="str">
        <f ca="1">_xll.VAData($C$3,R$8,$C48,R$10,$C$5,$C$4,$C$7)</f>
        <v>-</v>
      </c>
      <c r="S48" s="764">
        <f ca="1">_xll.VAData($C$3,S$8,$C48,S$10,$C$5,$C$4,$C$7)</f>
        <v>0</v>
      </c>
      <c r="T48" s="764">
        <f ca="1">_xll.VAData($C$3,T$8,$C48,T$10,$C$5,$C$4,$C$7)</f>
        <v>0</v>
      </c>
      <c r="U48" s="764">
        <f ca="1">_xll.VAData($C$3,U$8,$C48,U$10,$C$5,$C$4,$C$7)</f>
        <v>0</v>
      </c>
      <c r="V48" s="764">
        <f ca="1">_xll.VAData($C$3,V$8,$C48,V$10,$C$5,$C$4,$C$7)</f>
        <v>31.333005188561401</v>
      </c>
      <c r="W48" s="764">
        <f ca="1">_xll.VAData($C$3,W$8,$C48,W$10,$C$5,$C$4,$C$7)</f>
        <v>72.874931262691817</v>
      </c>
      <c r="X48" s="764">
        <f ca="1">_xll.VAData($C$3,X$8,$C48,X$10,$C$5,$C$4,$C$7)</f>
        <v>205.38141128563623</v>
      </c>
      <c r="Y48" s="764">
        <f ca="1">_xll.VAData($C$3,Y$8,$C48,Y$10,$C$5,$C$4,$C$7)</f>
        <v>388.60214669754652</v>
      </c>
      <c r="Z48" s="764">
        <f ca="1">_xll.VAData($C$3,Z$8,$C48,Z$10,$C$5,$C$4,$C$7)</f>
        <v>594.01209080089325</v>
      </c>
      <c r="AA48" s="764">
        <f ca="1">_xll.VAData($C$3,AA$8,$C48,AA$10,$C$5,$C$4,$C$7)</f>
        <v>795.77230411855885</v>
      </c>
    </row>
    <row r="49" spans="2:27" ht="12.75" customHeight="1" x14ac:dyDescent="0.35">
      <c r="B49" s="762" t="s">
        <v>526</v>
      </c>
      <c r="C49" s="766" t="s">
        <v>525</v>
      </c>
      <c r="D49" s="762" t="s">
        <v>312</v>
      </c>
      <c r="E49" s="764" t="str">
        <f ca="1">_xll.VAData($C$3,E$8,$C49,E$10,$C$5,$C$4,$C$7)</f>
        <v>-</v>
      </c>
      <c r="F49" s="764" t="str">
        <f ca="1">_xll.VAData($C$3,F$8,$C49,F$10,$C$5,$C$4,$C$7)</f>
        <v>-</v>
      </c>
      <c r="G49" s="764" t="str">
        <f ca="1">_xll.VAData($C$3,G$8,$C49,G$10,$C$5,$C$4,$C$7)</f>
        <v>-</v>
      </c>
      <c r="H49" s="764" t="str">
        <f ca="1">_xll.VAData($C$3,H$8,$C49,H$10,$C$5,$C$4,$C$7)</f>
        <v>-</v>
      </c>
      <c r="I49" s="764" t="str">
        <f ca="1">_xll.VAData($C$3,I$8,$C49,I$10,$C$5,$C$4,$C$7)</f>
        <v>-</v>
      </c>
      <c r="J49" s="764">
        <f ca="1">_xll.VAData($C$3,J$8,$C49,J$10,$C$5,$C$4,$C$7)</f>
        <v>30</v>
      </c>
      <c r="K49" s="764">
        <f ca="1">_xll.VAData($C$3,K$8,$C49,K$10,$C$5,$C$4,$C$7)</f>
        <v>30</v>
      </c>
      <c r="L49" s="764">
        <f ca="1">_xll.VAData($C$3,L$8,$C49,L$10,$C$5,$C$4,$C$7)</f>
        <v>30</v>
      </c>
      <c r="M49" s="764">
        <f ca="1">_xll.VAData($C$3,M$8,$C49,M$10,$C$5,$C$4,$C$7)</f>
        <v>30</v>
      </c>
      <c r="N49" s="764">
        <f ca="1">_xll.VAData($C$3,N$8,$C49,N$10,$C$5,$C$4,$C$7)</f>
        <v>30</v>
      </c>
      <c r="O49" s="764">
        <f ca="1">_xll.VAData($C$3,O$8,$C49,O$10,$C$5,$C$4,$C$7)</f>
        <v>30</v>
      </c>
      <c r="P49" s="764">
        <f ca="1">_xll.VAData($C$3,P$8,$C49,P$10,$C$5,$C$4,$C$7)</f>
        <v>30</v>
      </c>
      <c r="Q49" s="764">
        <f ca="1">_xll.VAData($C$3,Q$8,$C49,Q$10,$C$5,$C$4,$C$7)</f>
        <v>30</v>
      </c>
      <c r="R49" s="764">
        <f ca="1">_xll.VAData($C$3,R$8,$C49,R$10,$C$5,$C$4,$C$7)</f>
        <v>30</v>
      </c>
      <c r="S49" s="764">
        <f ca="1">_xll.VAData($C$3,S$8,$C49,S$10,$C$5,$C$4,$C$7)</f>
        <v>30</v>
      </c>
      <c r="T49" s="764">
        <f ca="1">_xll.VAData($C$3,T$8,$C49,T$10,$C$5,$C$4,$C$7)</f>
        <v>30</v>
      </c>
      <c r="U49" s="764">
        <f ca="1">_xll.VAData($C$3,U$8,$C49,U$10,$C$5,$C$4,$C$7)</f>
        <v>30</v>
      </c>
      <c r="V49" s="764">
        <f ca="1">_xll.VAData($C$3,V$8,$C49,V$10,$C$5,$C$4,$C$7)</f>
        <v>30</v>
      </c>
      <c r="W49" s="764">
        <f ca="1">_xll.VAData($C$3,W$8,$C49,W$10,$C$5,$C$4,$C$7)</f>
        <v>30</v>
      </c>
      <c r="X49" s="764">
        <f ca="1">_xll.VAData($C$3,X$8,$C49,X$10,$C$5,$C$4,$C$7)</f>
        <v>30</v>
      </c>
      <c r="Y49" s="764">
        <f ca="1">_xll.VAData($C$3,Y$8,$C49,Y$10,$C$5,$C$4,$C$7)</f>
        <v>30</v>
      </c>
      <c r="Z49" s="764">
        <f ca="1">_xll.VAData($C$3,Z$8,$C49,Z$10,$C$5,$C$4,$C$7)</f>
        <v>30</v>
      </c>
      <c r="AA49" s="764">
        <f ca="1">_xll.VAData($C$3,AA$8,$C49,AA$10,$C$5,$C$4,$C$7)</f>
        <v>30</v>
      </c>
    </row>
    <row r="50" spans="2:27" ht="12.75" customHeight="1" x14ac:dyDescent="0.35">
      <c r="B50" s="762" t="s">
        <v>524</v>
      </c>
      <c r="C50" s="768" t="s">
        <v>523</v>
      </c>
      <c r="D50" s="762" t="s">
        <v>313</v>
      </c>
      <c r="E50" s="764" t="str">
        <f ca="1">_xll.VAData($C$3,E$8,$C50,E$10,$C$5,$C$4,$C$7)</f>
        <v>-</v>
      </c>
      <c r="F50" s="764" t="str">
        <f ca="1">_xll.VAData($C$3,F$8,$C50,F$10,$C$5,$C$4,$C$7)</f>
        <v>-</v>
      </c>
      <c r="G50" s="764">
        <f ca="1">_xll.VAData($C$3,G$8,$C50,G$10,$C$5,$C$4,$C$7)</f>
        <v>0</v>
      </c>
      <c r="H50" s="764">
        <f ca="1">_xll.VAData($C$3,H$8,$C50,H$10,$C$5,$C$4,$C$7)</f>
        <v>0</v>
      </c>
      <c r="I50" s="764">
        <f ca="1">_xll.VAData($C$3,I$8,$C50,I$10,$C$5,$C$4,$C$7)</f>
        <v>0</v>
      </c>
      <c r="J50" s="764" t="str">
        <f ca="1">_xll.VAData($C$3,J$8,$C50,J$10,$C$5,$C$4,$C$7)</f>
        <v>-</v>
      </c>
      <c r="K50" s="764" t="str">
        <f ca="1">_xll.VAData($C$3,K$8,$C50,K$10,$C$5,$C$4,$C$7)</f>
        <v>-</v>
      </c>
      <c r="L50" s="764" t="str">
        <f ca="1">_xll.VAData($C$3,L$8,$C50,L$10,$C$5,$C$4,$C$7)</f>
        <v>-</v>
      </c>
      <c r="M50" s="764" t="str">
        <f ca="1">_xll.VAData($C$3,M$8,$C50,M$10,$C$5,$C$4,$C$7)</f>
        <v>-</v>
      </c>
      <c r="N50" s="764">
        <f ca="1">_xll.VAData($C$3,N$8,$C50,N$10,$C$5,$C$4,$C$7)</f>
        <v>0</v>
      </c>
      <c r="O50" s="764" t="str">
        <f ca="1">_xll.VAData($C$3,O$8,$C50,O$10,$C$5,$C$4,$C$7)</f>
        <v>-</v>
      </c>
      <c r="P50" s="764" t="str">
        <f ca="1">_xll.VAData($C$3,P$8,$C50,P$10,$C$5,$C$4,$C$7)</f>
        <v>-</v>
      </c>
      <c r="Q50" s="764" t="str">
        <f ca="1">_xll.VAData($C$3,Q$8,$C50,Q$10,$C$5,$C$4,$C$7)</f>
        <v>-</v>
      </c>
      <c r="R50" s="764" t="str">
        <f ca="1">_xll.VAData($C$3,R$8,$C50,R$10,$C$5,$C$4,$C$7)</f>
        <v>-</v>
      </c>
      <c r="S50" s="764">
        <f ca="1">_xll.VAData($C$3,S$8,$C50,S$10,$C$5,$C$4,$C$7)</f>
        <v>0</v>
      </c>
      <c r="T50" s="764">
        <f ca="1">_xll.VAData($C$3,T$8,$C50,T$10,$C$5,$C$4,$C$7)</f>
        <v>0</v>
      </c>
      <c r="U50" s="764">
        <f ca="1">_xll.VAData($C$3,U$8,$C50,U$10,$C$5,$C$4,$C$7)</f>
        <v>0</v>
      </c>
      <c r="V50" s="764">
        <f ca="1">_xll.VAData($C$3,V$8,$C50,V$10,$C$5,$C$4,$C$7)</f>
        <v>15.666502594280701</v>
      </c>
      <c r="W50" s="764">
        <f ca="1">_xll.VAData($C$3,W$8,$C50,W$10,$C$5,$C$4,$C$7)</f>
        <v>40.671555038661666</v>
      </c>
      <c r="X50" s="764">
        <f ca="1">_xll.VAData($C$3,X$8,$C50,X$10,$C$5,$C$4,$C$7)</f>
        <v>87.761698559962639</v>
      </c>
      <c r="Y50" s="764">
        <f ca="1">_xll.VAData($C$3,Y$8,$C50,Y$10,$C$5,$C$4,$C$7)</f>
        <v>152.24154670258815</v>
      </c>
      <c r="Z50" s="764">
        <f ca="1">_xll.VAData($C$3,Z$8,$C50,Z$10,$C$5,$C$4,$C$7)</f>
        <v>226.57356070089733</v>
      </c>
      <c r="AA50" s="764">
        <f ca="1">_xll.VAData($C$3,AA$8,$C50,AA$10,$C$5,$C$4,$C$7)</f>
        <v>301.43960001514699</v>
      </c>
    </row>
    <row r="51" spans="2:27" ht="12.75" customHeight="1" x14ac:dyDescent="0.35">
      <c r="B51" s="762" t="s">
        <v>175</v>
      </c>
      <c r="C51" s="762" t="s">
        <v>410</v>
      </c>
      <c r="D51" s="762" t="s">
        <v>311</v>
      </c>
      <c r="E51" s="764" t="s">
        <v>311</v>
      </c>
      <c r="F51" s="764" t="s">
        <v>311</v>
      </c>
      <c r="G51" s="764" t="s">
        <v>311</v>
      </c>
      <c r="H51" s="764" t="s">
        <v>311</v>
      </c>
      <c r="I51" s="764" t="s">
        <v>311</v>
      </c>
      <c r="J51" s="764" t="s">
        <v>311</v>
      </c>
      <c r="K51" s="764" t="s">
        <v>311</v>
      </c>
      <c r="L51" s="764" t="s">
        <v>311</v>
      </c>
      <c r="M51" s="764" t="s">
        <v>311</v>
      </c>
      <c r="N51" s="764" t="s">
        <v>311</v>
      </c>
      <c r="O51" s="764" t="s">
        <v>311</v>
      </c>
      <c r="P51" s="764" t="s">
        <v>311</v>
      </c>
      <c r="Q51" s="764" t="s">
        <v>311</v>
      </c>
      <c r="R51" s="764" t="s">
        <v>311</v>
      </c>
      <c r="S51" s="764" t="s">
        <v>311</v>
      </c>
      <c r="T51" s="764" t="s">
        <v>311</v>
      </c>
      <c r="U51" s="764" t="s">
        <v>311</v>
      </c>
      <c r="V51" s="764" t="s">
        <v>311</v>
      </c>
      <c r="W51" s="764" t="s">
        <v>311</v>
      </c>
      <c r="X51" s="764" t="s">
        <v>311</v>
      </c>
      <c r="Y51" s="764" t="s">
        <v>311</v>
      </c>
      <c r="Z51" s="764" t="s">
        <v>311</v>
      </c>
      <c r="AA51" s="764" t="s">
        <v>311</v>
      </c>
    </row>
    <row r="52" spans="2:27" ht="12.75" customHeight="1" x14ac:dyDescent="0.35">
      <c r="B52" s="762" t="s">
        <v>522</v>
      </c>
      <c r="C52" s="766" t="s">
        <v>521</v>
      </c>
      <c r="D52" s="762" t="s">
        <v>313</v>
      </c>
      <c r="E52" s="764" t="str">
        <f ca="1">_xll.VAData($C$3,E$8,$C52,E$10,$C$5,$C$4,$C$7)</f>
        <v>-</v>
      </c>
      <c r="F52" s="764" t="str">
        <f ca="1">_xll.VAData($C$3,F$8,$C52,F$10,$C$5,$C$4,$C$7)</f>
        <v>-</v>
      </c>
      <c r="G52" s="764" t="str">
        <f ca="1">_xll.VAData($C$3,G$8,$C52,G$10,$C$5,$C$4,$C$7)</f>
        <v>-</v>
      </c>
      <c r="H52" s="764" t="str">
        <f ca="1">_xll.VAData($C$3,H$8,$C52,H$10,$C$5,$C$4,$C$7)</f>
        <v>-</v>
      </c>
      <c r="I52" s="764">
        <f ca="1">_xll.VAData($C$3,I$8,$C52,I$10,$C$5,$C$4,$C$7)</f>
        <v>0</v>
      </c>
      <c r="J52" s="764" t="str">
        <f ca="1">_xll.VAData($C$3,J$8,$C52,J$10,$C$5,$C$4,$C$7)</f>
        <v>-</v>
      </c>
      <c r="K52" s="764" t="str">
        <f ca="1">_xll.VAData($C$3,K$8,$C52,K$10,$C$5,$C$4,$C$7)</f>
        <v>-</v>
      </c>
      <c r="L52" s="764" t="str">
        <f ca="1">_xll.VAData($C$3,L$8,$C52,L$10,$C$5,$C$4,$C$7)</f>
        <v>-</v>
      </c>
      <c r="M52" s="764" t="str">
        <f ca="1">_xll.VAData($C$3,M$8,$C52,M$10,$C$5,$C$4,$C$7)</f>
        <v>-</v>
      </c>
      <c r="N52" s="764">
        <f ca="1">_xll.VAData($C$3,N$8,$C52,N$10,$C$5,$C$4,$C$7)</f>
        <v>0</v>
      </c>
      <c r="O52" s="764" t="str">
        <f ca="1">_xll.VAData($C$3,O$8,$C52,O$10,$C$5,$C$4,$C$7)</f>
        <v>-</v>
      </c>
      <c r="P52" s="764" t="str">
        <f ca="1">_xll.VAData($C$3,P$8,$C52,P$10,$C$5,$C$4,$C$7)</f>
        <v>-</v>
      </c>
      <c r="Q52" s="764" t="str">
        <f ca="1">_xll.VAData($C$3,Q$8,$C52,Q$10,$C$5,$C$4,$C$7)</f>
        <v>-</v>
      </c>
      <c r="R52" s="764" t="str">
        <f ca="1">_xll.VAData($C$3,R$8,$C52,R$10,$C$5,$C$4,$C$7)</f>
        <v>-</v>
      </c>
      <c r="S52" s="764">
        <f ca="1">_xll.VAData($C$3,S$8,$C52,S$10,$C$5,$C$4,$C$7)</f>
        <v>0</v>
      </c>
      <c r="T52" s="764">
        <f ca="1">_xll.VAData($C$3,T$8,$C52,T$10,$C$5,$C$4,$C$7)</f>
        <v>0</v>
      </c>
      <c r="U52" s="764">
        <f ca="1">_xll.VAData($C$3,U$8,$C52,U$10,$C$5,$C$4,$C$7)</f>
        <v>29.32648012880825</v>
      </c>
      <c r="V52" s="764">
        <f ca="1">_xll.VAData($C$3,V$8,$C52,V$10,$C$5,$C$4,$C$7)</f>
        <v>113.74720422264275</v>
      </c>
      <c r="W52" s="764">
        <f ca="1">_xll.VAData($C$3,W$8,$C52,W$10,$C$5,$C$4,$C$7)</f>
        <v>268.90584389152878</v>
      </c>
      <c r="X52" s="764">
        <f ca="1">_xll.VAData($C$3,X$8,$C52,X$10,$C$5,$C$4,$C$7)</f>
        <v>522.19664026329394</v>
      </c>
      <c r="Y52" s="764">
        <f ca="1">_xll.VAData($C$3,Y$8,$C52,Y$10,$C$5,$C$4,$C$7)</f>
        <v>841.02951397482275</v>
      </c>
      <c r="Z52" s="764">
        <f ca="1">_xll.VAData($C$3,Z$8,$C52,Z$10,$C$5,$C$4,$C$7)</f>
        <v>1182.6638525395174</v>
      </c>
      <c r="AA52" s="764">
        <f ca="1">_xll.VAData($C$3,AA$8,$C52,AA$10,$C$5,$C$4,$C$7)</f>
        <v>1511.2866583570653</v>
      </c>
    </row>
    <row r="53" spans="2:27" ht="12.75" customHeight="1" x14ac:dyDescent="0.35">
      <c r="B53" s="762" t="s">
        <v>520</v>
      </c>
      <c r="C53" s="768" t="s">
        <v>519</v>
      </c>
      <c r="D53" s="762" t="s">
        <v>313</v>
      </c>
      <c r="E53" s="764" t="str">
        <f ca="1">_xll.VAData($C$3,E$8,$C53,E$10,$C$5,$C$4,$C$7)</f>
        <v>-</v>
      </c>
      <c r="F53" s="764" t="str">
        <f ca="1">_xll.VAData($C$3,F$8,$C53,F$10,$C$5,$C$4,$C$7)</f>
        <v>-</v>
      </c>
      <c r="G53" s="764" t="str">
        <f ca="1">_xll.VAData($C$3,G$8,$C53,G$10,$C$5,$C$4,$C$7)</f>
        <v>-</v>
      </c>
      <c r="H53" s="764" t="str">
        <f ca="1">_xll.VAData($C$3,H$8,$C53,H$10,$C$5,$C$4,$C$7)</f>
        <v>-</v>
      </c>
      <c r="I53" s="764">
        <f ca="1">_xll.VAData($C$3,I$8,$C53,I$10,$C$5,$C$4,$C$7)</f>
        <v>0</v>
      </c>
      <c r="J53" s="764" t="str">
        <f ca="1">_xll.VAData($C$3,J$8,$C53,J$10,$C$5,$C$4,$C$7)</f>
        <v>-</v>
      </c>
      <c r="K53" s="764" t="str">
        <f ca="1">_xll.VAData($C$3,K$8,$C53,K$10,$C$5,$C$4,$C$7)</f>
        <v>-</v>
      </c>
      <c r="L53" s="764" t="str">
        <f ca="1">_xll.VAData($C$3,L$8,$C53,L$10,$C$5,$C$4,$C$7)</f>
        <v>-</v>
      </c>
      <c r="M53" s="764" t="str">
        <f ca="1">_xll.VAData($C$3,M$8,$C53,M$10,$C$5,$C$4,$C$7)</f>
        <v>-</v>
      </c>
      <c r="N53" s="764">
        <f ca="1">_xll.VAData($C$3,N$8,$C53,N$10,$C$5,$C$4,$C$7)</f>
        <v>0</v>
      </c>
      <c r="O53" s="764" t="str">
        <f ca="1">_xll.VAData($C$3,O$8,$C53,O$10,$C$5,$C$4,$C$7)</f>
        <v>-</v>
      </c>
      <c r="P53" s="764" t="str">
        <f ca="1">_xll.VAData($C$3,P$8,$C53,P$10,$C$5,$C$4,$C$7)</f>
        <v>-</v>
      </c>
      <c r="Q53" s="764" t="str">
        <f ca="1">_xll.VAData($C$3,Q$8,$C53,Q$10,$C$5,$C$4,$C$7)</f>
        <v>-</v>
      </c>
      <c r="R53" s="764" t="str">
        <f ca="1">_xll.VAData($C$3,R$8,$C53,R$10,$C$5,$C$4,$C$7)</f>
        <v>-</v>
      </c>
      <c r="S53" s="764">
        <f ca="1">_xll.VAData($C$3,S$8,$C53,S$10,$C$5,$C$4,$C$7)</f>
        <v>0</v>
      </c>
      <c r="T53" s="764">
        <f ca="1">_xll.VAData($C$3,T$8,$C53,T$10,$C$5,$C$4,$C$7)</f>
        <v>0</v>
      </c>
      <c r="U53" s="764">
        <f ca="1">_xll.VAData($C$3,U$8,$C53,U$10,$C$5,$C$4,$C$7)</f>
        <v>17.595888077285025</v>
      </c>
      <c r="V53" s="764">
        <f ca="1">_xll.VAData($C$3,V$8,$C53,V$10,$C$5,$C$4,$C$7)</f>
        <v>64.903330534390847</v>
      </c>
      <c r="W53" s="764">
        <f ca="1">_xll.VAData($C$3,W$8,$C53,W$10,$C$5,$C$4,$C$7)</f>
        <v>176.60190447532116</v>
      </c>
      <c r="X53" s="764">
        <f ca="1">_xll.VAData($C$3,X$8,$C53,X$10,$C$5,$C$4,$C$7)</f>
        <v>303.99642080742575</v>
      </c>
      <c r="Y53" s="764">
        <f ca="1">_xll.VAData($C$3,Y$8,$C53,Y$10,$C$5,$C$4,$C$7)</f>
        <v>460.44518345459716</v>
      </c>
      <c r="Z53" s="764">
        <f ca="1">_xll.VAData($C$3,Z$8,$C53,Z$10,$C$5,$C$4,$C$7)</f>
        <v>624.64746869228929</v>
      </c>
      <c r="AA53" s="764">
        <f ca="1">_xll.VAData($C$3,AA$8,$C53,AA$10,$C$5,$C$4,$C$7)</f>
        <v>784.82591454498129</v>
      </c>
    </row>
    <row r="54" spans="2:27" ht="12.75" customHeight="1" x14ac:dyDescent="0.35">
      <c r="B54" s="762" t="s">
        <v>175</v>
      </c>
      <c r="C54" s="762" t="s">
        <v>410</v>
      </c>
      <c r="D54" s="762" t="s">
        <v>311</v>
      </c>
      <c r="E54" s="764" t="s">
        <v>311</v>
      </c>
      <c r="F54" s="764" t="s">
        <v>311</v>
      </c>
      <c r="G54" s="764" t="s">
        <v>311</v>
      </c>
      <c r="H54" s="764" t="s">
        <v>311</v>
      </c>
      <c r="I54" s="764" t="s">
        <v>311</v>
      </c>
      <c r="J54" s="764" t="s">
        <v>311</v>
      </c>
      <c r="K54" s="764" t="s">
        <v>311</v>
      </c>
      <c r="L54" s="764" t="s">
        <v>311</v>
      </c>
      <c r="M54" s="764" t="s">
        <v>311</v>
      </c>
      <c r="N54" s="764" t="s">
        <v>311</v>
      </c>
      <c r="O54" s="764" t="s">
        <v>311</v>
      </c>
      <c r="P54" s="764" t="s">
        <v>311</v>
      </c>
      <c r="Q54" s="764" t="s">
        <v>311</v>
      </c>
      <c r="R54" s="764" t="s">
        <v>311</v>
      </c>
      <c r="S54" s="764" t="s">
        <v>311</v>
      </c>
      <c r="T54" s="764" t="s">
        <v>311</v>
      </c>
      <c r="U54" s="764" t="s">
        <v>311</v>
      </c>
      <c r="V54" s="764" t="s">
        <v>311</v>
      </c>
      <c r="W54" s="764" t="s">
        <v>311</v>
      </c>
      <c r="X54" s="764" t="s">
        <v>311</v>
      </c>
      <c r="Y54" s="764" t="s">
        <v>311</v>
      </c>
      <c r="Z54" s="764" t="s">
        <v>311</v>
      </c>
      <c r="AA54" s="764" t="s">
        <v>311</v>
      </c>
    </row>
    <row r="55" spans="2:27" ht="12.75" customHeight="1" x14ac:dyDescent="0.35">
      <c r="B55" s="762" t="s">
        <v>518</v>
      </c>
      <c r="C55" s="766" t="s">
        <v>517</v>
      </c>
      <c r="D55" s="762" t="s">
        <v>313</v>
      </c>
      <c r="E55" s="764" t="str">
        <f ca="1">_xll.VAData($C$3,E$8,$C55,E$10,$C$5,$C$4,$C$7)</f>
        <v>-</v>
      </c>
      <c r="F55" s="764" t="str">
        <f ca="1">_xll.VAData($C$3,F$8,$C55,F$10,$C$5,$C$4,$C$7)</f>
        <v>-</v>
      </c>
      <c r="G55" s="764" t="str">
        <f ca="1">_xll.VAData($C$3,G$8,$C55,G$10,$C$5,$C$4,$C$7)</f>
        <v>-</v>
      </c>
      <c r="H55" s="764" t="str">
        <f ca="1">_xll.VAData($C$3,H$8,$C55,H$10,$C$5,$C$4,$C$7)</f>
        <v>-</v>
      </c>
      <c r="I55" s="764">
        <f ca="1">_xll.VAData($C$3,I$8,$C55,I$10,$C$5,$C$4,$C$7)</f>
        <v>0</v>
      </c>
      <c r="J55" s="764" t="str">
        <f ca="1">_xll.VAData($C$3,J$8,$C55,J$10,$C$5,$C$4,$C$7)</f>
        <v>-</v>
      </c>
      <c r="K55" s="764" t="str">
        <f ca="1">_xll.VAData($C$3,K$8,$C55,K$10,$C$5,$C$4,$C$7)</f>
        <v>-</v>
      </c>
      <c r="L55" s="764" t="str">
        <f ca="1">_xll.VAData($C$3,L$8,$C55,L$10,$C$5,$C$4,$C$7)</f>
        <v>-</v>
      </c>
      <c r="M55" s="764" t="str">
        <f ca="1">_xll.VAData($C$3,M$8,$C55,M$10,$C$5,$C$4,$C$7)</f>
        <v>-</v>
      </c>
      <c r="N55" s="764">
        <f ca="1">_xll.VAData($C$3,N$8,$C55,N$10,$C$5,$C$4,$C$7)</f>
        <v>0</v>
      </c>
      <c r="O55" s="764" t="str">
        <f ca="1">_xll.VAData($C$3,O$8,$C55,O$10,$C$5,$C$4,$C$7)</f>
        <v>-</v>
      </c>
      <c r="P55" s="764" t="str">
        <f ca="1">_xll.VAData($C$3,P$8,$C55,P$10,$C$5,$C$4,$C$7)</f>
        <v>-</v>
      </c>
      <c r="Q55" s="764" t="str">
        <f ca="1">_xll.VAData($C$3,Q$8,$C55,Q$10,$C$5,$C$4,$C$7)</f>
        <v>-</v>
      </c>
      <c r="R55" s="764" t="str">
        <f ca="1">_xll.VAData($C$3,R$8,$C55,R$10,$C$5,$C$4,$C$7)</f>
        <v>-</v>
      </c>
      <c r="S55" s="764">
        <f ca="1">_xll.VAData($C$3,S$8,$C55,S$10,$C$5,$C$4,$C$7)</f>
        <v>0</v>
      </c>
      <c r="T55" s="764">
        <f ca="1">_xll.VAData($C$3,T$8,$C55,T$10,$C$5,$C$4,$C$7)</f>
        <v>0</v>
      </c>
      <c r="U55" s="764">
        <f ca="1">_xll.VAData($C$3,U$8,$C55,U$10,$C$5,$C$4,$C$7)</f>
        <v>0</v>
      </c>
      <c r="V55" s="764">
        <f ca="1">_xll.VAData($C$3,V$8,$C55,V$10,$C$5,$C$4,$C$7)</f>
        <v>0</v>
      </c>
      <c r="W55" s="764">
        <f ca="1">_xll.VAData($C$3,W$8,$C55,W$10,$C$5,$C$4,$C$7)</f>
        <v>0</v>
      </c>
      <c r="X55" s="764">
        <f ca="1">_xll.VAData($C$3,X$8,$C55,X$10,$C$5,$C$4,$C$7)</f>
        <v>0</v>
      </c>
      <c r="Y55" s="764">
        <f ca="1">_xll.VAData($C$3,Y$8,$C55,Y$10,$C$5,$C$4,$C$7)</f>
        <v>2.09601506128186</v>
      </c>
      <c r="Z55" s="764">
        <f ca="1">_xll.VAData($C$3,Z$8,$C55,Z$10,$C$5,$C$4,$C$7)</f>
        <v>20.414770723021491</v>
      </c>
      <c r="AA55" s="764">
        <f ca="1">_xll.VAData($C$3,AA$8,$C55,AA$10,$C$5,$C$4,$C$7)</f>
        <v>82.413714056243691</v>
      </c>
    </row>
    <row r="56" spans="2:27" ht="12.75" customHeight="1" x14ac:dyDescent="0.35">
      <c r="B56" s="762" t="s">
        <v>516</v>
      </c>
      <c r="C56" s="768" t="s">
        <v>515</v>
      </c>
      <c r="D56" s="762" t="s">
        <v>313</v>
      </c>
      <c r="E56" s="764" t="str">
        <f ca="1">_xll.VAData($C$3,E$8,$C56,E$10,$C$5,$C$4,$C$7)</f>
        <v>-</v>
      </c>
      <c r="F56" s="764" t="str">
        <f ca="1">_xll.VAData($C$3,F$8,$C56,F$10,$C$5,$C$4,$C$7)</f>
        <v>-</v>
      </c>
      <c r="G56" s="764" t="str">
        <f ca="1">_xll.VAData($C$3,G$8,$C56,G$10,$C$5,$C$4,$C$7)</f>
        <v>-</v>
      </c>
      <c r="H56" s="764" t="str">
        <f ca="1">_xll.VAData($C$3,H$8,$C56,H$10,$C$5,$C$4,$C$7)</f>
        <v>-</v>
      </c>
      <c r="I56" s="764">
        <f ca="1">_xll.VAData($C$3,I$8,$C56,I$10,$C$5,$C$4,$C$7)</f>
        <v>0</v>
      </c>
      <c r="J56" s="764" t="str">
        <f ca="1">_xll.VAData($C$3,J$8,$C56,J$10,$C$5,$C$4,$C$7)</f>
        <v>-</v>
      </c>
      <c r="K56" s="764" t="str">
        <f ca="1">_xll.VAData($C$3,K$8,$C56,K$10,$C$5,$C$4,$C$7)</f>
        <v>-</v>
      </c>
      <c r="L56" s="764" t="str">
        <f ca="1">_xll.VAData($C$3,L$8,$C56,L$10,$C$5,$C$4,$C$7)</f>
        <v>-</v>
      </c>
      <c r="M56" s="764" t="str">
        <f ca="1">_xll.VAData($C$3,M$8,$C56,M$10,$C$5,$C$4,$C$7)</f>
        <v>-</v>
      </c>
      <c r="N56" s="764">
        <f ca="1">_xll.VAData($C$3,N$8,$C56,N$10,$C$5,$C$4,$C$7)</f>
        <v>0</v>
      </c>
      <c r="O56" s="764" t="str">
        <f ca="1">_xll.VAData($C$3,O$8,$C56,O$10,$C$5,$C$4,$C$7)</f>
        <v>-</v>
      </c>
      <c r="P56" s="764" t="str">
        <f ca="1">_xll.VAData($C$3,P$8,$C56,P$10,$C$5,$C$4,$C$7)</f>
        <v>-</v>
      </c>
      <c r="Q56" s="764" t="str">
        <f ca="1">_xll.VAData($C$3,Q$8,$C56,Q$10,$C$5,$C$4,$C$7)</f>
        <v>-</v>
      </c>
      <c r="R56" s="764" t="str">
        <f ca="1">_xll.VAData($C$3,R$8,$C56,R$10,$C$5,$C$4,$C$7)</f>
        <v>-</v>
      </c>
      <c r="S56" s="764">
        <f ca="1">_xll.VAData($C$3,S$8,$C56,S$10,$C$5,$C$4,$C$7)</f>
        <v>0</v>
      </c>
      <c r="T56" s="764">
        <f ca="1">_xll.VAData($C$3,T$8,$C56,T$10,$C$5,$C$4,$C$7)</f>
        <v>0</v>
      </c>
      <c r="U56" s="764">
        <f ca="1">_xll.VAData($C$3,U$8,$C56,U$10,$C$5,$C$4,$C$7)</f>
        <v>0</v>
      </c>
      <c r="V56" s="764">
        <f ca="1">_xll.VAData($C$3,V$8,$C56,V$10,$C$5,$C$4,$C$7)</f>
        <v>0</v>
      </c>
      <c r="W56" s="764">
        <f ca="1">_xll.VAData($C$3,W$8,$C56,W$10,$C$5,$C$4,$C$7)</f>
        <v>0</v>
      </c>
      <c r="X56" s="764">
        <f ca="1">_xll.VAData($C$3,X$8,$C56,X$10,$C$5,$C$4,$C$7)</f>
        <v>0</v>
      </c>
      <c r="Y56" s="764">
        <f ca="1">_xll.VAData($C$3,Y$8,$C56,Y$10,$C$5,$C$4,$C$7)</f>
        <v>1.04800753064093</v>
      </c>
      <c r="Z56" s="764">
        <f ca="1">_xll.VAData($C$3,Z$8,$C56,Z$10,$C$5,$C$4,$C$7)</f>
        <v>8.1317333754137398</v>
      </c>
      <c r="AA56" s="764">
        <f ca="1">_xll.VAData($C$3,AA$8,$C56,AA$10,$C$5,$C$4,$C$7)</f>
        <v>29.977413731178093</v>
      </c>
    </row>
    <row r="57" spans="2:27" ht="12.75" customHeight="1" x14ac:dyDescent="0.35">
      <c r="B57" s="762" t="s">
        <v>175</v>
      </c>
      <c r="C57" s="762" t="s">
        <v>410</v>
      </c>
      <c r="D57" s="762" t="s">
        <v>311</v>
      </c>
      <c r="E57" s="764" t="s">
        <v>311</v>
      </c>
      <c r="F57" s="764" t="s">
        <v>311</v>
      </c>
      <c r="G57" s="764" t="s">
        <v>311</v>
      </c>
      <c r="H57" s="764" t="s">
        <v>311</v>
      </c>
      <c r="I57" s="764" t="s">
        <v>311</v>
      </c>
      <c r="J57" s="764" t="s">
        <v>311</v>
      </c>
      <c r="K57" s="764" t="s">
        <v>311</v>
      </c>
      <c r="L57" s="764" t="s">
        <v>311</v>
      </c>
      <c r="M57" s="764" t="s">
        <v>311</v>
      </c>
      <c r="N57" s="764" t="s">
        <v>311</v>
      </c>
      <c r="O57" s="764" t="s">
        <v>311</v>
      </c>
      <c r="P57" s="764" t="s">
        <v>311</v>
      </c>
      <c r="Q57" s="764" t="s">
        <v>311</v>
      </c>
      <c r="R57" s="764" t="s">
        <v>311</v>
      </c>
      <c r="S57" s="764" t="s">
        <v>311</v>
      </c>
      <c r="T57" s="764" t="s">
        <v>311</v>
      </c>
      <c r="U57" s="764" t="s">
        <v>311</v>
      </c>
      <c r="V57" s="764" t="s">
        <v>311</v>
      </c>
      <c r="W57" s="764" t="s">
        <v>311</v>
      </c>
      <c r="X57" s="764" t="s">
        <v>311</v>
      </c>
      <c r="Y57" s="764" t="s">
        <v>311</v>
      </c>
      <c r="Z57" s="764" t="s">
        <v>311</v>
      </c>
      <c r="AA57" s="764" t="s">
        <v>311</v>
      </c>
    </row>
    <row r="58" spans="2:27" ht="12.75" customHeight="1" x14ac:dyDescent="0.35">
      <c r="B58" s="762" t="s">
        <v>428</v>
      </c>
      <c r="C58" s="1069" t="s">
        <v>427</v>
      </c>
      <c r="D58" s="762" t="s">
        <v>313</v>
      </c>
      <c r="E58" s="764" t="str">
        <f ca="1">_xll.VAData($C$3,E$8,$C58,E$10,$C$5,$C$4,$C$7)</f>
        <v>-</v>
      </c>
      <c r="F58" s="764" t="str">
        <f ca="1">_xll.VAData($C$3,F$8,$C58,F$10,$C$5,$C$4,$C$7)</f>
        <v>-</v>
      </c>
      <c r="G58" s="764">
        <f ca="1">_xll.VAData($C$3,G$8,$C58,G$10,$C$5,$C$4,$C$7)</f>
        <v>0</v>
      </c>
      <c r="H58" s="764">
        <f ca="1">_xll.VAData($C$3,H$8,$C58,H$10,$C$5,$C$4,$C$7)</f>
        <v>0</v>
      </c>
      <c r="I58" s="764">
        <f ca="1">_xll.VAData($C$3,I$8,$C58,I$10,$C$5,$C$4,$C$7)</f>
        <v>0</v>
      </c>
      <c r="J58" s="764">
        <f ca="1">_xll.VAData($C$3,J$8,$C58,J$10,$C$5,$C$4,$C$7)</f>
        <v>0</v>
      </c>
      <c r="K58" s="764">
        <f ca="1">_xll.VAData($C$3,K$8,$C58,K$10,$C$5,$C$4,$C$7)</f>
        <v>0</v>
      </c>
      <c r="L58" s="764">
        <f ca="1">_xll.VAData($C$3,L$8,$C58,L$10,$C$5,$C$4,$C$7)</f>
        <v>0</v>
      </c>
      <c r="M58" s="764">
        <f ca="1">_xll.VAData($C$3,M$8,$C58,M$10,$C$5,$C$4,$C$7)</f>
        <v>0</v>
      </c>
      <c r="N58" s="764">
        <f ca="1">_xll.VAData($C$3,N$8,$C58,N$10,$C$5,$C$4,$C$7)</f>
        <v>0</v>
      </c>
      <c r="O58" s="764" t="str">
        <f ca="1">_xll.VAData($C$3,O$8,$C58,O$10,$C$5,$C$4,$C$7)</f>
        <v>-</v>
      </c>
      <c r="P58" s="764" t="str">
        <f ca="1">_xll.VAData($C$3,P$8,$C58,P$10,$C$5,$C$4,$C$7)</f>
        <v>-</v>
      </c>
      <c r="Q58" s="764" t="str">
        <f ca="1">_xll.VAData($C$3,Q$8,$C58,Q$10,$C$5,$C$4,$C$7)</f>
        <v>-</v>
      </c>
      <c r="R58" s="764" t="str">
        <f ca="1">_xll.VAData($C$3,R$8,$C58,R$10,$C$5,$C$4,$C$7)</f>
        <v>-</v>
      </c>
      <c r="S58" s="764">
        <f ca="1">_xll.VAData($C$3,S$8,$C58,S$10,$C$5,$C$4,$C$7)</f>
        <v>0</v>
      </c>
      <c r="T58" s="764">
        <f ca="1">_xll.VAData($C$3,T$8,$C58,T$10,$C$5,$C$4,$C$7)</f>
        <v>0</v>
      </c>
      <c r="U58" s="764">
        <f ca="1">_xll.VAData($C$3,U$8,$C58,U$10,$C$5,$C$4,$C$7)</f>
        <v>29.32648012880825</v>
      </c>
      <c r="V58" s="764">
        <f ca="1">_xll.VAData($C$3,V$8,$C58,V$10,$C$5,$C$4,$C$7)</f>
        <v>114.0846211723788</v>
      </c>
      <c r="W58" s="764">
        <f ca="1">_xll.VAData($C$3,W$8,$C58,W$10,$C$5,$C$4,$C$7)</f>
        <v>268.90584389152878</v>
      </c>
      <c r="X58" s="764">
        <f ca="1">_xll.VAData($C$3,X$8,$C58,X$10,$C$5,$C$4,$C$7)</f>
        <v>522.19664026329394</v>
      </c>
      <c r="Y58" s="764">
        <f ca="1">_xll.VAData($C$3,Y$8,$C58,Y$10,$C$5,$C$4,$C$7)</f>
        <v>841.55351774014298</v>
      </c>
      <c r="Z58" s="764">
        <f ca="1">_xll.VAData($C$3,Z$8,$C58,Z$10,$C$5,$C$4,$C$7)</f>
        <v>1187.7675452202727</v>
      </c>
      <c r="AA58" s="764">
        <f ca="1">_xll.VAData($C$3,AA$8,$C58,AA$10,$C$5,$C$4,$C$7)</f>
        <v>1531.890086871126</v>
      </c>
    </row>
    <row r="59" spans="2:27" ht="12.75" customHeight="1" x14ac:dyDescent="0.35">
      <c r="B59" s="762" t="s">
        <v>426</v>
      </c>
      <c r="C59" s="763" t="s">
        <v>425</v>
      </c>
      <c r="D59" s="762" t="s">
        <v>313</v>
      </c>
      <c r="E59" s="764" t="str">
        <f ca="1">_xll.VAData($C$3,E$8,$C59,E$10,$C$5,$C$4,$C$7)</f>
        <v>-</v>
      </c>
      <c r="F59" s="764" t="str">
        <f ca="1">_xll.VAData($C$3,F$8,$C59,F$10,$C$5,$C$4,$C$7)</f>
        <v>-</v>
      </c>
      <c r="G59" s="764">
        <f ca="1">_xll.VAData($C$3,G$8,$C59,G$10,$C$5,$C$4,$C$7)</f>
        <v>0</v>
      </c>
      <c r="H59" s="764">
        <f ca="1">_xll.VAData($C$3,H$8,$C59,H$10,$C$5,$C$4,$C$7)</f>
        <v>0</v>
      </c>
      <c r="I59" s="764">
        <f ca="1">_xll.VAData($C$3,I$8,$C59,I$10,$C$5,$C$4,$C$7)</f>
        <v>0</v>
      </c>
      <c r="J59" s="764" t="str">
        <f ca="1">_xll.VAData($C$3,J$8,$C59,J$10,$C$5,$C$4,$C$7)</f>
        <v>-</v>
      </c>
      <c r="K59" s="764" t="str">
        <f ca="1">_xll.VAData($C$3,K$8,$C59,K$10,$C$5,$C$4,$C$7)</f>
        <v>-</v>
      </c>
      <c r="L59" s="764" t="str">
        <f ca="1">_xll.VAData($C$3,L$8,$C59,L$10,$C$5,$C$4,$C$7)</f>
        <v>-</v>
      </c>
      <c r="M59" s="764" t="str">
        <f ca="1">_xll.VAData($C$3,M$8,$C59,M$10,$C$5,$C$4,$C$7)</f>
        <v>-</v>
      </c>
      <c r="N59" s="764">
        <f ca="1">_xll.VAData($C$3,N$8,$C59,N$10,$C$5,$C$4,$C$7)</f>
        <v>0</v>
      </c>
      <c r="O59" s="764">
        <f ca="1">_xll.VAData($C$3,O$8,$C59,O$10,$C$5,$C$4,$C$7)</f>
        <v>0</v>
      </c>
      <c r="P59" s="764">
        <f ca="1">_xll.VAData($C$3,P$8,$C59,P$10,$C$5,$C$4,$C$7)</f>
        <v>0</v>
      </c>
      <c r="Q59" s="764">
        <f ca="1">_xll.VAData($C$3,Q$8,$C59,Q$10,$C$5,$C$4,$C$7)</f>
        <v>0</v>
      </c>
      <c r="R59" s="764">
        <f ca="1">_xll.VAData($C$3,R$8,$C59,R$10,$C$5,$C$4,$C$7)</f>
        <v>0</v>
      </c>
      <c r="S59" s="764">
        <f ca="1">_xll.VAData($C$3,S$8,$C59,S$10,$C$5,$C$4,$C$7)</f>
        <v>0</v>
      </c>
      <c r="T59" s="764">
        <f ca="1">_xll.VAData($C$3,T$8,$C59,T$10,$C$5,$C$4,$C$7)</f>
        <v>0</v>
      </c>
      <c r="U59" s="764">
        <f ca="1">_xll.VAData($C$3,U$8,$C59,U$10,$C$5,$C$4,$C$7)</f>
        <v>17.595888077285025</v>
      </c>
      <c r="V59" s="764">
        <f ca="1">_xll.VAData($C$3,V$8,$C59,V$10,$C$5,$C$4,$C$7)</f>
        <v>65.038297314285273</v>
      </c>
      <c r="W59" s="764">
        <f ca="1">_xll.VAData($C$3,W$8,$C59,W$10,$C$5,$C$4,$C$7)</f>
        <v>176.60190447532116</v>
      </c>
      <c r="X59" s="764">
        <f ca="1">_xll.VAData($C$3,X$8,$C59,X$10,$C$5,$C$4,$C$7)</f>
        <v>303.99642080742575</v>
      </c>
      <c r="Y59" s="764">
        <f ca="1">_xll.VAData($C$3,Y$8,$C59,Y$10,$C$5,$C$4,$C$7)</f>
        <v>460.79451929814417</v>
      </c>
      <c r="Z59" s="764">
        <f ca="1">_xll.VAData($C$3,Z$8,$C59,Z$10,$C$5,$C$4,$C$7)</f>
        <v>627.35804648409362</v>
      </c>
      <c r="AA59" s="764">
        <f ca="1">_xll.VAData($C$3,AA$8,$C59,AA$10,$C$5,$C$4,$C$7)</f>
        <v>794.8183857887077</v>
      </c>
    </row>
    <row r="60" spans="2:27" s="767" customFormat="1" ht="5" customHeight="1" x14ac:dyDescent="0.35">
      <c r="B60" s="767" t="s">
        <v>175</v>
      </c>
      <c r="C60" s="767" t="s">
        <v>311</v>
      </c>
      <c r="D60" s="767" t="s">
        <v>311</v>
      </c>
      <c r="E60" s="767" t="s">
        <v>311</v>
      </c>
      <c r="F60" s="767" t="s">
        <v>311</v>
      </c>
      <c r="G60" s="767" t="s">
        <v>311</v>
      </c>
      <c r="H60" s="767" t="s">
        <v>311</v>
      </c>
      <c r="I60" s="767" t="s">
        <v>311</v>
      </c>
      <c r="J60" s="767" t="s">
        <v>311</v>
      </c>
      <c r="K60" s="767" t="s">
        <v>311</v>
      </c>
      <c r="L60" s="767" t="s">
        <v>311</v>
      </c>
      <c r="M60" s="767" t="s">
        <v>311</v>
      </c>
      <c r="N60" s="767" t="s">
        <v>311</v>
      </c>
      <c r="O60" s="767" t="s">
        <v>311</v>
      </c>
      <c r="P60" s="767" t="s">
        <v>311</v>
      </c>
      <c r="Q60" s="767" t="s">
        <v>311</v>
      </c>
      <c r="R60" s="767" t="s">
        <v>311</v>
      </c>
      <c r="S60" s="767" t="s">
        <v>311</v>
      </c>
      <c r="T60" s="767" t="s">
        <v>311</v>
      </c>
      <c r="U60" s="767" t="s">
        <v>311</v>
      </c>
      <c r="V60" s="767" t="s">
        <v>311</v>
      </c>
      <c r="W60" s="767" t="s">
        <v>311</v>
      </c>
      <c r="X60" s="767" t="s">
        <v>311</v>
      </c>
      <c r="Y60" s="767" t="s">
        <v>311</v>
      </c>
      <c r="Z60" s="767" t="s">
        <v>311</v>
      </c>
      <c r="AA60" s="767" t="s">
        <v>311</v>
      </c>
    </row>
    <row r="62" spans="2:27" ht="12.75" customHeight="1" x14ac:dyDescent="0.35">
      <c r="C62" s="770" t="s">
        <v>316</v>
      </c>
    </row>
    <row r="63" spans="2:27" ht="12.75" customHeight="1" x14ac:dyDescent="0.35">
      <c r="C63" s="770" t="s">
        <v>514</v>
      </c>
    </row>
    <row r="64" spans="2:27" ht="12.75" customHeight="1" x14ac:dyDescent="0.35">
      <c r="C64" s="770" t="s">
        <v>317</v>
      </c>
    </row>
    <row r="65" spans="3:3" ht="12.75" customHeight="1" x14ac:dyDescent="0.35">
      <c r="C65" s="770" t="s">
        <v>407</v>
      </c>
    </row>
  </sheetData>
  <mergeCells count="1">
    <mergeCell ref="E1:G1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CCA8-3360-4537-A151-5406BD965B05}">
  <sheetPr>
    <tabColor theme="7" tint="0.59999389629810485"/>
  </sheetPr>
  <dimension ref="B2:G16"/>
  <sheetViews>
    <sheetView workbookViewId="0">
      <selection activeCell="N14" sqref="N14"/>
    </sheetView>
  </sheetViews>
  <sheetFormatPr defaultRowHeight="14.5" x14ac:dyDescent="0.35"/>
  <cols>
    <col min="2" max="2" width="13.90625" customWidth="1"/>
    <col min="3" max="3" width="10.1796875" customWidth="1"/>
    <col min="4" max="4" width="21.90625" customWidth="1"/>
    <col min="5" max="5" width="8.81640625" customWidth="1"/>
    <col min="6" max="6" width="13.7265625" customWidth="1"/>
  </cols>
  <sheetData>
    <row r="2" spans="2:7" x14ac:dyDescent="0.35">
      <c r="C2" s="282"/>
      <c r="D2" s="282"/>
      <c r="E2" s="282"/>
      <c r="F2" s="282"/>
      <c r="G2" s="282"/>
    </row>
    <row r="3" spans="2:7" ht="29.5" thickBot="1" x14ac:dyDescent="0.4">
      <c r="B3" s="99"/>
      <c r="C3" s="1032" t="s">
        <v>494</v>
      </c>
      <c r="D3" s="1032" t="s">
        <v>499</v>
      </c>
      <c r="E3" s="1032" t="s">
        <v>500</v>
      </c>
      <c r="F3" s="1032" t="s">
        <v>495</v>
      </c>
      <c r="G3" s="282"/>
    </row>
    <row r="4" spans="2:7" x14ac:dyDescent="0.35">
      <c r="B4" s="1035" t="s">
        <v>496</v>
      </c>
      <c r="C4" s="1036">
        <v>0.35</v>
      </c>
      <c r="D4" s="1036">
        <v>0.55000000000000004</v>
      </c>
      <c r="E4" s="1036">
        <v>0.25</v>
      </c>
      <c r="F4" s="1037">
        <v>37</v>
      </c>
      <c r="G4" s="1029"/>
    </row>
    <row r="5" spans="2:7" ht="29" x14ac:dyDescent="0.35">
      <c r="B5" s="1038" t="s">
        <v>492</v>
      </c>
      <c r="C5" s="1033">
        <v>0.2</v>
      </c>
      <c r="D5" s="1033">
        <v>0.6</v>
      </c>
      <c r="E5" s="1033">
        <v>0.25</v>
      </c>
      <c r="F5" s="1039">
        <v>25</v>
      </c>
      <c r="G5" s="1030">
        <f>F5/F4-1</f>
        <v>-0.32432432432432434</v>
      </c>
    </row>
    <row r="6" spans="2:7" ht="43.5" x14ac:dyDescent="0.35">
      <c r="B6" s="1040" t="s">
        <v>497</v>
      </c>
      <c r="C6" s="1034">
        <v>0.35</v>
      </c>
      <c r="D6" s="1034">
        <v>0.65</v>
      </c>
      <c r="E6" s="1034">
        <v>0.3</v>
      </c>
      <c r="F6" s="1041">
        <v>47</v>
      </c>
      <c r="G6" s="1031">
        <f>F6/$F$4-1</f>
        <v>0.27027027027027017</v>
      </c>
    </row>
    <row r="7" spans="2:7" ht="44" thickBot="1" x14ac:dyDescent="0.4">
      <c r="B7" s="1042" t="s">
        <v>493</v>
      </c>
      <c r="C7" s="1043">
        <v>0.4</v>
      </c>
      <c r="D7" s="1043">
        <v>0.65</v>
      </c>
      <c r="E7" s="1043">
        <v>0.3</v>
      </c>
      <c r="F7" s="1044">
        <v>53</v>
      </c>
      <c r="G7" s="1031">
        <f>F7/$F$4-1</f>
        <v>0.43243243243243246</v>
      </c>
    </row>
    <row r="10" spans="2:7" x14ac:dyDescent="0.35">
      <c r="B10" s="99"/>
      <c r="C10" s="99"/>
      <c r="D10" s="1045"/>
      <c r="E10" s="99"/>
      <c r="F10" s="99"/>
    </row>
    <row r="11" spans="2:7" ht="15" thickBot="1" x14ac:dyDescent="0.4">
      <c r="B11" s="99"/>
      <c r="C11" s="99"/>
      <c r="D11" s="1045"/>
      <c r="E11" s="1046" t="s">
        <v>74</v>
      </c>
      <c r="F11" s="1046" t="s">
        <v>505</v>
      </c>
    </row>
    <row r="12" spans="2:7" ht="43.5" x14ac:dyDescent="0.35">
      <c r="B12" s="1050" t="s">
        <v>501</v>
      </c>
      <c r="C12" s="1051" t="s">
        <v>512</v>
      </c>
      <c r="D12" s="1052" t="s">
        <v>504</v>
      </c>
      <c r="E12" s="1053">
        <v>65</v>
      </c>
      <c r="F12" s="1062" t="s">
        <v>513</v>
      </c>
    </row>
    <row r="13" spans="2:7" ht="58" x14ac:dyDescent="0.35">
      <c r="B13" s="1054" t="s">
        <v>502</v>
      </c>
      <c r="C13" s="1047" t="s">
        <v>507</v>
      </c>
      <c r="D13" s="1048" t="s">
        <v>508</v>
      </c>
      <c r="E13" s="1049">
        <v>20</v>
      </c>
      <c r="F13" s="1059" t="s">
        <v>506</v>
      </c>
    </row>
    <row r="14" spans="2:7" ht="44" thickBot="1" x14ac:dyDescent="0.4">
      <c r="B14" s="1055" t="s">
        <v>503</v>
      </c>
      <c r="C14" s="1056" t="s">
        <v>509</v>
      </c>
      <c r="D14" s="1057" t="s">
        <v>510</v>
      </c>
      <c r="E14" s="1058">
        <v>10</v>
      </c>
      <c r="F14" s="1060" t="s">
        <v>511</v>
      </c>
    </row>
    <row r="15" spans="2:7" x14ac:dyDescent="0.35">
      <c r="D15" s="282"/>
    </row>
    <row r="16" spans="2:7" x14ac:dyDescent="0.35">
      <c r="D16" s="282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AAC1-E929-4CD1-A51E-088AD5DBD5EF}">
  <sheetPr>
    <tabColor theme="4" tint="0.59999389629810485"/>
    <pageSetUpPr fitToPage="1"/>
  </sheetPr>
  <dimension ref="A1:P53"/>
  <sheetViews>
    <sheetView zoomScale="80" zoomScaleNormal="80" workbookViewId="0">
      <pane xSplit="1" ySplit="5" topLeftCell="B6" activePane="bottomRight" state="frozen"/>
      <selection activeCell="J34" sqref="J34"/>
      <selection pane="topRight" activeCell="J34" sqref="J34"/>
      <selection pane="bottomLeft" activeCell="J34" sqref="J34"/>
      <selection pane="bottomRight" sqref="A1:H44"/>
    </sheetView>
  </sheetViews>
  <sheetFormatPr defaultRowHeight="14.5" outlineLevelRow="1" outlineLevelCol="1" x14ac:dyDescent="0.35"/>
  <cols>
    <col min="1" max="1" width="64.81640625" customWidth="1"/>
    <col min="2" max="7" width="9.81640625" customWidth="1"/>
    <col min="8" max="13" width="9.81640625" customWidth="1" outlineLevel="1"/>
  </cols>
  <sheetData>
    <row r="1" spans="1:13" x14ac:dyDescent="0.35">
      <c r="A1" s="1" t="s">
        <v>445</v>
      </c>
    </row>
    <row r="2" spans="1:13" x14ac:dyDescent="0.35">
      <c r="A2" s="1" t="s">
        <v>68</v>
      </c>
    </row>
    <row r="3" spans="1:13" x14ac:dyDescent="0.35">
      <c r="A3" s="4" t="s">
        <v>54</v>
      </c>
    </row>
    <row r="4" spans="1:13" ht="15" thickBot="1" x14ac:dyDescent="0.4"/>
    <row r="5" spans="1:13" ht="15" thickBot="1" x14ac:dyDescent="0.4">
      <c r="A5" s="89"/>
      <c r="B5" s="703" t="str">
        <f>BS!B4</f>
        <v>2024A</v>
      </c>
      <c r="C5" s="703" t="str">
        <f>BS!C4</f>
        <v>2025A</v>
      </c>
      <c r="D5" s="703" t="str">
        <f>BS!D4</f>
        <v>2026E</v>
      </c>
      <c r="E5" s="703" t="str">
        <f>BS!E4</f>
        <v>2027E</v>
      </c>
      <c r="F5" s="703" t="str">
        <f>BS!F4</f>
        <v>2028E</v>
      </c>
      <c r="G5" s="703" t="str">
        <f>BS!G4</f>
        <v>2029E</v>
      </c>
      <c r="H5" s="703" t="str">
        <f>BS!H4</f>
        <v>2030E</v>
      </c>
      <c r="I5" s="703" t="str">
        <f>BS!I4</f>
        <v>2031E</v>
      </c>
      <c r="J5" s="703" t="str">
        <f>BS!J4</f>
        <v>2032E</v>
      </c>
      <c r="K5" s="703" t="str">
        <f>BS!K4</f>
        <v>2033E</v>
      </c>
      <c r="L5" s="703" t="str">
        <f>BS!L4</f>
        <v>2034E</v>
      </c>
      <c r="M5" s="703" t="str">
        <f>BS!M4</f>
        <v>2035E</v>
      </c>
    </row>
    <row r="6" spans="1:13" x14ac:dyDescent="0.35">
      <c r="A6" s="74" t="s">
        <v>56</v>
      </c>
      <c r="B6" s="535"/>
      <c r="C6" s="535"/>
      <c r="D6" s="92"/>
      <c r="E6" s="92"/>
      <c r="F6" s="92"/>
      <c r="G6" s="92"/>
      <c r="H6" s="92"/>
      <c r="I6" s="92"/>
      <c r="J6" s="92"/>
      <c r="K6" s="92"/>
      <c r="L6" s="92"/>
      <c r="M6" s="92"/>
    </row>
    <row r="7" spans="1:13" x14ac:dyDescent="0.35">
      <c r="A7" s="72" t="s">
        <v>57</v>
      </c>
      <c r="B7" s="535">
        <v>-77.58</v>
      </c>
      <c r="C7" s="535">
        <v>-161.15199999999999</v>
      </c>
      <c r="D7" s="92">
        <f>IS!AJ35</f>
        <v>-206.39999999999998</v>
      </c>
      <c r="E7" s="92">
        <f>IS!AK35</f>
        <v>-214.39200000000002</v>
      </c>
      <c r="F7" s="92">
        <f>IS!AL35</f>
        <v>-253.38890891249997</v>
      </c>
      <c r="G7" s="92">
        <f>IS!AM35</f>
        <v>-255.18414442470763</v>
      </c>
      <c r="H7" s="92">
        <f>IS!AN35</f>
        <v>-163.26171798135769</v>
      </c>
      <c r="I7" s="92">
        <f>IS!AO35</f>
        <v>26.986542955244808</v>
      </c>
      <c r="J7" s="92">
        <f>IS!AP35</f>
        <v>301.66992944656323</v>
      </c>
      <c r="K7" s="92">
        <f>IS!AQ35</f>
        <v>526.57301593573698</v>
      </c>
      <c r="L7" s="92">
        <f>IS!AR35</f>
        <v>649.89064374186728</v>
      </c>
      <c r="M7" s="92">
        <f>IS!AS35</f>
        <v>818.20367851841775</v>
      </c>
    </row>
    <row r="8" spans="1:13" x14ac:dyDescent="0.35">
      <c r="A8" s="72" t="s">
        <v>58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</row>
    <row r="9" spans="1:13" x14ac:dyDescent="0.35">
      <c r="A9" s="72" t="s">
        <v>456</v>
      </c>
      <c r="B9" s="535">
        <v>0.70099999999999996</v>
      </c>
      <c r="C9" s="535">
        <v>0.57799999999999996</v>
      </c>
      <c r="D9" s="540">
        <f t="shared" ref="D9:M9" si="0">C9</f>
        <v>0.57799999999999996</v>
      </c>
      <c r="E9" s="92">
        <f t="shared" si="0"/>
        <v>0.57799999999999996</v>
      </c>
      <c r="F9" s="92">
        <f t="shared" si="0"/>
        <v>0.57799999999999996</v>
      </c>
      <c r="G9" s="92">
        <f t="shared" si="0"/>
        <v>0.57799999999999996</v>
      </c>
      <c r="H9" s="92">
        <f t="shared" si="0"/>
        <v>0.57799999999999996</v>
      </c>
      <c r="I9" s="92">
        <f t="shared" si="0"/>
        <v>0.57799999999999996</v>
      </c>
      <c r="J9" s="92">
        <f t="shared" si="0"/>
        <v>0.57799999999999996</v>
      </c>
      <c r="K9" s="92">
        <f t="shared" si="0"/>
        <v>0.57799999999999996</v>
      </c>
      <c r="L9" s="92">
        <f t="shared" si="0"/>
        <v>0.57799999999999996</v>
      </c>
      <c r="M9" s="92">
        <f t="shared" si="0"/>
        <v>0.57799999999999996</v>
      </c>
    </row>
    <row r="10" spans="1:13" x14ac:dyDescent="0.35">
      <c r="A10" s="72" t="s">
        <v>59</v>
      </c>
      <c r="B10" s="535">
        <v>1.08</v>
      </c>
      <c r="C10" s="535">
        <v>36.006</v>
      </c>
      <c r="D10" s="540">
        <f>OPEX!T11+OPEX!T32</f>
        <v>40.400000000000006</v>
      </c>
      <c r="E10" s="92">
        <f>OPEX!U11+OPEX!U32</f>
        <v>41.612000000000009</v>
      </c>
      <c r="F10" s="92">
        <f>OPEX!V11+OPEX!V32</f>
        <v>42.860360000000007</v>
      </c>
      <c r="G10" s="92">
        <f>OPEX!W11+OPEX!W32</f>
        <v>44.146170800000007</v>
      </c>
      <c r="H10" s="92">
        <f>OPEX!X11+OPEX!X32</f>
        <v>45.47055592400001</v>
      </c>
      <c r="I10" s="92">
        <f>OPEX!Y11+OPEX!Y32</f>
        <v>46.834672601720015</v>
      </c>
      <c r="J10" s="92">
        <f>OPEX!Z11+OPEX!Z32</f>
        <v>48.239712779771615</v>
      </c>
      <c r="K10" s="92">
        <f>OPEX!AA11+OPEX!AA32</f>
        <v>49.686904163164769</v>
      </c>
      <c r="L10" s="92">
        <f>OPEX!AB11+OPEX!AB32</f>
        <v>51.177511288059712</v>
      </c>
      <c r="M10" s="92">
        <f>OPEX!AC11+OPEX!AC32</f>
        <v>52.712836626701502</v>
      </c>
    </row>
    <row r="11" spans="1:13" x14ac:dyDescent="0.35">
      <c r="A11" s="72" t="s">
        <v>457</v>
      </c>
      <c r="B11" s="535">
        <v>-1.7410000000000001</v>
      </c>
      <c r="C11" s="535">
        <v>-2.1019999999999999</v>
      </c>
      <c r="D11" s="540">
        <f>C11</f>
        <v>-2.1019999999999999</v>
      </c>
      <c r="E11" s="92">
        <f t="shared" ref="E11:M11" si="1">D11</f>
        <v>-2.1019999999999999</v>
      </c>
      <c r="F11" s="92">
        <f t="shared" si="1"/>
        <v>-2.1019999999999999</v>
      </c>
      <c r="G11" s="92">
        <f t="shared" si="1"/>
        <v>-2.1019999999999999</v>
      </c>
      <c r="H11" s="92">
        <f t="shared" si="1"/>
        <v>-2.1019999999999999</v>
      </c>
      <c r="I11" s="92">
        <f t="shared" si="1"/>
        <v>-2.1019999999999999</v>
      </c>
      <c r="J11" s="92">
        <f t="shared" si="1"/>
        <v>-2.1019999999999999</v>
      </c>
      <c r="K11" s="92">
        <f t="shared" si="1"/>
        <v>-2.1019999999999999</v>
      </c>
      <c r="L11" s="92">
        <f t="shared" si="1"/>
        <v>-2.1019999999999999</v>
      </c>
      <c r="M11" s="92">
        <f t="shared" si="1"/>
        <v>-2.1019999999999999</v>
      </c>
    </row>
    <row r="12" spans="1:13" x14ac:dyDescent="0.35">
      <c r="A12" s="72" t="s">
        <v>458</v>
      </c>
      <c r="B12" s="535">
        <v>0</v>
      </c>
      <c r="C12" s="535">
        <v>0.496</v>
      </c>
      <c r="D12" s="540">
        <f t="shared" ref="D12:M12" si="2">C12</f>
        <v>0.496</v>
      </c>
      <c r="E12" s="92">
        <f t="shared" si="2"/>
        <v>0.496</v>
      </c>
      <c r="F12" s="92">
        <f t="shared" si="2"/>
        <v>0.496</v>
      </c>
      <c r="G12" s="92">
        <f t="shared" si="2"/>
        <v>0.496</v>
      </c>
      <c r="H12" s="92">
        <f t="shared" si="2"/>
        <v>0.496</v>
      </c>
      <c r="I12" s="92">
        <f t="shared" si="2"/>
        <v>0.496</v>
      </c>
      <c r="J12" s="92">
        <f t="shared" si="2"/>
        <v>0.496</v>
      </c>
      <c r="K12" s="92">
        <f t="shared" si="2"/>
        <v>0.496</v>
      </c>
      <c r="L12" s="92">
        <f t="shared" si="2"/>
        <v>0.496</v>
      </c>
      <c r="M12" s="92">
        <f t="shared" si="2"/>
        <v>0.496</v>
      </c>
    </row>
    <row r="13" spans="1:13" x14ac:dyDescent="0.35">
      <c r="A13" s="72" t="s">
        <v>459</v>
      </c>
      <c r="B13" s="535">
        <v>0.745</v>
      </c>
      <c r="C13" s="535">
        <v>0.86599999999999999</v>
      </c>
      <c r="D13" s="1017">
        <f>BS!D23-BS!C23</f>
        <v>9.9999999999999978E-2</v>
      </c>
      <c r="E13" s="1017">
        <f>BS!E23-BS!D23</f>
        <v>9.9999999999999978E-2</v>
      </c>
      <c r="F13" s="1017">
        <f>BS!F23-BS!E23</f>
        <v>0.10000000000000009</v>
      </c>
      <c r="G13" s="1017">
        <f>BS!G23-BS!F23</f>
        <v>0.10000000000000009</v>
      </c>
      <c r="H13" s="1017">
        <f>BS!H23-BS!G23</f>
        <v>0.10000000000000009</v>
      </c>
      <c r="I13" s="1017">
        <f>BS!I23-BS!H23</f>
        <v>0.10000000000000009</v>
      </c>
      <c r="J13" s="1017">
        <f>BS!J23-BS!I23</f>
        <v>0.10000000000000009</v>
      </c>
      <c r="K13" s="1017">
        <f>BS!K23-BS!J23</f>
        <v>0.10000000000000009</v>
      </c>
      <c r="L13" s="1017">
        <f>BS!L23-BS!K23</f>
        <v>0.10000000000000009</v>
      </c>
      <c r="M13" s="1017">
        <f>BS!M23-BS!L23</f>
        <v>0.10000000000000009</v>
      </c>
    </row>
    <row r="14" spans="1:13" x14ac:dyDescent="0.35">
      <c r="A14" s="72" t="s">
        <v>460</v>
      </c>
      <c r="B14" s="535">
        <v>0.98599999999999999</v>
      </c>
      <c r="C14" s="535">
        <v>0</v>
      </c>
      <c r="D14" s="540">
        <f>C14</f>
        <v>0</v>
      </c>
      <c r="E14" s="92">
        <f t="shared" ref="E14:M14" si="3">D14</f>
        <v>0</v>
      </c>
      <c r="F14" s="92">
        <f t="shared" si="3"/>
        <v>0</v>
      </c>
      <c r="G14" s="92">
        <f t="shared" si="3"/>
        <v>0</v>
      </c>
      <c r="H14" s="92">
        <f t="shared" si="3"/>
        <v>0</v>
      </c>
      <c r="I14" s="92">
        <f t="shared" si="3"/>
        <v>0</v>
      </c>
      <c r="J14" s="92">
        <f t="shared" si="3"/>
        <v>0</v>
      </c>
      <c r="K14" s="92">
        <f t="shared" si="3"/>
        <v>0</v>
      </c>
      <c r="L14" s="92">
        <f t="shared" si="3"/>
        <v>0</v>
      </c>
      <c r="M14" s="92">
        <f t="shared" si="3"/>
        <v>0</v>
      </c>
    </row>
    <row r="15" spans="1:13" x14ac:dyDescent="0.35">
      <c r="A15" s="72" t="s">
        <v>461</v>
      </c>
      <c r="B15" s="535">
        <v>5.8999999999999997E-2</v>
      </c>
      <c r="C15" s="535">
        <v>7.0000000000000001E-3</v>
      </c>
      <c r="D15" s="540">
        <f t="shared" ref="D15:M15" si="4">C15</f>
        <v>7.0000000000000001E-3</v>
      </c>
      <c r="E15" s="92">
        <f t="shared" si="4"/>
        <v>7.0000000000000001E-3</v>
      </c>
      <c r="F15" s="92">
        <f t="shared" si="4"/>
        <v>7.0000000000000001E-3</v>
      </c>
      <c r="G15" s="92">
        <f t="shared" si="4"/>
        <v>7.0000000000000001E-3</v>
      </c>
      <c r="H15" s="92">
        <f t="shared" si="4"/>
        <v>7.0000000000000001E-3</v>
      </c>
      <c r="I15" s="92">
        <f t="shared" si="4"/>
        <v>7.0000000000000001E-3</v>
      </c>
      <c r="J15" s="92">
        <f t="shared" si="4"/>
        <v>7.0000000000000001E-3</v>
      </c>
      <c r="K15" s="92">
        <f t="shared" si="4"/>
        <v>7.0000000000000001E-3</v>
      </c>
      <c r="L15" s="92">
        <f t="shared" si="4"/>
        <v>7.0000000000000001E-3</v>
      </c>
      <c r="M15" s="92">
        <f t="shared" si="4"/>
        <v>7.0000000000000001E-3</v>
      </c>
    </row>
    <row r="16" spans="1:13" ht="15" thickBot="1" x14ac:dyDescent="0.4">
      <c r="A16" s="72" t="s">
        <v>60</v>
      </c>
      <c r="B16" s="76">
        <f>SUM(B17:B24)</f>
        <v>-3.0649999999999999</v>
      </c>
      <c r="C16" s="76">
        <f>SUM(C17:C24)</f>
        <v>-12.835999999999999</v>
      </c>
      <c r="D16" s="957">
        <f t="shared" ref="D16:H16" si="5">SUM(D17:D24)</f>
        <v>2.5109999999999997</v>
      </c>
      <c r="E16" s="76">
        <f t="shared" si="5"/>
        <v>2.8</v>
      </c>
      <c r="F16" s="76">
        <f t="shared" si="5"/>
        <v>2.8</v>
      </c>
      <c r="G16" s="76">
        <f t="shared" si="5"/>
        <v>1.6183603792816579</v>
      </c>
      <c r="H16" s="76">
        <f t="shared" si="5"/>
        <v>-4.9876895677350719</v>
      </c>
      <c r="I16" s="76">
        <f t="shared" ref="I16:J16" si="6">SUM(I17:I24)</f>
        <v>-8.4956972310342032</v>
      </c>
      <c r="J16" s="76">
        <f t="shared" si="6"/>
        <v>-6.3704331483915597</v>
      </c>
      <c r="K16" s="76">
        <f t="shared" ref="K16:L16" si="7">SUM(K17:K24)</f>
        <v>-5.786306558567472</v>
      </c>
      <c r="L16" s="76">
        <f t="shared" si="7"/>
        <v>-5.0242013645041625</v>
      </c>
      <c r="M16" s="76">
        <f t="shared" ref="M16" si="8">SUM(M17:M24)</f>
        <v>-4.4024916886916374</v>
      </c>
    </row>
    <row r="17" spans="1:13" hidden="1" outlineLevel="1" x14ac:dyDescent="0.35">
      <c r="A17" s="717" t="s">
        <v>37</v>
      </c>
      <c r="B17" s="535">
        <v>0</v>
      </c>
      <c r="C17" s="535">
        <v>0</v>
      </c>
      <c r="D17" s="540">
        <f>BS!C9-BS!D9</f>
        <v>0</v>
      </c>
      <c r="E17" s="92">
        <f>BS!D9-BS!E9</f>
        <v>0</v>
      </c>
      <c r="F17" s="92">
        <f>BS!E9-BS!F9</f>
        <v>0</v>
      </c>
      <c r="G17" s="92">
        <f>BS!F9-BS!G9</f>
        <v>-1.1816396207183419</v>
      </c>
      <c r="H17" s="92">
        <f>BS!G9-BS!H9</f>
        <v>-7.7876895677350726</v>
      </c>
      <c r="I17" s="92">
        <f>BS!H9-BS!I9</f>
        <v>-15.3907486795101</v>
      </c>
      <c r="J17" s="92">
        <f>BS!I9-BS!J9</f>
        <v>-22.607592437364584</v>
      </c>
      <c r="K17" s="92">
        <f>BS!J9-BS!K9</f>
        <v>-20.885956172619942</v>
      </c>
      <c r="L17" s="92">
        <f>BS!K9-BS!L9</f>
        <v>-18.63975139011751</v>
      </c>
      <c r="M17" s="92">
        <f>BS!L9-BS!M9</f>
        <v>-16.807343924564861</v>
      </c>
    </row>
    <row r="18" spans="1:13" hidden="1" outlineLevel="1" x14ac:dyDescent="0.35">
      <c r="A18" s="717" t="s">
        <v>38</v>
      </c>
      <c r="B18" s="535">
        <v>-2.2770000000000001</v>
      </c>
      <c r="C18" s="535">
        <v>-13.103</v>
      </c>
      <c r="D18" s="540">
        <f>BS!C10-BS!D10</f>
        <v>-0.5</v>
      </c>
      <c r="E18" s="92">
        <f>BS!D10-BS!E10</f>
        <v>-0.5</v>
      </c>
      <c r="F18" s="92">
        <f>BS!E10-BS!F10</f>
        <v>-0.5</v>
      </c>
      <c r="G18" s="92">
        <f>BS!F10-BS!G10</f>
        <v>-0.5</v>
      </c>
      <c r="H18" s="92">
        <f>BS!G10-BS!H10</f>
        <v>-0.5</v>
      </c>
      <c r="I18" s="92">
        <f>BS!H10-BS!I10</f>
        <v>-0.5</v>
      </c>
      <c r="J18" s="92">
        <f>BS!I10-BS!J10</f>
        <v>-0.5</v>
      </c>
      <c r="K18" s="92">
        <f>BS!J10-BS!K10</f>
        <v>-0.5</v>
      </c>
      <c r="L18" s="92">
        <f>BS!K10-BS!L10</f>
        <v>-0.5</v>
      </c>
      <c r="M18" s="92">
        <f>BS!L10-BS!M10</f>
        <v>-0.5</v>
      </c>
    </row>
    <row r="19" spans="1:13" hidden="1" outlineLevel="1" x14ac:dyDescent="0.35">
      <c r="A19" s="717" t="s">
        <v>276</v>
      </c>
      <c r="B19" s="535">
        <v>0</v>
      </c>
      <c r="C19" s="535">
        <v>0</v>
      </c>
      <c r="D19" s="540">
        <f>BS!C14-BS!D14</f>
        <v>0</v>
      </c>
      <c r="E19" s="92">
        <f>BS!D14-BS!E14</f>
        <v>0</v>
      </c>
      <c r="F19" s="92">
        <f>BS!E14-BS!F14</f>
        <v>0</v>
      </c>
      <c r="G19" s="92">
        <f>BS!F14-BS!G14</f>
        <v>0</v>
      </c>
      <c r="H19" s="92">
        <f>BS!G14-BS!H14</f>
        <v>0</v>
      </c>
      <c r="I19" s="92">
        <f>BS!H14-BS!I14</f>
        <v>0</v>
      </c>
      <c r="J19" s="92">
        <f>BS!I14-BS!J14</f>
        <v>0</v>
      </c>
      <c r="K19" s="92">
        <f>BS!J14-BS!K14</f>
        <v>0</v>
      </c>
      <c r="L19" s="92">
        <f>BS!K14-BS!L14</f>
        <v>0</v>
      </c>
      <c r="M19" s="92">
        <f>BS!L14-BS!M14</f>
        <v>0</v>
      </c>
    </row>
    <row r="20" spans="1:13" hidden="1" outlineLevel="1" x14ac:dyDescent="0.35">
      <c r="A20" s="717" t="s">
        <v>41</v>
      </c>
      <c r="B20" s="535">
        <v>0</v>
      </c>
      <c r="C20" s="535">
        <v>0</v>
      </c>
      <c r="D20" s="540">
        <f>BS!C16-BS!D16</f>
        <v>0</v>
      </c>
      <c r="E20" s="92">
        <f>BS!D16-BS!E16</f>
        <v>0</v>
      </c>
      <c r="F20" s="92">
        <f>BS!E16-BS!F16</f>
        <v>0</v>
      </c>
      <c r="G20" s="92">
        <f>BS!F16-BS!G16</f>
        <v>0</v>
      </c>
      <c r="H20" s="92">
        <f>BS!G16-BS!H16</f>
        <v>0</v>
      </c>
      <c r="I20" s="92">
        <f>BS!H16-BS!I16</f>
        <v>0</v>
      </c>
      <c r="J20" s="92">
        <f>BS!I16-BS!J16</f>
        <v>0</v>
      </c>
      <c r="K20" s="92">
        <f>BS!J16-BS!K16</f>
        <v>0</v>
      </c>
      <c r="L20" s="92">
        <f>BS!K16-BS!L16</f>
        <v>0</v>
      </c>
      <c r="M20" s="92">
        <f>BS!L16-BS!M16</f>
        <v>0</v>
      </c>
    </row>
    <row r="21" spans="1:13" hidden="1" outlineLevel="1" x14ac:dyDescent="0.35">
      <c r="A21" s="717" t="s">
        <v>45</v>
      </c>
      <c r="B21" s="535">
        <v>-1.345</v>
      </c>
      <c r="C21" s="535">
        <v>1.3839999999999999</v>
      </c>
      <c r="D21" s="540">
        <f>BS!D21-BS!C21</f>
        <v>1.2109999999999999</v>
      </c>
      <c r="E21" s="92">
        <f>BS!E21-BS!D21</f>
        <v>1.5</v>
      </c>
      <c r="F21" s="92">
        <f>BS!F21-BS!E21</f>
        <v>1.5</v>
      </c>
      <c r="G21" s="92">
        <f>BS!G21-BS!F21</f>
        <v>1.5</v>
      </c>
      <c r="H21" s="92">
        <f>BS!H21-BS!G21</f>
        <v>1.5</v>
      </c>
      <c r="I21" s="92">
        <f>BS!I21-BS!H21</f>
        <v>5.5950514484758962</v>
      </c>
      <c r="J21" s="92">
        <f>BS!J21-BS!I21</f>
        <v>14.937159288973024</v>
      </c>
      <c r="K21" s="92">
        <f>BS!K21-BS!J21</f>
        <v>13.79964961405247</v>
      </c>
      <c r="L21" s="92">
        <f>BS!L21-BS!K21</f>
        <v>12.315550025613348</v>
      </c>
      <c r="M21" s="92">
        <f>BS!M21-BS!L21</f>
        <v>11.104852235873224</v>
      </c>
    </row>
    <row r="22" spans="1:13" hidden="1" outlineLevel="1" x14ac:dyDescent="0.35">
      <c r="A22" s="717" t="s">
        <v>277</v>
      </c>
      <c r="B22" s="535">
        <v>2.169</v>
      </c>
      <c r="C22" s="535">
        <v>2.899</v>
      </c>
      <c r="D22" s="540">
        <f>BS!D22-BS!C22</f>
        <v>2</v>
      </c>
      <c r="E22" s="92">
        <f>BS!E22-BS!D22</f>
        <v>2</v>
      </c>
      <c r="F22" s="92">
        <f>BS!F22-BS!E22</f>
        <v>2</v>
      </c>
      <c r="G22" s="92">
        <f>BS!G22-BS!F22</f>
        <v>2</v>
      </c>
      <c r="H22" s="92">
        <f>BS!H22-BS!G22</f>
        <v>2</v>
      </c>
      <c r="I22" s="92">
        <f>BS!I22-BS!H22</f>
        <v>2</v>
      </c>
      <c r="J22" s="92">
        <f>BS!J22-BS!I22</f>
        <v>2</v>
      </c>
      <c r="K22" s="92">
        <f>BS!K22-BS!J22</f>
        <v>2</v>
      </c>
      <c r="L22" s="92">
        <f>BS!L22-BS!K22</f>
        <v>2</v>
      </c>
      <c r="M22" s="92">
        <f>BS!M22-BS!L22</f>
        <v>2</v>
      </c>
    </row>
    <row r="23" spans="1:13" hidden="1" outlineLevel="1" x14ac:dyDescent="0.35">
      <c r="A23" s="717" t="s">
        <v>278</v>
      </c>
      <c r="B23" s="535">
        <v>-0.65300000000000002</v>
      </c>
      <c r="C23" s="535">
        <v>-0.77700000000000002</v>
      </c>
      <c r="D23" s="1017">
        <f>BS!D26-BS!C26</f>
        <v>-0.20000000000000018</v>
      </c>
      <c r="E23" s="92">
        <f>BS!E26-BS!D26</f>
        <v>-0.20000000000000018</v>
      </c>
      <c r="F23" s="92">
        <f>BS!F26-BS!E26</f>
        <v>-0.20000000000000018</v>
      </c>
      <c r="G23" s="92">
        <f>BS!G26-BS!F26</f>
        <v>-0.20000000000000018</v>
      </c>
      <c r="H23" s="92">
        <f>BS!H26-BS!G26</f>
        <v>-0.20000000000000018</v>
      </c>
      <c r="I23" s="92">
        <f>BS!I26-BS!H26</f>
        <v>-0.20000000000000018</v>
      </c>
      <c r="J23" s="92">
        <f>BS!J26-BS!I26</f>
        <v>-0.20000000000000018</v>
      </c>
      <c r="K23" s="92">
        <f>BS!K26-BS!J26</f>
        <v>-0.20000000000000018</v>
      </c>
      <c r="L23" s="92">
        <f>BS!L26-BS!K26</f>
        <v>-0.20000000000000018</v>
      </c>
      <c r="M23" s="92">
        <f>BS!M26-BS!L26</f>
        <v>-0.20000000000000018</v>
      </c>
    </row>
    <row r="24" spans="1:13" ht="15" hidden="1" outlineLevel="1" thickBot="1" x14ac:dyDescent="0.4">
      <c r="A24" s="717" t="s">
        <v>450</v>
      </c>
      <c r="B24" s="535">
        <v>-0.95899999999999996</v>
      </c>
      <c r="C24" s="535">
        <v>-3.2389999999999999</v>
      </c>
      <c r="D24" s="540">
        <f>BS!D24-BS!C24</f>
        <v>0</v>
      </c>
      <c r="E24" s="92">
        <f>BS!E24-BS!D24</f>
        <v>0</v>
      </c>
      <c r="F24" s="92">
        <f>BS!F24-BS!E24</f>
        <v>0</v>
      </c>
      <c r="G24" s="92">
        <f>BS!G24-BS!F24</f>
        <v>0</v>
      </c>
      <c r="H24" s="92">
        <f>BS!H24-BS!G24</f>
        <v>0</v>
      </c>
      <c r="I24" s="92">
        <f>BS!I24-BS!H24</f>
        <v>0</v>
      </c>
      <c r="J24" s="92">
        <f>BS!J24-BS!I24</f>
        <v>0</v>
      </c>
      <c r="K24" s="92">
        <f>BS!K24-BS!J24</f>
        <v>0</v>
      </c>
      <c r="L24" s="92">
        <f>BS!L24-BS!K24</f>
        <v>0</v>
      </c>
      <c r="M24" s="92">
        <f>BS!M24-BS!L24</f>
        <v>0</v>
      </c>
    </row>
    <row r="25" spans="1:13" ht="15" collapsed="1" thickBot="1" x14ac:dyDescent="0.4">
      <c r="A25" s="79" t="s">
        <v>61</v>
      </c>
      <c r="B25" s="88">
        <f t="shared" ref="B25:M25" si="9">SUM(B7,B9:B16)</f>
        <v>-78.814999999999998</v>
      </c>
      <c r="C25" s="88">
        <f t="shared" si="9"/>
        <v>-138.137</v>
      </c>
      <c r="D25" s="1016">
        <f t="shared" si="9"/>
        <v>-164.40999999999997</v>
      </c>
      <c r="E25" s="88">
        <f t="shared" si="9"/>
        <v>-170.90099999999998</v>
      </c>
      <c r="F25" s="88">
        <f t="shared" si="9"/>
        <v>-208.64954891249994</v>
      </c>
      <c r="G25" s="88">
        <f t="shared" si="9"/>
        <v>-210.34061324542597</v>
      </c>
      <c r="H25" s="88">
        <f t="shared" si="9"/>
        <v>-123.69985162509276</v>
      </c>
      <c r="I25" s="88">
        <f t="shared" si="9"/>
        <v>64.40451832593061</v>
      </c>
      <c r="J25" s="88">
        <f t="shared" si="9"/>
        <v>342.61820907794328</v>
      </c>
      <c r="K25" s="88">
        <f t="shared" si="9"/>
        <v>569.55261354033416</v>
      </c>
      <c r="L25" s="88">
        <f t="shared" si="9"/>
        <v>695.12295366542276</v>
      </c>
      <c r="M25" s="88">
        <f t="shared" si="9"/>
        <v>865.59302345642755</v>
      </c>
    </row>
    <row r="26" spans="1:13" x14ac:dyDescent="0.35">
      <c r="A26" s="74"/>
      <c r="B26" s="92"/>
      <c r="C26" s="92"/>
      <c r="D26" s="540"/>
      <c r="E26" s="92"/>
      <c r="F26" s="92"/>
      <c r="G26" s="92"/>
      <c r="H26" s="92"/>
      <c r="I26" s="92"/>
      <c r="J26" s="92"/>
      <c r="K26" s="92"/>
      <c r="L26" s="92"/>
      <c r="M26" s="92"/>
    </row>
    <row r="27" spans="1:13" x14ac:dyDescent="0.35">
      <c r="A27" s="74" t="s">
        <v>62</v>
      </c>
      <c r="B27" s="92"/>
      <c r="C27" s="92"/>
      <c r="D27" s="540"/>
      <c r="E27" s="92"/>
      <c r="F27" s="92"/>
      <c r="G27" s="92"/>
      <c r="H27" s="92"/>
      <c r="I27" s="92"/>
      <c r="J27" s="92"/>
      <c r="K27" s="92"/>
      <c r="L27" s="92"/>
      <c r="M27" s="92"/>
    </row>
    <row r="28" spans="1:13" x14ac:dyDescent="0.35">
      <c r="A28" s="72" t="s">
        <v>462</v>
      </c>
      <c r="B28" s="535">
        <v>-125.018</v>
      </c>
      <c r="C28" s="535">
        <v>-408.23399999999998</v>
      </c>
      <c r="D28" s="862">
        <v>100</v>
      </c>
      <c r="E28" s="535">
        <v>100</v>
      </c>
      <c r="F28" s="535">
        <v>50</v>
      </c>
      <c r="G28" s="535">
        <v>8.4</v>
      </c>
      <c r="H28" s="92">
        <v>0</v>
      </c>
      <c r="I28" s="92">
        <f t="shared" ref="I28" si="10">H28</f>
        <v>0</v>
      </c>
      <c r="J28" s="92">
        <f t="shared" ref="J28" si="11">I28</f>
        <v>0</v>
      </c>
      <c r="K28" s="92">
        <f t="shared" ref="K28" si="12">J28</f>
        <v>0</v>
      </c>
      <c r="L28" s="92">
        <f t="shared" ref="L28" si="13">K28</f>
        <v>0</v>
      </c>
      <c r="M28" s="92">
        <f t="shared" ref="M28" si="14">L28</f>
        <v>0</v>
      </c>
    </row>
    <row r="29" spans="1:13" x14ac:dyDescent="0.35">
      <c r="A29" s="72" t="s">
        <v>463</v>
      </c>
      <c r="B29" s="535">
        <v>45</v>
      </c>
      <c r="C29" s="535">
        <v>85.5</v>
      </c>
      <c r="D29" s="862">
        <v>50</v>
      </c>
      <c r="E29" s="1001">
        <v>0</v>
      </c>
      <c r="F29" s="92">
        <f t="shared" ref="F29:M29" si="15">E29</f>
        <v>0</v>
      </c>
      <c r="G29" s="92">
        <f t="shared" si="15"/>
        <v>0</v>
      </c>
      <c r="H29" s="92">
        <f t="shared" si="15"/>
        <v>0</v>
      </c>
      <c r="I29" s="92">
        <f t="shared" si="15"/>
        <v>0</v>
      </c>
      <c r="J29" s="92">
        <f t="shared" si="15"/>
        <v>0</v>
      </c>
      <c r="K29" s="92">
        <f t="shared" si="15"/>
        <v>0</v>
      </c>
      <c r="L29" s="92">
        <f t="shared" si="15"/>
        <v>0</v>
      </c>
      <c r="M29" s="92">
        <f t="shared" si="15"/>
        <v>0</v>
      </c>
    </row>
    <row r="30" spans="1:13" ht="15" thickBot="1" x14ac:dyDescent="0.4">
      <c r="A30" s="72" t="s">
        <v>464</v>
      </c>
      <c r="B30" s="535">
        <v>-0.77</v>
      </c>
      <c r="C30" s="535">
        <v>-0.47299999999999998</v>
      </c>
      <c r="D30" s="1027">
        <f t="shared" ref="D30:M30" si="16">C30</f>
        <v>-0.47299999999999998</v>
      </c>
      <c r="E30" s="1000">
        <f t="shared" si="16"/>
        <v>-0.47299999999999998</v>
      </c>
      <c r="F30" s="1000">
        <f t="shared" si="16"/>
        <v>-0.47299999999999998</v>
      </c>
      <c r="G30" s="1000">
        <f t="shared" si="16"/>
        <v>-0.47299999999999998</v>
      </c>
      <c r="H30" s="92">
        <f t="shared" si="16"/>
        <v>-0.47299999999999998</v>
      </c>
      <c r="I30" s="92">
        <f t="shared" si="16"/>
        <v>-0.47299999999999998</v>
      </c>
      <c r="J30" s="92">
        <f t="shared" si="16"/>
        <v>-0.47299999999999998</v>
      </c>
      <c r="K30" s="92">
        <f t="shared" si="16"/>
        <v>-0.47299999999999998</v>
      </c>
      <c r="L30" s="92">
        <f t="shared" si="16"/>
        <v>-0.47299999999999998</v>
      </c>
      <c r="M30" s="92">
        <f t="shared" si="16"/>
        <v>-0.47299999999999998</v>
      </c>
    </row>
    <row r="31" spans="1:13" ht="15" thickBot="1" x14ac:dyDescent="0.4">
      <c r="A31" s="79" t="s">
        <v>63</v>
      </c>
      <c r="B31" s="88">
        <f t="shared" ref="B31:M31" si="17">SUM(B28:B30)</f>
        <v>-80.787999999999997</v>
      </c>
      <c r="C31" s="88">
        <f t="shared" si="17"/>
        <v>-323.20699999999999</v>
      </c>
      <c r="D31" s="1016">
        <f>SUM(D28:D30)</f>
        <v>149.52699999999999</v>
      </c>
      <c r="E31" s="88">
        <f>SUM(E28:E30)</f>
        <v>99.527000000000001</v>
      </c>
      <c r="F31" s="88">
        <f>SUM(F28:F30)</f>
        <v>49.527000000000001</v>
      </c>
      <c r="G31" s="88">
        <f t="shared" si="17"/>
        <v>7.9270000000000005</v>
      </c>
      <c r="H31" s="88">
        <f t="shared" si="17"/>
        <v>-0.47299999999999998</v>
      </c>
      <c r="I31" s="88">
        <f t="shared" si="17"/>
        <v>-0.47299999999999998</v>
      </c>
      <c r="J31" s="88">
        <f t="shared" si="17"/>
        <v>-0.47299999999999998</v>
      </c>
      <c r="K31" s="88">
        <f t="shared" si="17"/>
        <v>-0.47299999999999998</v>
      </c>
      <c r="L31" s="88">
        <f t="shared" si="17"/>
        <v>-0.47299999999999998</v>
      </c>
      <c r="M31" s="88">
        <f t="shared" si="17"/>
        <v>-0.47299999999999998</v>
      </c>
    </row>
    <row r="32" spans="1:13" x14ac:dyDescent="0.35">
      <c r="A32" s="74"/>
      <c r="B32" s="92"/>
      <c r="C32" s="92"/>
      <c r="D32" s="540"/>
      <c r="E32" s="92"/>
      <c r="F32" s="92"/>
      <c r="G32" s="92"/>
      <c r="H32" s="92"/>
      <c r="I32" s="92"/>
      <c r="J32" s="92"/>
      <c r="K32" s="92"/>
      <c r="L32" s="92"/>
      <c r="M32" s="92"/>
    </row>
    <row r="33" spans="1:16" x14ac:dyDescent="0.35">
      <c r="A33" s="74" t="s">
        <v>64</v>
      </c>
      <c r="B33" s="92"/>
      <c r="C33" s="92"/>
      <c r="D33" s="540"/>
      <c r="E33" s="92"/>
      <c r="F33" s="92"/>
      <c r="G33" s="92"/>
      <c r="H33" s="92"/>
      <c r="I33" s="92"/>
      <c r="J33" s="92"/>
      <c r="K33" s="92"/>
      <c r="L33" s="92"/>
      <c r="M33" s="92"/>
    </row>
    <row r="34" spans="1:16" x14ac:dyDescent="0.35">
      <c r="A34" s="72" t="s">
        <v>465</v>
      </c>
      <c r="B34" s="535">
        <v>-2.19</v>
      </c>
      <c r="C34" s="535">
        <v>-5.0209999999999999</v>
      </c>
      <c r="D34" s="862">
        <v>0</v>
      </c>
      <c r="E34" s="92">
        <f t="shared" ref="E34:M34" si="18">D34</f>
        <v>0</v>
      </c>
      <c r="F34" s="92">
        <f t="shared" si="18"/>
        <v>0</v>
      </c>
      <c r="G34" s="92">
        <f t="shared" si="18"/>
        <v>0</v>
      </c>
      <c r="H34" s="92">
        <f t="shared" si="18"/>
        <v>0</v>
      </c>
      <c r="I34" s="92">
        <f t="shared" si="18"/>
        <v>0</v>
      </c>
      <c r="J34" s="92">
        <f t="shared" si="18"/>
        <v>0</v>
      </c>
      <c r="K34" s="92">
        <f t="shared" si="18"/>
        <v>0</v>
      </c>
      <c r="L34" s="92">
        <f t="shared" si="18"/>
        <v>0</v>
      </c>
      <c r="M34" s="92">
        <f t="shared" si="18"/>
        <v>0</v>
      </c>
    </row>
    <row r="35" spans="1:16" x14ac:dyDescent="0.35">
      <c r="A35" s="72" t="s">
        <v>466</v>
      </c>
      <c r="B35" s="535">
        <v>119.956</v>
      </c>
      <c r="C35" s="535">
        <v>0</v>
      </c>
      <c r="D35" s="540">
        <f t="shared" ref="D35:M35" si="19">C35</f>
        <v>0</v>
      </c>
      <c r="E35" s="92">
        <f t="shared" si="19"/>
        <v>0</v>
      </c>
      <c r="F35" s="92">
        <f t="shared" si="19"/>
        <v>0</v>
      </c>
      <c r="G35" s="92">
        <f t="shared" si="19"/>
        <v>0</v>
      </c>
      <c r="H35" s="92">
        <f t="shared" si="19"/>
        <v>0</v>
      </c>
      <c r="I35" s="92">
        <f t="shared" si="19"/>
        <v>0</v>
      </c>
      <c r="J35" s="92">
        <f t="shared" si="19"/>
        <v>0</v>
      </c>
      <c r="K35" s="92">
        <f t="shared" si="19"/>
        <v>0</v>
      </c>
      <c r="L35" s="92">
        <f t="shared" si="19"/>
        <v>0</v>
      </c>
      <c r="M35" s="92">
        <f t="shared" si="19"/>
        <v>0</v>
      </c>
    </row>
    <row r="36" spans="1:16" x14ac:dyDescent="0.35">
      <c r="A36" s="72" t="s">
        <v>467</v>
      </c>
      <c r="B36" s="535">
        <v>0</v>
      </c>
      <c r="C36" s="535">
        <v>198.84</v>
      </c>
      <c r="D36" s="540">
        <v>0</v>
      </c>
      <c r="E36" s="92">
        <f t="shared" ref="D36:M37" si="20">D36</f>
        <v>0</v>
      </c>
      <c r="F36" s="92">
        <f t="shared" si="20"/>
        <v>0</v>
      </c>
      <c r="G36" s="92">
        <f t="shared" si="20"/>
        <v>0</v>
      </c>
      <c r="H36" s="92">
        <f t="shared" si="20"/>
        <v>0</v>
      </c>
      <c r="I36" s="92">
        <f t="shared" si="20"/>
        <v>0</v>
      </c>
      <c r="J36" s="92">
        <f t="shared" si="20"/>
        <v>0</v>
      </c>
      <c r="K36" s="92">
        <f t="shared" si="20"/>
        <v>0</v>
      </c>
      <c r="L36" s="92">
        <f t="shared" si="20"/>
        <v>0</v>
      </c>
      <c r="M36" s="92">
        <f t="shared" si="20"/>
        <v>0</v>
      </c>
    </row>
    <row r="37" spans="1:16" x14ac:dyDescent="0.35">
      <c r="A37" s="72" t="s">
        <v>468</v>
      </c>
      <c r="B37" s="535">
        <v>0.29399999999999998</v>
      </c>
      <c r="C37" s="535">
        <v>0.28499999999999998</v>
      </c>
      <c r="D37" s="540">
        <f t="shared" si="20"/>
        <v>0.28499999999999998</v>
      </c>
      <c r="E37" s="92">
        <f t="shared" si="20"/>
        <v>0.28499999999999998</v>
      </c>
      <c r="F37" s="92">
        <f t="shared" si="20"/>
        <v>0.28499999999999998</v>
      </c>
      <c r="G37" s="92">
        <f t="shared" si="20"/>
        <v>0.28499999999999998</v>
      </c>
      <c r="H37" s="92">
        <f t="shared" si="20"/>
        <v>0.28499999999999998</v>
      </c>
      <c r="I37" s="92">
        <f t="shared" si="20"/>
        <v>0.28499999999999998</v>
      </c>
      <c r="J37" s="92">
        <f t="shared" si="20"/>
        <v>0.28499999999999998</v>
      </c>
      <c r="K37" s="92">
        <f t="shared" si="20"/>
        <v>0.28499999999999998</v>
      </c>
      <c r="L37" s="92">
        <f t="shared" si="20"/>
        <v>0.28499999999999998</v>
      </c>
      <c r="M37" s="92">
        <f t="shared" si="20"/>
        <v>0.28499999999999998</v>
      </c>
    </row>
    <row r="38" spans="1:16" x14ac:dyDescent="0.35">
      <c r="A38" s="72" t="s">
        <v>279</v>
      </c>
      <c r="B38" s="535">
        <v>0</v>
      </c>
      <c r="C38" s="535">
        <v>275.71600000000001</v>
      </c>
      <c r="D38" s="1017">
        <f t="shared" ref="D38:M38" si="21">D46</f>
        <v>350</v>
      </c>
      <c r="E38" s="718">
        <f t="shared" si="21"/>
        <v>200</v>
      </c>
      <c r="F38" s="718">
        <f t="shared" si="21"/>
        <v>0</v>
      </c>
      <c r="G38" s="718">
        <f t="shared" si="21"/>
        <v>200</v>
      </c>
      <c r="H38" s="718">
        <f t="shared" si="21"/>
        <v>0</v>
      </c>
      <c r="I38" s="718">
        <f t="shared" si="21"/>
        <v>0</v>
      </c>
      <c r="J38" s="718">
        <f t="shared" si="21"/>
        <v>0</v>
      </c>
      <c r="K38" s="718">
        <f t="shared" si="21"/>
        <v>0</v>
      </c>
      <c r="L38" s="718">
        <f t="shared" si="21"/>
        <v>0</v>
      </c>
      <c r="M38" s="718">
        <f t="shared" si="21"/>
        <v>0</v>
      </c>
    </row>
    <row r="39" spans="1:16" ht="15" thickBot="1" x14ac:dyDescent="0.4">
      <c r="A39" s="72" t="s">
        <v>368</v>
      </c>
      <c r="B39" s="535">
        <v>0</v>
      </c>
      <c r="C39" s="535">
        <v>0</v>
      </c>
      <c r="D39" s="540">
        <f>C39</f>
        <v>0</v>
      </c>
      <c r="E39" s="92">
        <f t="shared" ref="E39:M39" si="22">D39</f>
        <v>0</v>
      </c>
      <c r="F39" s="92">
        <f t="shared" si="22"/>
        <v>0</v>
      </c>
      <c r="G39" s="92">
        <f t="shared" si="22"/>
        <v>0</v>
      </c>
      <c r="H39" s="92">
        <f t="shared" si="22"/>
        <v>0</v>
      </c>
      <c r="I39" s="92">
        <f t="shared" si="22"/>
        <v>0</v>
      </c>
      <c r="J39" s="92">
        <f t="shared" si="22"/>
        <v>0</v>
      </c>
      <c r="K39" s="92">
        <f t="shared" si="22"/>
        <v>0</v>
      </c>
      <c r="L39" s="92">
        <f t="shared" si="22"/>
        <v>0</v>
      </c>
      <c r="M39" s="92">
        <f t="shared" si="22"/>
        <v>0</v>
      </c>
    </row>
    <row r="40" spans="1:16" ht="15" thickBot="1" x14ac:dyDescent="0.4">
      <c r="A40" s="79" t="s">
        <v>65</v>
      </c>
      <c r="B40" s="88">
        <f t="shared" ref="B40:M40" si="23">SUM(B34:B39)</f>
        <v>118.06</v>
      </c>
      <c r="C40" s="88">
        <f t="shared" si="23"/>
        <v>469.82000000000005</v>
      </c>
      <c r="D40" s="1016">
        <f t="shared" si="23"/>
        <v>350.28500000000003</v>
      </c>
      <c r="E40" s="88">
        <f t="shared" si="23"/>
        <v>200.285</v>
      </c>
      <c r="F40" s="88">
        <f t="shared" si="23"/>
        <v>0.28499999999999998</v>
      </c>
      <c r="G40" s="88">
        <f t="shared" si="23"/>
        <v>200.285</v>
      </c>
      <c r="H40" s="88">
        <f t="shared" si="23"/>
        <v>0.28499999999999998</v>
      </c>
      <c r="I40" s="88">
        <f t="shared" si="23"/>
        <v>0.28499999999999998</v>
      </c>
      <c r="J40" s="88">
        <f t="shared" si="23"/>
        <v>0.28499999999999998</v>
      </c>
      <c r="K40" s="88">
        <f t="shared" si="23"/>
        <v>0.28499999999999998</v>
      </c>
      <c r="L40" s="88">
        <f t="shared" si="23"/>
        <v>0.28499999999999998</v>
      </c>
      <c r="M40" s="88">
        <f t="shared" si="23"/>
        <v>0.28499999999999998</v>
      </c>
    </row>
    <row r="41" spans="1:16" x14ac:dyDescent="0.35">
      <c r="A41" s="971" t="s">
        <v>469</v>
      </c>
      <c r="B41" s="972">
        <f>B25+B31+B40</f>
        <v>-41.543000000000006</v>
      </c>
      <c r="C41" s="972">
        <f>C25+C31+C40</f>
        <v>8.4760000000000559</v>
      </c>
      <c r="D41" s="972">
        <f t="shared" ref="D41:M41" si="24">D25+D31+D40</f>
        <v>335.40200000000004</v>
      </c>
      <c r="E41" s="972">
        <f t="shared" si="24"/>
        <v>128.911</v>
      </c>
      <c r="F41" s="972">
        <f t="shared" si="24"/>
        <v>-158.83754891249995</v>
      </c>
      <c r="G41" s="972">
        <f t="shared" si="24"/>
        <v>-2.1286132454259814</v>
      </c>
      <c r="H41" s="972">
        <f t="shared" si="24"/>
        <v>-123.88785162509276</v>
      </c>
      <c r="I41" s="972">
        <f t="shared" si="24"/>
        <v>64.216518325930608</v>
      </c>
      <c r="J41" s="972">
        <f t="shared" si="24"/>
        <v>342.43020907794329</v>
      </c>
      <c r="K41" s="972">
        <f t="shared" si="24"/>
        <v>569.36461354033418</v>
      </c>
      <c r="L41" s="972">
        <f t="shared" si="24"/>
        <v>694.93495366542277</v>
      </c>
      <c r="M41" s="972">
        <f t="shared" si="24"/>
        <v>865.40502345642756</v>
      </c>
    </row>
    <row r="42" spans="1:16" ht="15" thickBot="1" x14ac:dyDescent="0.4">
      <c r="A42" s="72" t="s">
        <v>66</v>
      </c>
      <c r="B42" s="75">
        <v>80.003</v>
      </c>
      <c r="C42" s="75">
        <f t="shared" ref="C42:M42" si="25">B43</f>
        <v>38.459999999999994</v>
      </c>
      <c r="D42" s="1028">
        <f t="shared" si="25"/>
        <v>46.936000000000035</v>
      </c>
      <c r="E42" s="75">
        <f t="shared" si="25"/>
        <v>382.33800000000008</v>
      </c>
      <c r="F42" s="75">
        <f t="shared" si="25"/>
        <v>511.24900000000014</v>
      </c>
      <c r="G42" s="75">
        <f t="shared" si="25"/>
        <v>352.41145108750021</v>
      </c>
      <c r="H42" s="75">
        <f t="shared" si="25"/>
        <v>350.28283784207429</v>
      </c>
      <c r="I42" s="75">
        <f t="shared" si="25"/>
        <v>226.39498621698152</v>
      </c>
      <c r="J42" s="75">
        <f t="shared" si="25"/>
        <v>290.61150454291214</v>
      </c>
      <c r="K42" s="75">
        <f t="shared" si="25"/>
        <v>633.04171362085549</v>
      </c>
      <c r="L42" s="75">
        <f t="shared" si="25"/>
        <v>1202.4063271611897</v>
      </c>
      <c r="M42" s="75">
        <f t="shared" si="25"/>
        <v>1897.3412808266125</v>
      </c>
    </row>
    <row r="43" spans="1:16" s="91" customFormat="1" ht="15" thickBot="1" x14ac:dyDescent="0.4">
      <c r="A43" s="89" t="s">
        <v>67</v>
      </c>
      <c r="B43" s="90">
        <f t="shared" ref="B43:M43" si="26">B42+B40+B31+B25</f>
        <v>38.459999999999994</v>
      </c>
      <c r="C43" s="984">
        <f t="shared" si="26"/>
        <v>46.936000000000035</v>
      </c>
      <c r="D43" s="984">
        <f t="shared" si="26"/>
        <v>382.33800000000008</v>
      </c>
      <c r="E43" s="984">
        <f t="shared" si="26"/>
        <v>511.24900000000014</v>
      </c>
      <c r="F43" s="984">
        <f t="shared" si="26"/>
        <v>352.41145108750021</v>
      </c>
      <c r="G43" s="90">
        <f t="shared" si="26"/>
        <v>350.28283784207429</v>
      </c>
      <c r="H43" s="90">
        <f t="shared" si="26"/>
        <v>226.39498621698152</v>
      </c>
      <c r="I43" s="90">
        <f t="shared" si="26"/>
        <v>290.61150454291214</v>
      </c>
      <c r="J43" s="90">
        <f t="shared" si="26"/>
        <v>633.04171362085549</v>
      </c>
      <c r="K43" s="90">
        <f t="shared" si="26"/>
        <v>1202.4063271611897</v>
      </c>
      <c r="L43" s="90">
        <f t="shared" si="26"/>
        <v>1897.3412808266125</v>
      </c>
      <c r="M43" s="90">
        <f t="shared" si="26"/>
        <v>2762.7463042830404</v>
      </c>
    </row>
    <row r="44" spans="1:16" x14ac:dyDescent="0.35">
      <c r="A44" s="95" t="s">
        <v>73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</row>
    <row r="45" spans="1:16" ht="15" thickBot="1" x14ac:dyDescent="0.4"/>
    <row r="46" spans="1:16" x14ac:dyDescent="0.35">
      <c r="A46" s="641" t="s">
        <v>259</v>
      </c>
      <c r="B46" s="779"/>
      <c r="C46" s="779"/>
      <c r="D46" s="985">
        <v>350</v>
      </c>
      <c r="E46" s="985">
        <v>200</v>
      </c>
      <c r="F46" s="642">
        <f t="shared" ref="F46:M46" si="27">F35</f>
        <v>0</v>
      </c>
      <c r="G46" s="985">
        <v>200</v>
      </c>
      <c r="H46" s="642">
        <f t="shared" si="27"/>
        <v>0</v>
      </c>
      <c r="I46" s="642">
        <f t="shared" si="27"/>
        <v>0</v>
      </c>
      <c r="J46" s="642">
        <f t="shared" si="27"/>
        <v>0</v>
      </c>
      <c r="K46" s="642">
        <f t="shared" si="27"/>
        <v>0</v>
      </c>
      <c r="L46" s="642">
        <f t="shared" si="27"/>
        <v>0</v>
      </c>
      <c r="M46" s="642">
        <f t="shared" si="27"/>
        <v>0</v>
      </c>
      <c r="N46" s="645"/>
      <c r="O46" s="94"/>
      <c r="P46" s="643"/>
    </row>
    <row r="47" spans="1:16" x14ac:dyDescent="0.35">
      <c r="A47" s="117" t="s">
        <v>260</v>
      </c>
      <c r="B47" s="776"/>
      <c r="C47" s="776"/>
      <c r="D47" s="986">
        <f>D46/D48</f>
        <v>14</v>
      </c>
      <c r="E47" s="986">
        <f t="shared" ref="E47:G47" si="28">E46/E48</f>
        <v>6.9565217391304355</v>
      </c>
      <c r="F47" s="644">
        <f t="shared" si="28"/>
        <v>0</v>
      </c>
      <c r="G47" s="644">
        <f t="shared" si="28"/>
        <v>6.3097702849255644</v>
      </c>
      <c r="H47" s="644">
        <f t="shared" ref="H47:I47" si="29">H46/H48</f>
        <v>0</v>
      </c>
      <c r="I47" s="644">
        <f t="shared" si="29"/>
        <v>0</v>
      </c>
      <c r="J47" s="644">
        <f t="shared" ref="J47:K47" si="30">J46/J48</f>
        <v>0</v>
      </c>
      <c r="K47" s="644">
        <f t="shared" si="30"/>
        <v>0</v>
      </c>
      <c r="L47" s="644">
        <f t="shared" ref="L47:M47" si="31">L46/L48</f>
        <v>0</v>
      </c>
      <c r="M47" s="644">
        <f t="shared" si="31"/>
        <v>0</v>
      </c>
      <c r="N47" s="645"/>
      <c r="O47" s="94"/>
      <c r="P47" s="643"/>
    </row>
    <row r="48" spans="1:16" ht="15" thickBot="1" x14ac:dyDescent="0.4">
      <c r="A48" s="537" t="s">
        <v>261</v>
      </c>
      <c r="B48" s="777"/>
      <c r="C48" s="777"/>
      <c r="D48" s="987">
        <v>25</v>
      </c>
      <c r="E48" s="988">
        <f>D48*1.15</f>
        <v>28.749999999999996</v>
      </c>
      <c r="F48" s="778">
        <f t="shared" ref="F48:G48" si="32">E48*1.05</f>
        <v>30.187499999999996</v>
      </c>
      <c r="G48" s="778">
        <f t="shared" si="32"/>
        <v>31.696874999999999</v>
      </c>
      <c r="H48" s="780">
        <f t="shared" ref="H48:M48" si="33">G48*1.05</f>
        <v>33.281718750000003</v>
      </c>
      <c r="I48" s="780">
        <f t="shared" si="33"/>
        <v>34.945804687500008</v>
      </c>
      <c r="J48" s="780">
        <f t="shared" si="33"/>
        <v>36.693094921875009</v>
      </c>
      <c r="K48" s="780">
        <f t="shared" si="33"/>
        <v>38.527749667968763</v>
      </c>
      <c r="L48" s="780">
        <f t="shared" si="33"/>
        <v>40.454137151367206</v>
      </c>
      <c r="M48" s="780">
        <f t="shared" si="33"/>
        <v>42.476844008935565</v>
      </c>
      <c r="N48" s="645"/>
      <c r="O48" s="94"/>
      <c r="P48" s="643"/>
    </row>
    <row r="49" spans="1:13" x14ac:dyDescent="0.35">
      <c r="B49" s="865"/>
    </row>
    <row r="50" spans="1:13" ht="15" thickBot="1" x14ac:dyDescent="0.4"/>
    <row r="51" spans="1:13" x14ac:dyDescent="0.35">
      <c r="A51" s="746" t="s">
        <v>280</v>
      </c>
      <c r="B51" s="744"/>
      <c r="C51" s="744"/>
      <c r="D51" s="744"/>
      <c r="E51" s="744"/>
      <c r="F51" s="744"/>
      <c r="G51" s="744"/>
      <c r="H51" s="744"/>
      <c r="I51" s="744"/>
      <c r="J51" s="744"/>
      <c r="K51" s="744"/>
      <c r="L51" s="744"/>
      <c r="M51" s="744"/>
    </row>
    <row r="52" spans="1:13" x14ac:dyDescent="0.35">
      <c r="A52" s="72" t="s">
        <v>281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</row>
    <row r="53" spans="1:13" ht="15" thickBot="1" x14ac:dyDescent="0.4">
      <c r="A53" s="745" t="s">
        <v>282</v>
      </c>
      <c r="B53" s="745"/>
      <c r="C53" s="745"/>
      <c r="D53" s="745"/>
      <c r="E53" s="745"/>
      <c r="F53" s="745"/>
      <c r="G53" s="745"/>
      <c r="H53" s="745"/>
      <c r="I53" s="745"/>
      <c r="J53" s="745"/>
      <c r="K53" s="745"/>
      <c r="L53" s="745"/>
      <c r="M53" s="745"/>
    </row>
  </sheetData>
  <pageMargins left="0.7" right="0.7" top="0.75" bottom="0.75" header="0.3" footer="0.3"/>
  <pageSetup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A6F5-AB59-4391-8615-38ACBBCAE8F9}">
  <sheetPr>
    <tabColor theme="4" tint="0.59999389629810485"/>
    <pageSetUpPr fitToPage="1"/>
  </sheetPr>
  <dimension ref="A1:T53"/>
  <sheetViews>
    <sheetView zoomScale="80" zoomScaleNormal="80" workbookViewId="0">
      <pane xSplit="1" ySplit="4" topLeftCell="B5" activePane="bottomRight" state="frozen"/>
      <selection activeCell="J34" sqref="J34"/>
      <selection pane="topRight" activeCell="J34" sqref="J34"/>
      <selection pane="bottomLeft" activeCell="J34" sqref="J34"/>
      <selection pane="bottomRight" sqref="A1:H42"/>
    </sheetView>
  </sheetViews>
  <sheetFormatPr defaultRowHeight="14.5" outlineLevelRow="1" outlineLevelCol="1" x14ac:dyDescent="0.35"/>
  <cols>
    <col min="1" max="1" width="40.54296875" style="2" bestFit="1" customWidth="1"/>
    <col min="2" max="3" width="9.81640625" style="2" customWidth="1"/>
    <col min="4" max="5" width="9.81640625" style="3" customWidth="1"/>
    <col min="6" max="7" width="9.81640625" style="2" customWidth="1"/>
    <col min="8" max="13" width="9.81640625" style="2" customWidth="1" outlineLevel="1"/>
    <col min="14" max="15" width="9.81640625" style="2" customWidth="1"/>
    <col min="16" max="20" width="9.81640625" style="2" customWidth="1" outlineLevel="1"/>
  </cols>
  <sheetData>
    <row r="1" spans="1:20" x14ac:dyDescent="0.35">
      <c r="A1" s="1" t="s">
        <v>445</v>
      </c>
    </row>
    <row r="2" spans="1:20" x14ac:dyDescent="0.35">
      <c r="A2" s="1" t="s">
        <v>53</v>
      </c>
    </row>
    <row r="3" spans="1:20" ht="15" thickBot="1" x14ac:dyDescent="0.4">
      <c r="A3" s="4" t="s">
        <v>54</v>
      </c>
    </row>
    <row r="4" spans="1:20" ht="15" thickBot="1" x14ac:dyDescent="0.4">
      <c r="A4" s="60"/>
      <c r="B4" s="7" t="s">
        <v>446</v>
      </c>
      <c r="C4" s="7" t="str">
        <f>IS!AE4</f>
        <v>2025A</v>
      </c>
      <c r="D4" s="7" t="str">
        <f>IS!AJ4</f>
        <v>2026E</v>
      </c>
      <c r="E4" s="7" t="str">
        <f>IS!AK4</f>
        <v>2027E</v>
      </c>
      <c r="F4" s="7" t="str">
        <f>IS!AL4</f>
        <v>2028E</v>
      </c>
      <c r="G4" s="7" t="str">
        <f>IS!AM4</f>
        <v>2029E</v>
      </c>
      <c r="H4" s="7" t="str">
        <f>IS!AN4</f>
        <v>2030E</v>
      </c>
      <c r="I4" s="7" t="str">
        <f>IS!AO4</f>
        <v>2031E</v>
      </c>
      <c r="J4" s="7" t="str">
        <f>IS!AP4</f>
        <v>2032E</v>
      </c>
      <c r="K4" s="7" t="str">
        <f>IS!AQ4</f>
        <v>2033E</v>
      </c>
      <c r="L4" s="7" t="str">
        <f>IS!AR4</f>
        <v>2034E</v>
      </c>
      <c r="M4" s="7" t="str">
        <f>IS!AS4</f>
        <v>2035E</v>
      </c>
    </row>
    <row r="5" spans="1:20" x14ac:dyDescent="0.35">
      <c r="A5" s="81" t="s">
        <v>55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20" x14ac:dyDescent="0.35">
      <c r="A6" s="72" t="s">
        <v>35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O6" s="96"/>
    </row>
    <row r="7" spans="1:20" x14ac:dyDescent="0.35">
      <c r="A7" s="72" t="s">
        <v>36</v>
      </c>
      <c r="B7" s="715">
        <v>38.253</v>
      </c>
      <c r="C7" s="715">
        <v>46.728999999999999</v>
      </c>
      <c r="D7" s="31">
        <f>CF!D43-D13</f>
        <v>382.13100000000009</v>
      </c>
      <c r="E7" s="31">
        <f>CF!E43-E13</f>
        <v>511.04200000000014</v>
      </c>
      <c r="F7" s="31">
        <f>CF!F43-F13</f>
        <v>352.20445108750022</v>
      </c>
      <c r="G7" s="31">
        <f>CF!G43-G13</f>
        <v>350.07583784207429</v>
      </c>
      <c r="H7" s="31">
        <f>CF!H43-H13</f>
        <v>226.18798621698153</v>
      </c>
      <c r="I7" s="31">
        <f>CF!I43-I13</f>
        <v>290.40450454291215</v>
      </c>
      <c r="J7" s="31">
        <f>CF!J43-J13</f>
        <v>632.8347136208555</v>
      </c>
      <c r="K7" s="31">
        <f>CF!K43-K13</f>
        <v>1202.1993271611896</v>
      </c>
      <c r="L7" s="31">
        <f>CF!L43-L13</f>
        <v>1897.1342808266124</v>
      </c>
      <c r="M7" s="31">
        <f>CF!M43-M13</f>
        <v>2762.5393042830406</v>
      </c>
      <c r="O7" s="1002">
        <f>D7-C7</f>
        <v>335.4020000000001</v>
      </c>
    </row>
    <row r="8" spans="1:20" x14ac:dyDescent="0.35">
      <c r="A8" s="72" t="s">
        <v>447</v>
      </c>
      <c r="B8" s="715">
        <v>70.542000000000002</v>
      </c>
      <c r="C8" s="715">
        <v>258.37400000000002</v>
      </c>
      <c r="D8" s="31">
        <f>C8-CF!D28</f>
        <v>158.37400000000002</v>
      </c>
      <c r="E8" s="31">
        <f>D8-CF!E28</f>
        <v>58.374000000000024</v>
      </c>
      <c r="F8" s="31">
        <f>E8-CF!F28</f>
        <v>8.3740000000000236</v>
      </c>
      <c r="G8" s="31">
        <f>F8-CF!G28</f>
        <v>-2.5999999999976708E-2</v>
      </c>
      <c r="H8" s="31">
        <f>G8-CF!H28</f>
        <v>-2.5999999999976708E-2</v>
      </c>
      <c r="I8" s="31">
        <f>H8-CF!I28</f>
        <v>-2.5999999999976708E-2</v>
      </c>
      <c r="J8" s="31">
        <f>I8-CF!J28</f>
        <v>-2.5999999999976708E-2</v>
      </c>
      <c r="K8" s="31">
        <f>J8-CF!K28</f>
        <v>-2.5999999999976708E-2</v>
      </c>
      <c r="L8" s="31">
        <f>K8-CF!L28</f>
        <v>-2.5999999999976708E-2</v>
      </c>
      <c r="M8" s="31">
        <f>L8-CF!M28</f>
        <v>-2.5999999999976708E-2</v>
      </c>
      <c r="O8" s="1002">
        <f t="shared" ref="O8:O10" si="0">D8-C8</f>
        <v>-100</v>
      </c>
    </row>
    <row r="9" spans="1:20" x14ac:dyDescent="0.35">
      <c r="A9" s="72" t="s">
        <v>37</v>
      </c>
      <c r="B9" s="715">
        <v>0</v>
      </c>
      <c r="C9" s="31">
        <v>0</v>
      </c>
      <c r="D9" s="31">
        <f t="shared" ref="D9:H9" si="1">D49</f>
        <v>0</v>
      </c>
      <c r="E9" s="31">
        <f t="shared" si="1"/>
        <v>0</v>
      </c>
      <c r="F9" s="31">
        <f t="shared" si="1"/>
        <v>0</v>
      </c>
      <c r="G9" s="31">
        <f t="shared" si="1"/>
        <v>1.1816396207183419</v>
      </c>
      <c r="H9" s="31">
        <f t="shared" si="1"/>
        <v>8.9693291884534148</v>
      </c>
      <c r="I9" s="31">
        <f t="shared" ref="I9:J9" si="2">I49</f>
        <v>24.360077867963515</v>
      </c>
      <c r="J9" s="31">
        <f t="shared" si="2"/>
        <v>46.967670305328099</v>
      </c>
      <c r="K9" s="31">
        <f t="shared" ref="K9:L9" si="3">K49</f>
        <v>67.85362647794804</v>
      </c>
      <c r="L9" s="31">
        <f t="shared" si="3"/>
        <v>86.493377868065551</v>
      </c>
      <c r="M9" s="31">
        <f t="shared" ref="M9" si="4">M49</f>
        <v>103.30072179263041</v>
      </c>
      <c r="O9" s="1002">
        <f t="shared" si="0"/>
        <v>0</v>
      </c>
    </row>
    <row r="10" spans="1:20" ht="15" thickBot="1" x14ac:dyDescent="0.4">
      <c r="A10" s="72" t="s">
        <v>38</v>
      </c>
      <c r="B10" s="715">
        <v>5.8070000000000004</v>
      </c>
      <c r="C10" s="715">
        <v>19.567</v>
      </c>
      <c r="D10" s="31">
        <f>C10+0.5</f>
        <v>20.067</v>
      </c>
      <c r="E10" s="31">
        <f t="shared" ref="E10:M10" si="5">D10+0.5</f>
        <v>20.567</v>
      </c>
      <c r="F10" s="31">
        <f t="shared" si="5"/>
        <v>21.067</v>
      </c>
      <c r="G10" s="31">
        <f t="shared" si="5"/>
        <v>21.567</v>
      </c>
      <c r="H10" s="31">
        <f t="shared" si="5"/>
        <v>22.067</v>
      </c>
      <c r="I10" s="31">
        <f t="shared" si="5"/>
        <v>22.567</v>
      </c>
      <c r="J10" s="31">
        <f t="shared" si="5"/>
        <v>23.067</v>
      </c>
      <c r="K10" s="31">
        <f t="shared" si="5"/>
        <v>23.567</v>
      </c>
      <c r="L10" s="31">
        <f t="shared" si="5"/>
        <v>24.067</v>
      </c>
      <c r="M10" s="31">
        <f t="shared" si="5"/>
        <v>24.567</v>
      </c>
      <c r="O10" s="1002">
        <f t="shared" si="0"/>
        <v>0.5</v>
      </c>
    </row>
    <row r="11" spans="1:20" s="91" customFormat="1" ht="15" thickBot="1" x14ac:dyDescent="0.4">
      <c r="A11" s="84" t="s">
        <v>39</v>
      </c>
      <c r="B11" s="85">
        <f t="shared" ref="B11:M11" si="6">SUM(B7:B10)</f>
        <v>114.602</v>
      </c>
      <c r="C11" s="85">
        <f t="shared" si="6"/>
        <v>324.67</v>
      </c>
      <c r="D11" s="1018">
        <f t="shared" si="6"/>
        <v>560.57200000000012</v>
      </c>
      <c r="E11" s="85">
        <f t="shared" si="6"/>
        <v>589.98300000000017</v>
      </c>
      <c r="F11" s="85">
        <f t="shared" si="6"/>
        <v>381.64545108750025</v>
      </c>
      <c r="G11" s="85">
        <f t="shared" si="6"/>
        <v>372.79847746279268</v>
      </c>
      <c r="H11" s="85">
        <f t="shared" si="6"/>
        <v>257.19831540543498</v>
      </c>
      <c r="I11" s="85">
        <f t="shared" si="6"/>
        <v>337.30558241087573</v>
      </c>
      <c r="J11" s="85">
        <f t="shared" si="6"/>
        <v>702.84338392618361</v>
      </c>
      <c r="K11" s="85">
        <f t="shared" si="6"/>
        <v>1293.5939536391375</v>
      </c>
      <c r="L11" s="85">
        <f t="shared" si="6"/>
        <v>2007.668658694678</v>
      </c>
      <c r="M11" s="85">
        <f t="shared" si="6"/>
        <v>2890.3810260756713</v>
      </c>
      <c r="N11" s="1"/>
      <c r="O11" s="1002"/>
      <c r="P11" s="1"/>
      <c r="Q11" s="1"/>
      <c r="R11" s="1"/>
      <c r="S11" s="1"/>
      <c r="T11" s="1"/>
    </row>
    <row r="12" spans="1:20" s="91" customFormat="1" x14ac:dyDescent="0.35">
      <c r="A12" s="971" t="s">
        <v>448</v>
      </c>
      <c r="B12" s="73">
        <v>11.38</v>
      </c>
      <c r="C12" s="73">
        <v>147.99299999999999</v>
      </c>
      <c r="D12" s="1019">
        <f>C12-CF!D29</f>
        <v>97.992999999999995</v>
      </c>
      <c r="E12" s="1019">
        <f>D12-CF!E29</f>
        <v>97.992999999999995</v>
      </c>
      <c r="F12" s="1019">
        <f>E12-CF!F29</f>
        <v>97.992999999999995</v>
      </c>
      <c r="G12" s="1019">
        <f>F12-CF!G29</f>
        <v>97.992999999999995</v>
      </c>
      <c r="H12" s="1019">
        <f>G12-CF!H29</f>
        <v>97.992999999999995</v>
      </c>
      <c r="I12" s="1019">
        <f>H12-CF!I29</f>
        <v>97.992999999999995</v>
      </c>
      <c r="J12" s="1019">
        <f>I12-CF!J29</f>
        <v>97.992999999999995</v>
      </c>
      <c r="K12" s="1019">
        <f>J12-CF!K29</f>
        <v>97.992999999999995</v>
      </c>
      <c r="L12" s="1019">
        <f>K12-CF!L29</f>
        <v>97.992999999999995</v>
      </c>
      <c r="M12" s="1019">
        <f>L12-CF!M29</f>
        <v>97.992999999999995</v>
      </c>
      <c r="N12" s="1"/>
      <c r="O12" s="1002">
        <f>D12-C12</f>
        <v>-50</v>
      </c>
      <c r="P12" s="1"/>
      <c r="Q12" s="1"/>
      <c r="R12" s="1"/>
      <c r="S12" s="1"/>
      <c r="T12" s="1"/>
    </row>
    <row r="13" spans="1:20" s="91" customFormat="1" ht="14.15" customHeight="1" x14ac:dyDescent="0.35">
      <c r="A13" s="971" t="s">
        <v>253</v>
      </c>
      <c r="B13" s="73">
        <v>0.20699999999999999</v>
      </c>
      <c r="C13" s="73">
        <v>0.20699999999999999</v>
      </c>
      <c r="D13" s="1020">
        <f>C13</f>
        <v>0.20699999999999999</v>
      </c>
      <c r="E13" s="76">
        <f t="shared" ref="E13:M13" si="7">D13</f>
        <v>0.20699999999999999</v>
      </c>
      <c r="F13" s="76">
        <f t="shared" si="7"/>
        <v>0.20699999999999999</v>
      </c>
      <c r="G13" s="76">
        <f t="shared" si="7"/>
        <v>0.20699999999999999</v>
      </c>
      <c r="H13" s="76">
        <f t="shared" si="7"/>
        <v>0.20699999999999999</v>
      </c>
      <c r="I13" s="76">
        <f t="shared" si="7"/>
        <v>0.20699999999999999</v>
      </c>
      <c r="J13" s="76">
        <f t="shared" si="7"/>
        <v>0.20699999999999999</v>
      </c>
      <c r="K13" s="76">
        <f t="shared" si="7"/>
        <v>0.20699999999999999</v>
      </c>
      <c r="L13" s="76">
        <f t="shared" si="7"/>
        <v>0.20699999999999999</v>
      </c>
      <c r="M13" s="76">
        <f t="shared" si="7"/>
        <v>0.20699999999999999</v>
      </c>
      <c r="N13" s="1"/>
      <c r="O13" s="1002">
        <f t="shared" ref="O13:O16" si="8">D13-C13</f>
        <v>0</v>
      </c>
      <c r="P13" s="1" t="s">
        <v>491</v>
      </c>
      <c r="Q13" s="1"/>
      <c r="R13" s="1"/>
      <c r="S13" s="1"/>
      <c r="T13" s="1"/>
    </row>
    <row r="14" spans="1:20" s="91" customFormat="1" ht="14.15" customHeight="1" x14ac:dyDescent="0.35">
      <c r="A14" s="72" t="s">
        <v>276</v>
      </c>
      <c r="B14" s="715">
        <v>6.3540000000000001</v>
      </c>
      <c r="C14" s="715">
        <v>5.4880000000000004</v>
      </c>
      <c r="D14" s="31">
        <f>C14</f>
        <v>5.4880000000000004</v>
      </c>
      <c r="E14" s="31">
        <f t="shared" ref="E14:M14" si="9">D14</f>
        <v>5.4880000000000004</v>
      </c>
      <c r="F14" s="31">
        <f t="shared" si="9"/>
        <v>5.4880000000000004</v>
      </c>
      <c r="G14" s="31">
        <f t="shared" si="9"/>
        <v>5.4880000000000004</v>
      </c>
      <c r="H14" s="31">
        <f t="shared" si="9"/>
        <v>5.4880000000000004</v>
      </c>
      <c r="I14" s="31">
        <f t="shared" si="9"/>
        <v>5.4880000000000004</v>
      </c>
      <c r="J14" s="31">
        <f t="shared" si="9"/>
        <v>5.4880000000000004</v>
      </c>
      <c r="K14" s="31">
        <f t="shared" si="9"/>
        <v>5.4880000000000004</v>
      </c>
      <c r="L14" s="31">
        <f t="shared" si="9"/>
        <v>5.4880000000000004</v>
      </c>
      <c r="M14" s="31">
        <f t="shared" si="9"/>
        <v>5.4880000000000004</v>
      </c>
      <c r="N14" s="1"/>
      <c r="O14" s="1002">
        <f t="shared" si="8"/>
        <v>0</v>
      </c>
      <c r="P14" s="1"/>
      <c r="Q14" s="1"/>
      <c r="R14" s="1"/>
      <c r="S14" s="1"/>
      <c r="T14" s="1"/>
    </row>
    <row r="15" spans="1:20" x14ac:dyDescent="0.35">
      <c r="A15" s="72" t="s">
        <v>40</v>
      </c>
      <c r="B15" s="14">
        <v>1.2070000000000001</v>
      </c>
      <c r="C15" s="14">
        <v>1.095</v>
      </c>
      <c r="D15" s="31">
        <f>C15-CF!D30-CF!D9</f>
        <v>0.9900000000000001</v>
      </c>
      <c r="E15" s="31">
        <f>D15-CF!E30-CF!E9</f>
        <v>0.88500000000000012</v>
      </c>
      <c r="F15" s="31">
        <f>E15-CF!F30-CF!F9</f>
        <v>0.78000000000000014</v>
      </c>
      <c r="G15" s="31">
        <f>F15-CF!G30-CF!G9</f>
        <v>0.67500000000000016</v>
      </c>
      <c r="H15" s="31">
        <f>G15-CF!H30-CF!H9</f>
        <v>0.57000000000000017</v>
      </c>
      <c r="I15" s="31">
        <f>H15-CF!I30-CF!I9</f>
        <v>0.46500000000000019</v>
      </c>
      <c r="J15" s="31">
        <f>I15-CF!J30-CF!J9</f>
        <v>0.36000000000000021</v>
      </c>
      <c r="K15" s="31">
        <f>J15-CF!K30-CF!K9</f>
        <v>0.25500000000000023</v>
      </c>
      <c r="L15" s="31">
        <f>K15-CF!L30-CF!L9</f>
        <v>0.15000000000000024</v>
      </c>
      <c r="M15" s="31">
        <f>L15-CF!M30-CF!M9</f>
        <v>4.5000000000000262E-2</v>
      </c>
      <c r="O15" s="1002">
        <f t="shared" si="8"/>
        <v>-0.10499999999999987</v>
      </c>
    </row>
    <row r="16" spans="1:20" ht="15" thickBot="1" x14ac:dyDescent="0.4">
      <c r="A16" s="72" t="s">
        <v>41</v>
      </c>
      <c r="B16" s="737">
        <v>3.1659999999999999</v>
      </c>
      <c r="C16" s="737">
        <v>5.8999999999999997E-2</v>
      </c>
      <c r="D16" s="1021">
        <f>C16</f>
        <v>5.8999999999999997E-2</v>
      </c>
      <c r="E16" s="541">
        <f t="shared" ref="E16" si="10">D16</f>
        <v>5.8999999999999997E-2</v>
      </c>
      <c r="F16" s="541">
        <f t="shared" ref="F16" si="11">E16</f>
        <v>5.8999999999999997E-2</v>
      </c>
      <c r="G16" s="541">
        <f t="shared" ref="G16" si="12">F16</f>
        <v>5.8999999999999997E-2</v>
      </c>
      <c r="H16" s="541">
        <f t="shared" ref="H16:M16" si="13">G16</f>
        <v>5.8999999999999997E-2</v>
      </c>
      <c r="I16" s="541">
        <f t="shared" si="13"/>
        <v>5.8999999999999997E-2</v>
      </c>
      <c r="J16" s="541">
        <f t="shared" si="13"/>
        <v>5.8999999999999997E-2</v>
      </c>
      <c r="K16" s="541">
        <f t="shared" si="13"/>
        <v>5.8999999999999997E-2</v>
      </c>
      <c r="L16" s="541">
        <f t="shared" si="13"/>
        <v>5.8999999999999997E-2</v>
      </c>
      <c r="M16" s="541">
        <f t="shared" si="13"/>
        <v>5.8999999999999997E-2</v>
      </c>
      <c r="O16" s="1002">
        <f t="shared" si="8"/>
        <v>0</v>
      </c>
    </row>
    <row r="17" spans="1:15" ht="15" thickBot="1" x14ac:dyDescent="0.4">
      <c r="A17" s="84" t="s">
        <v>42</v>
      </c>
      <c r="B17" s="86">
        <f>SUM(B11:B16)</f>
        <v>136.916</v>
      </c>
      <c r="C17" s="86">
        <f>SUM(C11:C16)</f>
        <v>479.51200000000006</v>
      </c>
      <c r="D17" s="1022">
        <f t="shared" ref="D17:M17" si="14">SUM(D11:D16)</f>
        <v>665.30900000000008</v>
      </c>
      <c r="E17" s="86">
        <f t="shared" si="14"/>
        <v>694.61500000000012</v>
      </c>
      <c r="F17" s="86">
        <f t="shared" si="14"/>
        <v>486.17245108750024</v>
      </c>
      <c r="G17" s="86">
        <f t="shared" si="14"/>
        <v>477.2204774627927</v>
      </c>
      <c r="H17" s="86">
        <f t="shared" si="14"/>
        <v>361.51531540543499</v>
      </c>
      <c r="I17" s="86">
        <f t="shared" si="14"/>
        <v>441.51758241087572</v>
      </c>
      <c r="J17" s="86">
        <f t="shared" si="14"/>
        <v>806.95038392618358</v>
      </c>
      <c r="K17" s="86">
        <f t="shared" si="14"/>
        <v>1397.5959536391376</v>
      </c>
      <c r="L17" s="86">
        <f t="shared" si="14"/>
        <v>2111.5656586946779</v>
      </c>
      <c r="M17" s="86">
        <f t="shared" si="14"/>
        <v>2994.1730260756713</v>
      </c>
      <c r="O17" s="1002"/>
    </row>
    <row r="18" spans="1:15" x14ac:dyDescent="0.35">
      <c r="A18" s="74"/>
      <c r="B18" s="12"/>
      <c r="C18" s="12"/>
      <c r="D18" s="31"/>
      <c r="E18" s="12"/>
      <c r="F18" s="12"/>
      <c r="G18" s="12"/>
      <c r="H18" s="12"/>
      <c r="I18" s="12"/>
      <c r="J18" s="12"/>
      <c r="K18" s="12"/>
      <c r="L18" s="12"/>
      <c r="M18" s="12"/>
      <c r="O18" s="1002"/>
    </row>
    <row r="19" spans="1:15" x14ac:dyDescent="0.35">
      <c r="A19" s="81" t="s">
        <v>43</v>
      </c>
      <c r="B19" s="12"/>
      <c r="C19" s="12"/>
      <c r="D19" s="31"/>
      <c r="E19" s="12"/>
      <c r="F19" s="12"/>
      <c r="G19" s="12"/>
      <c r="H19" s="12"/>
      <c r="I19" s="12"/>
      <c r="J19" s="12"/>
      <c r="K19" s="12"/>
      <c r="L19" s="12"/>
      <c r="M19" s="12"/>
      <c r="O19" s="1002"/>
    </row>
    <row r="20" spans="1:15" outlineLevel="1" x14ac:dyDescent="0.35">
      <c r="A20" s="72" t="s">
        <v>44</v>
      </c>
      <c r="B20" s="12"/>
      <c r="C20" s="12"/>
      <c r="D20" s="31"/>
      <c r="E20" s="12"/>
      <c r="F20" s="12"/>
      <c r="G20" s="12"/>
      <c r="H20" s="12"/>
      <c r="I20" s="12"/>
      <c r="J20" s="12"/>
      <c r="K20" s="12"/>
      <c r="L20" s="12"/>
      <c r="M20" s="12"/>
      <c r="O20" s="1002"/>
    </row>
    <row r="21" spans="1:15" x14ac:dyDescent="0.35">
      <c r="A21" s="72" t="s">
        <v>45</v>
      </c>
      <c r="B21" s="14">
        <v>1.9119999999999999</v>
      </c>
      <c r="C21" s="14">
        <v>3.2890000000000001</v>
      </c>
      <c r="D21" s="715">
        <v>4.5</v>
      </c>
      <c r="E21" s="14">
        <f>D21+1.5</f>
        <v>6</v>
      </c>
      <c r="F21" s="14">
        <f t="shared" ref="F21:H21" si="15">E21+1.5</f>
        <v>7.5</v>
      </c>
      <c r="G21" s="14">
        <f t="shared" si="15"/>
        <v>9</v>
      </c>
      <c r="H21" s="14">
        <f t="shared" si="15"/>
        <v>10.5</v>
      </c>
      <c r="I21" s="20">
        <f t="shared" ref="I21:J21" si="16">I53</f>
        <v>16.095051448475896</v>
      </c>
      <c r="J21" s="20">
        <f t="shared" si="16"/>
        <v>31.032210737448921</v>
      </c>
      <c r="K21" s="20">
        <f t="shared" ref="K21:L21" si="17">K53</f>
        <v>44.83186035150139</v>
      </c>
      <c r="L21" s="20">
        <f t="shared" si="17"/>
        <v>57.147410377114738</v>
      </c>
      <c r="M21" s="20">
        <f t="shared" ref="M21" si="18">M53</f>
        <v>68.252262612987963</v>
      </c>
      <c r="O21" s="1002">
        <f t="shared" ref="O21:O24" si="19">D21-C21</f>
        <v>1.2109999999999999</v>
      </c>
    </row>
    <row r="22" spans="1:15" x14ac:dyDescent="0.35">
      <c r="A22" s="72" t="s">
        <v>277</v>
      </c>
      <c r="B22" s="14">
        <v>9.9909999999999997</v>
      </c>
      <c r="C22" s="14">
        <v>12.048999999999999</v>
      </c>
      <c r="D22" s="31">
        <f t="shared" ref="D22:M22" si="20">C22+2</f>
        <v>14.048999999999999</v>
      </c>
      <c r="E22" s="20">
        <f t="shared" si="20"/>
        <v>16.048999999999999</v>
      </c>
      <c r="F22" s="20">
        <f t="shared" si="20"/>
        <v>18.048999999999999</v>
      </c>
      <c r="G22" s="20">
        <f t="shared" si="20"/>
        <v>20.048999999999999</v>
      </c>
      <c r="H22" s="20">
        <f t="shared" si="20"/>
        <v>22.048999999999999</v>
      </c>
      <c r="I22" s="20">
        <f t="shared" si="20"/>
        <v>24.048999999999999</v>
      </c>
      <c r="J22" s="20">
        <f t="shared" si="20"/>
        <v>26.048999999999999</v>
      </c>
      <c r="K22" s="20">
        <f t="shared" si="20"/>
        <v>28.048999999999999</v>
      </c>
      <c r="L22" s="20">
        <f t="shared" si="20"/>
        <v>30.048999999999999</v>
      </c>
      <c r="M22" s="20">
        <f t="shared" si="20"/>
        <v>32.048999999999999</v>
      </c>
      <c r="O22" s="1002">
        <f t="shared" si="19"/>
        <v>2</v>
      </c>
    </row>
    <row r="23" spans="1:15" x14ac:dyDescent="0.35">
      <c r="A23" s="72" t="s">
        <v>449</v>
      </c>
      <c r="B23" s="14">
        <v>0.77800000000000002</v>
      </c>
      <c r="C23" s="14">
        <v>0.89100000000000001</v>
      </c>
      <c r="D23" s="31">
        <f>C23+0.1</f>
        <v>0.99099999999999999</v>
      </c>
      <c r="E23" s="31">
        <f t="shared" ref="E23:M23" si="21">D23+0.1</f>
        <v>1.091</v>
      </c>
      <c r="F23" s="31">
        <f t="shared" si="21"/>
        <v>1.1910000000000001</v>
      </c>
      <c r="G23" s="31">
        <f t="shared" si="21"/>
        <v>1.2910000000000001</v>
      </c>
      <c r="H23" s="31">
        <f t="shared" si="21"/>
        <v>1.3910000000000002</v>
      </c>
      <c r="I23" s="31">
        <f t="shared" si="21"/>
        <v>1.4910000000000003</v>
      </c>
      <c r="J23" s="31">
        <f t="shared" si="21"/>
        <v>1.5910000000000004</v>
      </c>
      <c r="K23" s="31">
        <f t="shared" si="21"/>
        <v>1.6910000000000005</v>
      </c>
      <c r="L23" s="31">
        <f t="shared" si="21"/>
        <v>1.7910000000000006</v>
      </c>
      <c r="M23" s="31">
        <f t="shared" si="21"/>
        <v>1.8910000000000007</v>
      </c>
      <c r="O23" s="1002">
        <f t="shared" si="19"/>
        <v>9.9999999999999978E-2</v>
      </c>
    </row>
    <row r="24" spans="1:15" ht="15" thickBot="1" x14ac:dyDescent="0.4">
      <c r="A24" s="72" t="s">
        <v>450</v>
      </c>
      <c r="B24" s="14">
        <v>3.2389999999999999</v>
      </c>
      <c r="C24" s="14">
        <v>0</v>
      </c>
      <c r="D24" s="31">
        <f>C24</f>
        <v>0</v>
      </c>
      <c r="E24" s="20">
        <f t="shared" ref="E24:M24" si="22">D24</f>
        <v>0</v>
      </c>
      <c r="F24" s="20">
        <f t="shared" si="22"/>
        <v>0</v>
      </c>
      <c r="G24" s="20">
        <f t="shared" si="22"/>
        <v>0</v>
      </c>
      <c r="H24" s="20">
        <f t="shared" si="22"/>
        <v>0</v>
      </c>
      <c r="I24" s="20">
        <f t="shared" si="22"/>
        <v>0</v>
      </c>
      <c r="J24" s="20">
        <f t="shared" si="22"/>
        <v>0</v>
      </c>
      <c r="K24" s="20">
        <f t="shared" si="22"/>
        <v>0</v>
      </c>
      <c r="L24" s="20">
        <f t="shared" si="22"/>
        <v>0</v>
      </c>
      <c r="M24" s="20">
        <f t="shared" si="22"/>
        <v>0</v>
      </c>
      <c r="O24" s="1002">
        <f t="shared" si="19"/>
        <v>0</v>
      </c>
    </row>
    <row r="25" spans="1:15" ht="15" thickBot="1" x14ac:dyDescent="0.4">
      <c r="A25" s="79" t="s">
        <v>46</v>
      </c>
      <c r="B25" s="80">
        <f t="shared" ref="B25:M25" si="23">SUM(B21:B24)</f>
        <v>15.919999999999998</v>
      </c>
      <c r="C25" s="80">
        <f t="shared" si="23"/>
        <v>16.228999999999999</v>
      </c>
      <c r="D25" s="1023">
        <f t="shared" si="23"/>
        <v>19.54</v>
      </c>
      <c r="E25" s="80">
        <f t="shared" si="23"/>
        <v>23.14</v>
      </c>
      <c r="F25" s="80">
        <f t="shared" si="23"/>
        <v>26.74</v>
      </c>
      <c r="G25" s="80">
        <f t="shared" si="23"/>
        <v>30.34</v>
      </c>
      <c r="H25" s="80">
        <f t="shared" si="23"/>
        <v>33.94</v>
      </c>
      <c r="I25" s="80">
        <f t="shared" si="23"/>
        <v>41.635051448475892</v>
      </c>
      <c r="J25" s="80">
        <f t="shared" si="23"/>
        <v>58.672210737448921</v>
      </c>
      <c r="K25" s="80">
        <f t="shared" si="23"/>
        <v>74.571860351501385</v>
      </c>
      <c r="L25" s="80">
        <f t="shared" si="23"/>
        <v>88.987410377114742</v>
      </c>
      <c r="M25" s="80">
        <f t="shared" si="23"/>
        <v>102.19226261298796</v>
      </c>
      <c r="O25" s="1002"/>
    </row>
    <row r="26" spans="1:15" ht="15" thickBot="1" x14ac:dyDescent="0.4">
      <c r="A26" s="72" t="s">
        <v>283</v>
      </c>
      <c r="B26" s="14">
        <v>5.8010000000000002</v>
      </c>
      <c r="C26" s="14">
        <v>4.9109999999999996</v>
      </c>
      <c r="D26" s="715">
        <f>C26-0.2</f>
        <v>4.7109999999999994</v>
      </c>
      <c r="E26" s="31">
        <f t="shared" ref="E26:M26" si="24">D26-0.2</f>
        <v>4.5109999999999992</v>
      </c>
      <c r="F26" s="31">
        <f t="shared" si="24"/>
        <v>4.3109999999999991</v>
      </c>
      <c r="G26" s="31">
        <f t="shared" si="24"/>
        <v>4.1109999999999989</v>
      </c>
      <c r="H26" s="31">
        <f t="shared" si="24"/>
        <v>3.9109999999999987</v>
      </c>
      <c r="I26" s="31">
        <f t="shared" si="24"/>
        <v>3.7109999999999985</v>
      </c>
      <c r="J26" s="31">
        <f t="shared" si="24"/>
        <v>3.5109999999999983</v>
      </c>
      <c r="K26" s="31">
        <f t="shared" si="24"/>
        <v>3.3109999999999982</v>
      </c>
      <c r="L26" s="31">
        <f t="shared" si="24"/>
        <v>3.110999999999998</v>
      </c>
      <c r="M26" s="31">
        <f t="shared" si="24"/>
        <v>2.9109999999999978</v>
      </c>
      <c r="O26" s="1002">
        <f t="shared" ref="O26" si="25">D26-C26</f>
        <v>-0.20000000000000018</v>
      </c>
    </row>
    <row r="27" spans="1:15" ht="15" thickBot="1" x14ac:dyDescent="0.4">
      <c r="A27" s="84" t="s">
        <v>47</v>
      </c>
      <c r="B27" s="85">
        <f t="shared" ref="B27:H27" si="26">SUM(B25:B26)</f>
        <v>21.720999999999997</v>
      </c>
      <c r="C27" s="85">
        <f t="shared" si="26"/>
        <v>21.14</v>
      </c>
      <c r="D27" s="1018">
        <f t="shared" si="26"/>
        <v>24.250999999999998</v>
      </c>
      <c r="E27" s="85">
        <f t="shared" si="26"/>
        <v>27.651</v>
      </c>
      <c r="F27" s="85">
        <f t="shared" si="26"/>
        <v>31.050999999999998</v>
      </c>
      <c r="G27" s="85">
        <f t="shared" si="26"/>
        <v>34.451000000000001</v>
      </c>
      <c r="H27" s="85">
        <f t="shared" si="26"/>
        <v>37.850999999999999</v>
      </c>
      <c r="I27" s="85">
        <f t="shared" ref="I27:J27" si="27">SUM(I25:I26)</f>
        <v>45.34605144847589</v>
      </c>
      <c r="J27" s="85">
        <f t="shared" si="27"/>
        <v>62.183210737448917</v>
      </c>
      <c r="K27" s="85">
        <f t="shared" ref="K27:L27" si="28">SUM(K25:K26)</f>
        <v>77.882860351501378</v>
      </c>
      <c r="L27" s="85">
        <f t="shared" si="28"/>
        <v>92.098410377114746</v>
      </c>
      <c r="M27" s="85">
        <f t="shared" ref="M27" si="29">SUM(M25:M26)</f>
        <v>105.10326261298796</v>
      </c>
      <c r="O27" s="1002"/>
    </row>
    <row r="28" spans="1:15" x14ac:dyDescent="0.35">
      <c r="A28" s="77"/>
      <c r="B28" s="12"/>
      <c r="C28" s="12"/>
      <c r="D28" s="31"/>
      <c r="E28" s="12"/>
      <c r="F28" s="12"/>
      <c r="G28" s="12"/>
      <c r="H28" s="12"/>
      <c r="I28" s="12"/>
      <c r="J28" s="12"/>
      <c r="K28" s="12"/>
      <c r="L28" s="12"/>
      <c r="M28" s="12"/>
      <c r="O28" s="1002"/>
    </row>
    <row r="29" spans="1:15" ht="14.15" customHeight="1" x14ac:dyDescent="0.35">
      <c r="A29" s="72" t="s">
        <v>48</v>
      </c>
      <c r="B29" s="12"/>
      <c r="C29" s="12"/>
      <c r="D29" s="31"/>
      <c r="E29" s="12"/>
      <c r="F29" s="12"/>
      <c r="G29" s="12"/>
      <c r="H29" s="12"/>
      <c r="I29" s="12"/>
      <c r="J29" s="12"/>
      <c r="K29" s="12"/>
      <c r="L29" s="12"/>
      <c r="M29" s="12"/>
      <c r="O29" s="1002"/>
    </row>
    <row r="30" spans="1:15" ht="14.15" customHeight="1" x14ac:dyDescent="0.35">
      <c r="A30" s="72" t="s">
        <v>451</v>
      </c>
      <c r="B30" s="715">
        <v>0</v>
      </c>
      <c r="C30" s="715">
        <v>0</v>
      </c>
      <c r="D30" s="1021">
        <f>C30+CF!D36</f>
        <v>0</v>
      </c>
      <c r="E30" s="541">
        <f>D30+CF!E36</f>
        <v>0</v>
      </c>
      <c r="F30" s="541">
        <f>E30+CF!F36</f>
        <v>0</v>
      </c>
      <c r="G30" s="541">
        <f>F30+CF!G36</f>
        <v>0</v>
      </c>
      <c r="H30" s="541">
        <f>G30+CF!H36</f>
        <v>0</v>
      </c>
      <c r="I30" s="541">
        <f>H30+CF!I36</f>
        <v>0</v>
      </c>
      <c r="J30" s="541">
        <f>I30+CF!J36</f>
        <v>0</v>
      </c>
      <c r="K30" s="541">
        <f>J30+CF!K36</f>
        <v>0</v>
      </c>
      <c r="L30" s="541">
        <f>K30+CF!L36</f>
        <v>0</v>
      </c>
      <c r="M30" s="541">
        <f>L30+CF!M36</f>
        <v>0</v>
      </c>
      <c r="O30" s="1002">
        <f t="shared" ref="O30:O39" si="30">D30-C30</f>
        <v>0</v>
      </c>
    </row>
    <row r="31" spans="1:15" ht="14.15" customHeight="1" x14ac:dyDescent="0.35">
      <c r="A31" s="72" t="s">
        <v>452</v>
      </c>
      <c r="B31" s="715">
        <v>224.99199999999999</v>
      </c>
      <c r="C31" s="715">
        <v>0</v>
      </c>
      <c r="D31" s="1021">
        <f>C31+CF!D35</f>
        <v>0</v>
      </c>
      <c r="E31" s="541">
        <f>D31+CF!E35</f>
        <v>0</v>
      </c>
      <c r="F31" s="541">
        <f>E31+CF!F35</f>
        <v>0</v>
      </c>
      <c r="G31" s="541">
        <f>F31+CF!G35</f>
        <v>0</v>
      </c>
      <c r="H31" s="541">
        <f>G31+CF!H35</f>
        <v>0</v>
      </c>
      <c r="I31" s="541">
        <f>H31+CF!I35</f>
        <v>0</v>
      </c>
      <c r="J31" s="541">
        <f>I31+CF!J35</f>
        <v>0</v>
      </c>
      <c r="K31" s="541">
        <f>J31+CF!K35</f>
        <v>0</v>
      </c>
      <c r="L31" s="541">
        <f>K31+CF!L35</f>
        <v>0</v>
      </c>
      <c r="M31" s="541">
        <f>L31+CF!M35</f>
        <v>0</v>
      </c>
      <c r="O31" s="1002">
        <f t="shared" si="30"/>
        <v>0</v>
      </c>
    </row>
    <row r="32" spans="1:15" ht="14.15" customHeight="1" x14ac:dyDescent="0.35">
      <c r="A32" s="72" t="s">
        <v>453</v>
      </c>
      <c r="B32" s="715">
        <v>11.981</v>
      </c>
      <c r="C32" s="715">
        <v>0</v>
      </c>
      <c r="D32" s="1021">
        <f t="shared" ref="D32" si="31">C32</f>
        <v>0</v>
      </c>
      <c r="E32" s="541">
        <f t="shared" ref="E32" si="32">D32</f>
        <v>0</v>
      </c>
      <c r="F32" s="541">
        <f t="shared" ref="F32" si="33">E32</f>
        <v>0</v>
      </c>
      <c r="G32" s="541">
        <f t="shared" ref="G32" si="34">F32</f>
        <v>0</v>
      </c>
      <c r="H32" s="541">
        <f t="shared" ref="H32" si="35">G32</f>
        <v>0</v>
      </c>
      <c r="I32" s="541">
        <f t="shared" ref="I32" si="36">H32</f>
        <v>0</v>
      </c>
      <c r="J32" s="541">
        <f t="shared" ref="J32" si="37">I32</f>
        <v>0</v>
      </c>
      <c r="K32" s="541">
        <f t="shared" ref="K32" si="38">J32</f>
        <v>0</v>
      </c>
      <c r="L32" s="541">
        <f t="shared" ref="L32" si="39">K32</f>
        <v>0</v>
      </c>
      <c r="M32" s="541">
        <f t="shared" ref="M32" si="40">L32</f>
        <v>0</v>
      </c>
      <c r="O32" s="1002">
        <f t="shared" si="30"/>
        <v>0</v>
      </c>
    </row>
    <row r="33" spans="1:20" x14ac:dyDescent="0.35">
      <c r="A33" s="78" t="s">
        <v>454</v>
      </c>
      <c r="B33" s="737">
        <v>51.094000000000001</v>
      </c>
      <c r="C33" s="737">
        <v>0</v>
      </c>
      <c r="D33" s="1021">
        <f t="shared" ref="D33:M33" si="41">C33</f>
        <v>0</v>
      </c>
      <c r="E33" s="20">
        <f t="shared" si="41"/>
        <v>0</v>
      </c>
      <c r="F33" s="20">
        <f t="shared" si="41"/>
        <v>0</v>
      </c>
      <c r="G33" s="20">
        <f t="shared" si="41"/>
        <v>0</v>
      </c>
      <c r="H33" s="20">
        <f t="shared" si="41"/>
        <v>0</v>
      </c>
      <c r="I33" s="20">
        <f t="shared" si="41"/>
        <v>0</v>
      </c>
      <c r="J33" s="20">
        <f t="shared" si="41"/>
        <v>0</v>
      </c>
      <c r="K33" s="20">
        <f t="shared" si="41"/>
        <v>0</v>
      </c>
      <c r="L33" s="20">
        <f t="shared" si="41"/>
        <v>0</v>
      </c>
      <c r="M33" s="20">
        <f t="shared" si="41"/>
        <v>0</v>
      </c>
      <c r="O33" s="1002">
        <f t="shared" si="30"/>
        <v>0</v>
      </c>
    </row>
    <row r="34" spans="1:20" x14ac:dyDescent="0.35">
      <c r="A34" s="78" t="s">
        <v>455</v>
      </c>
      <c r="B34" s="737">
        <v>15.962999999999999</v>
      </c>
      <c r="C34" s="737">
        <v>0</v>
      </c>
      <c r="D34" s="1021">
        <f t="shared" ref="D34:M34" si="42">C34</f>
        <v>0</v>
      </c>
      <c r="E34" s="541">
        <f t="shared" si="42"/>
        <v>0</v>
      </c>
      <c r="F34" s="541">
        <f t="shared" si="42"/>
        <v>0</v>
      </c>
      <c r="G34" s="541">
        <f t="shared" si="42"/>
        <v>0</v>
      </c>
      <c r="H34" s="541">
        <f t="shared" si="42"/>
        <v>0</v>
      </c>
      <c r="I34" s="541">
        <f t="shared" si="42"/>
        <v>0</v>
      </c>
      <c r="J34" s="541">
        <f t="shared" si="42"/>
        <v>0</v>
      </c>
      <c r="K34" s="541">
        <f t="shared" si="42"/>
        <v>0</v>
      </c>
      <c r="L34" s="541">
        <f t="shared" si="42"/>
        <v>0</v>
      </c>
      <c r="M34" s="541">
        <f t="shared" si="42"/>
        <v>0</v>
      </c>
      <c r="N34" s="716"/>
      <c r="O34" s="1002">
        <f t="shared" si="30"/>
        <v>0</v>
      </c>
      <c r="P34" s="716"/>
    </row>
    <row r="35" spans="1:20" x14ac:dyDescent="0.35">
      <c r="A35" s="78" t="s">
        <v>455</v>
      </c>
      <c r="B35" s="737">
        <v>4.7930000000000001</v>
      </c>
      <c r="C35" s="737">
        <v>0</v>
      </c>
      <c r="D35" s="1021">
        <f t="shared" ref="D35" si="43">C35</f>
        <v>0</v>
      </c>
      <c r="E35" s="541">
        <f t="shared" ref="E35" si="44">D35</f>
        <v>0</v>
      </c>
      <c r="F35" s="541">
        <f t="shared" ref="F35" si="45">E35</f>
        <v>0</v>
      </c>
      <c r="G35" s="541">
        <f t="shared" ref="G35" si="46">F35</f>
        <v>0</v>
      </c>
      <c r="H35" s="541">
        <f t="shared" ref="H35" si="47">G35</f>
        <v>0</v>
      </c>
      <c r="I35" s="541">
        <f t="shared" ref="I35" si="48">H35</f>
        <v>0</v>
      </c>
      <c r="J35" s="541">
        <f t="shared" ref="J35" si="49">I35</f>
        <v>0</v>
      </c>
      <c r="K35" s="541">
        <f t="shared" ref="K35" si="50">J35</f>
        <v>0</v>
      </c>
      <c r="L35" s="541">
        <f t="shared" ref="L35" si="51">K35</f>
        <v>0</v>
      </c>
      <c r="M35" s="541">
        <f t="shared" ref="M35" si="52">L35</f>
        <v>0</v>
      </c>
      <c r="N35" s="716"/>
      <c r="O35" s="1002">
        <f t="shared" si="30"/>
        <v>0</v>
      </c>
      <c r="P35" s="716"/>
      <c r="R35" s="2">
        <v>9</v>
      </c>
    </row>
    <row r="36" spans="1:20" s="63" customFormat="1" x14ac:dyDescent="0.35">
      <c r="A36" s="72" t="s">
        <v>320</v>
      </c>
      <c r="B36" s="862">
        <v>0</v>
      </c>
      <c r="C36" s="862">
        <v>5.0000000000000001E-3</v>
      </c>
      <c r="D36" s="1024">
        <f t="shared" ref="D36:M36" si="53">C36</f>
        <v>5.0000000000000001E-3</v>
      </c>
      <c r="E36" s="540">
        <f t="shared" si="53"/>
        <v>5.0000000000000001E-3</v>
      </c>
      <c r="F36" s="540">
        <f t="shared" si="53"/>
        <v>5.0000000000000001E-3</v>
      </c>
      <c r="G36" s="540">
        <f t="shared" si="53"/>
        <v>5.0000000000000001E-3</v>
      </c>
      <c r="H36" s="540">
        <f t="shared" si="53"/>
        <v>5.0000000000000001E-3</v>
      </c>
      <c r="I36" s="540">
        <f t="shared" si="53"/>
        <v>5.0000000000000001E-3</v>
      </c>
      <c r="J36" s="540">
        <f t="shared" si="53"/>
        <v>5.0000000000000001E-3</v>
      </c>
      <c r="K36" s="540">
        <f t="shared" si="53"/>
        <v>5.0000000000000001E-3</v>
      </c>
      <c r="L36" s="540">
        <f t="shared" si="53"/>
        <v>5.0000000000000001E-3</v>
      </c>
      <c r="M36" s="540">
        <f t="shared" si="53"/>
        <v>5.0000000000000001E-3</v>
      </c>
      <c r="O36" s="1002">
        <f t="shared" si="30"/>
        <v>0</v>
      </c>
    </row>
    <row r="37" spans="1:20" s="63" customFormat="1" x14ac:dyDescent="0.35">
      <c r="A37" s="72" t="s">
        <v>49</v>
      </c>
      <c r="B37" s="862">
        <v>5.577</v>
      </c>
      <c r="C37" s="862">
        <v>819.11500000000001</v>
      </c>
      <c r="D37" s="1024">
        <f>C37+CF!D38+CF!D37+CF!D39+CF!D10+CF!D11+CF!D12+CF!D14+CF!D15+CF!D34</f>
        <v>1208.2010000000002</v>
      </c>
      <c r="E37" s="540">
        <f>D37+CF!E38+CF!E37+CF!E39+CF!E10+CF!E11+CF!E12+CF!E14+CF!E15+CF!E34</f>
        <v>1448.4990000000005</v>
      </c>
      <c r="F37" s="540">
        <f>E37+CF!F38+CF!F37+CF!F39+CF!F10+CF!F11+CF!F12+CF!F14+CF!F15+CF!F34</f>
        <v>1490.0453600000005</v>
      </c>
      <c r="G37" s="540">
        <f>F37+CF!G38+CF!G37+CF!G39+CF!G10+CF!G11+CF!G12+CF!G14+CF!G15+CF!G34</f>
        <v>1732.8775308000006</v>
      </c>
      <c r="H37" s="540">
        <f>G37+CF!H38+CF!H37+CF!H39+CF!H10+CF!H11+CF!H12+CF!H14+CF!H15+CF!H34</f>
        <v>1777.0340867240009</v>
      </c>
      <c r="I37" s="540">
        <f>H37+CF!I38+CF!I37+CF!I39+CF!I10+CF!I11+CF!I12+CF!I14+CF!I15+CF!I34</f>
        <v>1822.5547593257211</v>
      </c>
      <c r="J37" s="540">
        <f>I37+CF!J38+CF!J37+CF!J39+CF!J10+CF!J11+CF!J12+CF!J14+CF!J15+CF!J34</f>
        <v>1869.4804721054929</v>
      </c>
      <c r="K37" s="540">
        <f>J37+CF!K38+CF!K37+CF!K39+CF!K10+CF!K11+CF!K12+CF!K14+CF!K15+CF!K34</f>
        <v>1917.8533762686579</v>
      </c>
      <c r="L37" s="540">
        <f>K37+CF!L38+CF!L37+CF!L39+CF!L10+CF!L11+CF!L12+CF!L14+CF!L15+CF!L34</f>
        <v>1967.7168875567179</v>
      </c>
      <c r="M37" s="540">
        <f>L37+CF!M38+CF!M37+CF!M39+CF!M10+CF!M11+CF!M12+CF!M14+CF!M15+CF!M34</f>
        <v>2019.1157241834196</v>
      </c>
      <c r="O37" s="1002">
        <f t="shared" si="30"/>
        <v>389.08600000000024</v>
      </c>
    </row>
    <row r="38" spans="1:20" s="63" customFormat="1" x14ac:dyDescent="0.35">
      <c r="A38" s="72" t="s">
        <v>315</v>
      </c>
      <c r="B38" s="862">
        <v>0.16300000000000001</v>
      </c>
      <c r="C38" s="862">
        <v>-0.22800000000000001</v>
      </c>
      <c r="D38" s="1024">
        <f t="shared" ref="D38" si="54">C38</f>
        <v>-0.22800000000000001</v>
      </c>
      <c r="E38" s="540">
        <f t="shared" ref="E38" si="55">D38</f>
        <v>-0.22800000000000001</v>
      </c>
      <c r="F38" s="540">
        <f t="shared" ref="F38" si="56">E38</f>
        <v>-0.22800000000000001</v>
      </c>
      <c r="G38" s="540">
        <f t="shared" ref="G38" si="57">F38</f>
        <v>-0.22800000000000001</v>
      </c>
      <c r="H38" s="540">
        <f t="shared" ref="H38" si="58">G38</f>
        <v>-0.22800000000000001</v>
      </c>
      <c r="I38" s="540">
        <f t="shared" ref="I38" si="59">H38</f>
        <v>-0.22800000000000001</v>
      </c>
      <c r="J38" s="540">
        <f t="shared" ref="J38" si="60">I38</f>
        <v>-0.22800000000000001</v>
      </c>
      <c r="K38" s="540">
        <f t="shared" ref="K38" si="61">J38</f>
        <v>-0.22800000000000001</v>
      </c>
      <c r="L38" s="540">
        <f t="shared" ref="L38" si="62">K38</f>
        <v>-0.22800000000000001</v>
      </c>
      <c r="M38" s="540">
        <f t="shared" ref="M38" si="63">L38</f>
        <v>-0.22800000000000001</v>
      </c>
      <c r="O38" s="1002">
        <f t="shared" si="30"/>
        <v>0</v>
      </c>
    </row>
    <row r="39" spans="1:20" s="63" customFormat="1" ht="15" thickBot="1" x14ac:dyDescent="0.4">
      <c r="A39" s="72" t="s">
        <v>50</v>
      </c>
      <c r="B39" s="862">
        <v>-199.36799999999999</v>
      </c>
      <c r="C39" s="862">
        <v>-360.52</v>
      </c>
      <c r="D39" s="1024">
        <f>C39+CF!D7</f>
        <v>-566.91999999999996</v>
      </c>
      <c r="E39" s="540">
        <f>D39+CF!E7</f>
        <v>-781.31200000000001</v>
      </c>
      <c r="F39" s="540">
        <f>E39+CF!F7</f>
        <v>-1034.7009089124999</v>
      </c>
      <c r="G39" s="540">
        <f>F39+CF!G7</f>
        <v>-1289.8850533372076</v>
      </c>
      <c r="H39" s="540">
        <f>G39+CF!H7</f>
        <v>-1453.1467713185652</v>
      </c>
      <c r="I39" s="540">
        <f>H39+CF!I7</f>
        <v>-1426.1602283633204</v>
      </c>
      <c r="J39" s="540">
        <f>I39+CF!J7</f>
        <v>-1124.4902989167572</v>
      </c>
      <c r="K39" s="540">
        <f>J39+CF!K7</f>
        <v>-597.91728298102021</v>
      </c>
      <c r="L39" s="540">
        <f>K39+CF!L7</f>
        <v>51.973360760847072</v>
      </c>
      <c r="M39" s="540">
        <f>L39+CF!M7</f>
        <v>870.17703927926482</v>
      </c>
      <c r="O39" s="1002">
        <f t="shared" si="30"/>
        <v>-206.39999999999998</v>
      </c>
    </row>
    <row r="40" spans="1:20" ht="15" thickBot="1" x14ac:dyDescent="0.4">
      <c r="A40" s="79" t="s">
        <v>51</v>
      </c>
      <c r="B40" s="80">
        <f>SUM(B30:B39)</f>
        <v>115.19500000000005</v>
      </c>
      <c r="C40" s="80">
        <f>SUM(C30:C39)</f>
        <v>458.37200000000007</v>
      </c>
      <c r="D40" s="1023">
        <f>SUM(D33:D39)</f>
        <v>641.05800000000033</v>
      </c>
      <c r="E40" s="80">
        <f>SUM(E33:E39)</f>
        <v>666.96400000000051</v>
      </c>
      <c r="F40" s="80">
        <f>SUM(F33:F39)</f>
        <v>455.12145108750065</v>
      </c>
      <c r="G40" s="80">
        <f>SUM(G33:G39)</f>
        <v>442.76947746279302</v>
      </c>
      <c r="H40" s="80">
        <f>SUM(H33:H39)</f>
        <v>323.66431540543567</v>
      </c>
      <c r="I40" s="80">
        <f t="shared" ref="I40:J40" si="64">SUM(I33:I39)</f>
        <v>396.17153096240077</v>
      </c>
      <c r="J40" s="80">
        <f t="shared" si="64"/>
        <v>744.7671731887358</v>
      </c>
      <c r="K40" s="80">
        <f t="shared" ref="K40:L40" si="65">SUM(K33:K39)</f>
        <v>1319.7130932876378</v>
      </c>
      <c r="L40" s="80">
        <f t="shared" si="65"/>
        <v>2019.467248317565</v>
      </c>
      <c r="M40" s="80">
        <f t="shared" ref="M40" si="66">SUM(M33:M39)</f>
        <v>2889.0697634626845</v>
      </c>
      <c r="O40" s="716"/>
    </row>
    <row r="41" spans="1:20" ht="15" thickBot="1" x14ac:dyDescent="0.4">
      <c r="A41" s="82" t="s">
        <v>52</v>
      </c>
      <c r="B41" s="83">
        <f t="shared" ref="B41:H41" si="67">SUM(B40,B27)</f>
        <v>136.91600000000005</v>
      </c>
      <c r="C41" s="83">
        <f t="shared" si="67"/>
        <v>479.51200000000006</v>
      </c>
      <c r="D41" s="83">
        <f t="shared" si="67"/>
        <v>665.30900000000031</v>
      </c>
      <c r="E41" s="83">
        <f t="shared" si="67"/>
        <v>694.61500000000046</v>
      </c>
      <c r="F41" s="83">
        <f t="shared" si="67"/>
        <v>486.17245108750063</v>
      </c>
      <c r="G41" s="83">
        <f t="shared" si="67"/>
        <v>477.22047746279304</v>
      </c>
      <c r="H41" s="83">
        <f t="shared" si="67"/>
        <v>361.51531540543567</v>
      </c>
      <c r="I41" s="83">
        <f t="shared" ref="I41:J41" si="68">SUM(I40,I27)</f>
        <v>441.51758241087668</v>
      </c>
      <c r="J41" s="83">
        <f t="shared" si="68"/>
        <v>806.95038392618471</v>
      </c>
      <c r="K41" s="83">
        <f t="shared" ref="K41:L41" si="69">SUM(K40,K27)</f>
        <v>1397.5959536391392</v>
      </c>
      <c r="L41" s="83">
        <f t="shared" si="69"/>
        <v>2111.5656586946798</v>
      </c>
      <c r="M41" s="83">
        <f t="shared" ref="M41" si="70">SUM(M40,M27)</f>
        <v>2994.1730260756726</v>
      </c>
    </row>
    <row r="42" spans="1:20" s="65" customFormat="1" x14ac:dyDescent="0.35">
      <c r="A42" s="95" t="s">
        <v>73</v>
      </c>
    </row>
    <row r="43" spans="1:20" x14ac:dyDescent="0.35">
      <c r="A43" s="96"/>
      <c r="D43" s="995"/>
      <c r="E43" s="995"/>
      <c r="F43" s="995"/>
      <c r="G43" s="995"/>
      <c r="H43" s="995"/>
      <c r="I43" s="995"/>
      <c r="J43" s="995"/>
      <c r="K43" s="995"/>
      <c r="L43" s="995"/>
      <c r="M43" s="995"/>
    </row>
    <row r="44" spans="1:20" s="431" customFormat="1" x14ac:dyDescent="0.35">
      <c r="A44" s="429" t="s">
        <v>166</v>
      </c>
      <c r="B44" s="430">
        <f t="shared" ref="B44:M44" si="71">B41-B17</f>
        <v>0</v>
      </c>
      <c r="C44" s="430">
        <f t="shared" si="71"/>
        <v>0</v>
      </c>
      <c r="D44" s="994">
        <f t="shared" si="71"/>
        <v>0</v>
      </c>
      <c r="E44" s="994">
        <f t="shared" si="71"/>
        <v>0</v>
      </c>
      <c r="F44" s="994">
        <f t="shared" si="71"/>
        <v>0</v>
      </c>
      <c r="G44" s="994">
        <f t="shared" si="71"/>
        <v>0</v>
      </c>
      <c r="H44" s="994">
        <f t="shared" si="71"/>
        <v>6.8212102632969618E-13</v>
      </c>
      <c r="I44" s="994">
        <f t="shared" si="71"/>
        <v>9.6633812063373625E-13</v>
      </c>
      <c r="J44" s="994">
        <f t="shared" si="71"/>
        <v>1.1368683772161603E-12</v>
      </c>
      <c r="K44" s="994">
        <f t="shared" si="71"/>
        <v>0</v>
      </c>
      <c r="L44" s="994">
        <f t="shared" si="71"/>
        <v>0</v>
      </c>
      <c r="M44" s="994">
        <f t="shared" si="71"/>
        <v>0</v>
      </c>
      <c r="N44" s="429"/>
      <c r="O44" s="429"/>
      <c r="P44" s="429"/>
      <c r="Q44" s="429"/>
      <c r="R44" s="429"/>
      <c r="S44" s="429"/>
      <c r="T44" s="429"/>
    </row>
    <row r="45" spans="1:20" x14ac:dyDescent="0.35">
      <c r="F45" s="3"/>
      <c r="G45" s="3"/>
      <c r="H45" s="1063"/>
      <c r="I45" s="1063"/>
      <c r="J45" s="1063"/>
      <c r="K45" s="3"/>
      <c r="L45" s="3"/>
      <c r="M45" s="3"/>
    </row>
    <row r="46" spans="1:20" ht="15" thickBot="1" x14ac:dyDescent="0.4"/>
    <row r="47" spans="1:20" x14ac:dyDescent="0.35">
      <c r="A47" s="110" t="s">
        <v>101</v>
      </c>
      <c r="B47" s="536">
        <f>IS!AD8</f>
        <v>0</v>
      </c>
      <c r="C47" s="536">
        <f>IS!AE8</f>
        <v>0</v>
      </c>
      <c r="D47" s="536">
        <f>IS!AJ8</f>
        <v>0</v>
      </c>
      <c r="E47" s="536">
        <f>IS!AK8</f>
        <v>0</v>
      </c>
      <c r="F47" s="536">
        <f>IS!AL8</f>
        <v>0</v>
      </c>
      <c r="G47" s="536">
        <f>IS!AM8</f>
        <v>16.880566010262026</v>
      </c>
      <c r="H47" s="536">
        <f>IS!AN8</f>
        <v>128.13327412076305</v>
      </c>
      <c r="I47" s="536">
        <f>IS!AO8</f>
        <v>348.00111239947876</v>
      </c>
      <c r="J47" s="536">
        <f>IS!AP8</f>
        <v>670.96671864754421</v>
      </c>
      <c r="K47" s="536">
        <f>IS!AQ8</f>
        <v>969.3375211135434</v>
      </c>
      <c r="L47" s="536">
        <f>IS!AR8</f>
        <v>1235.6196838295077</v>
      </c>
      <c r="M47" s="536">
        <f>IS!AS8</f>
        <v>1475.7245970375773</v>
      </c>
    </row>
    <row r="48" spans="1:20" x14ac:dyDescent="0.35">
      <c r="A48" s="117" t="s">
        <v>233</v>
      </c>
      <c r="B48" s="35">
        <v>7.0000000000000007E-2</v>
      </c>
      <c r="C48" s="50">
        <f t="shared" ref="C48:M48" si="72">B48</f>
        <v>7.0000000000000007E-2</v>
      </c>
      <c r="D48" s="50">
        <f t="shared" si="72"/>
        <v>7.0000000000000007E-2</v>
      </c>
      <c r="E48" s="50">
        <f t="shared" si="72"/>
        <v>7.0000000000000007E-2</v>
      </c>
      <c r="F48" s="50">
        <f t="shared" si="72"/>
        <v>7.0000000000000007E-2</v>
      </c>
      <c r="G48" s="50">
        <f t="shared" si="72"/>
        <v>7.0000000000000007E-2</v>
      </c>
      <c r="H48" s="50">
        <f t="shared" si="72"/>
        <v>7.0000000000000007E-2</v>
      </c>
      <c r="I48" s="50">
        <f t="shared" si="72"/>
        <v>7.0000000000000007E-2</v>
      </c>
      <c r="J48" s="50">
        <f t="shared" si="72"/>
        <v>7.0000000000000007E-2</v>
      </c>
      <c r="K48" s="50">
        <f t="shared" si="72"/>
        <v>7.0000000000000007E-2</v>
      </c>
      <c r="L48" s="50">
        <f t="shared" si="72"/>
        <v>7.0000000000000007E-2</v>
      </c>
      <c r="M48" s="50">
        <f t="shared" si="72"/>
        <v>7.0000000000000007E-2</v>
      </c>
    </row>
    <row r="49" spans="1:13" ht="15" thickBot="1" x14ac:dyDescent="0.4">
      <c r="A49" s="537" t="s">
        <v>234</v>
      </c>
      <c r="B49" s="538">
        <f>B47*B48</f>
        <v>0</v>
      </c>
      <c r="C49" s="538">
        <f t="shared" ref="C49:G49" si="73">C47*C48</f>
        <v>0</v>
      </c>
      <c r="D49" s="538">
        <f t="shared" si="73"/>
        <v>0</v>
      </c>
      <c r="E49" s="538">
        <f t="shared" si="73"/>
        <v>0</v>
      </c>
      <c r="F49" s="538">
        <f t="shared" si="73"/>
        <v>0</v>
      </c>
      <c r="G49" s="538">
        <f t="shared" si="73"/>
        <v>1.1816396207183419</v>
      </c>
      <c r="H49" s="538">
        <f t="shared" ref="H49:I49" si="74">H47*H48</f>
        <v>8.9693291884534148</v>
      </c>
      <c r="I49" s="538">
        <f t="shared" si="74"/>
        <v>24.360077867963515</v>
      </c>
      <c r="J49" s="538">
        <f t="shared" ref="J49:K49" si="75">J47*J48</f>
        <v>46.967670305328099</v>
      </c>
      <c r="K49" s="538">
        <f t="shared" si="75"/>
        <v>67.85362647794804</v>
      </c>
      <c r="L49" s="538">
        <f t="shared" ref="L49:M49" si="76">L47*L48</f>
        <v>86.493377868065551</v>
      </c>
      <c r="M49" s="538">
        <f t="shared" si="76"/>
        <v>103.30072179263041</v>
      </c>
    </row>
    <row r="50" spans="1:13" ht="15" thickBot="1" x14ac:dyDescent="0.4"/>
    <row r="51" spans="1:13" x14ac:dyDescent="0.35">
      <c r="A51" s="110" t="s">
        <v>101</v>
      </c>
      <c r="B51" s="536">
        <f>IS!AE14</f>
        <v>0</v>
      </c>
      <c r="C51" s="536">
        <f>IS!AE14</f>
        <v>0</v>
      </c>
      <c r="D51" s="536">
        <f>IS!AJ14</f>
        <v>0</v>
      </c>
      <c r="E51" s="536">
        <f>IS!AK14</f>
        <v>0</v>
      </c>
      <c r="F51" s="536">
        <f>IS!AL14</f>
        <v>0</v>
      </c>
      <c r="G51" s="536">
        <f>IS!AM14</f>
        <v>15.614523559492374</v>
      </c>
      <c r="H51" s="536">
        <f>IS!AN14</f>
        <v>118.52327856170582</v>
      </c>
      <c r="I51" s="536">
        <f>IS!AO14</f>
        <v>321.90102896951788</v>
      </c>
      <c r="J51" s="536">
        <f>IS!AP14</f>
        <v>620.64421474897836</v>
      </c>
      <c r="K51" s="536">
        <f>IS!AQ14</f>
        <v>896.63720703002775</v>
      </c>
      <c r="L51" s="536">
        <f>IS!AR14</f>
        <v>1142.9482075422948</v>
      </c>
      <c r="M51" s="536">
        <f>IS!AS14</f>
        <v>1365.0452522597593</v>
      </c>
    </row>
    <row r="52" spans="1:13" x14ac:dyDescent="0.35">
      <c r="A52" s="185" t="s">
        <v>235</v>
      </c>
      <c r="B52" s="50">
        <v>0.05</v>
      </c>
      <c r="C52" s="50">
        <f t="shared" ref="C52:M52" si="77">B52</f>
        <v>0.05</v>
      </c>
      <c r="D52" s="50">
        <f t="shared" si="77"/>
        <v>0.05</v>
      </c>
      <c r="E52" s="50">
        <f t="shared" si="77"/>
        <v>0.05</v>
      </c>
      <c r="F52" s="50">
        <f t="shared" si="77"/>
        <v>0.05</v>
      </c>
      <c r="G52" s="50">
        <f t="shared" si="77"/>
        <v>0.05</v>
      </c>
      <c r="H52" s="50">
        <f t="shared" si="77"/>
        <v>0.05</v>
      </c>
      <c r="I52" s="50">
        <f t="shared" si="77"/>
        <v>0.05</v>
      </c>
      <c r="J52" s="50">
        <f t="shared" si="77"/>
        <v>0.05</v>
      </c>
      <c r="K52" s="50">
        <f t="shared" si="77"/>
        <v>0.05</v>
      </c>
      <c r="L52" s="50">
        <f t="shared" si="77"/>
        <v>0.05</v>
      </c>
      <c r="M52" s="50">
        <f t="shared" si="77"/>
        <v>0.05</v>
      </c>
    </row>
    <row r="53" spans="1:13" ht="15" thickBot="1" x14ac:dyDescent="0.4">
      <c r="A53" s="539" t="s">
        <v>319</v>
      </c>
      <c r="B53" s="538">
        <f>B51*B52</f>
        <v>0</v>
      </c>
      <c r="C53" s="538">
        <f t="shared" ref="C53:H53" si="78">C51*C52</f>
        <v>0</v>
      </c>
      <c r="D53" s="538">
        <f t="shared" si="78"/>
        <v>0</v>
      </c>
      <c r="E53" s="538">
        <f t="shared" si="78"/>
        <v>0</v>
      </c>
      <c r="F53" s="538">
        <f t="shared" si="78"/>
        <v>0</v>
      </c>
      <c r="G53" s="538">
        <f t="shared" si="78"/>
        <v>0.78072617797461874</v>
      </c>
      <c r="H53" s="538">
        <f t="shared" si="78"/>
        <v>5.9261639280852911</v>
      </c>
      <c r="I53" s="538">
        <f t="shared" ref="I53:J53" si="79">I51*I52</f>
        <v>16.095051448475896</v>
      </c>
      <c r="J53" s="538">
        <f t="shared" si="79"/>
        <v>31.032210737448921</v>
      </c>
      <c r="K53" s="538">
        <f t="shared" ref="K53:L53" si="80">K51*K52</f>
        <v>44.83186035150139</v>
      </c>
      <c r="L53" s="538">
        <f t="shared" si="80"/>
        <v>57.147410377114738</v>
      </c>
      <c r="M53" s="538">
        <f t="shared" ref="M53" si="81">M51*M52</f>
        <v>68.252262612987963</v>
      </c>
    </row>
  </sheetData>
  <pageMargins left="0.7" right="0.7" top="0.75" bottom="0.75" header="0.3" footer="0.3"/>
  <pageSetup scale="4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3402-B1AE-4C0A-9922-FF6EED40E7EC}">
  <sheetPr>
    <tabColor theme="7" tint="0.59999389629810485"/>
  </sheetPr>
  <dimension ref="A1:AA188"/>
  <sheetViews>
    <sheetView zoomScale="85" zoomScaleNormal="85" workbookViewId="0">
      <pane xSplit="3" ySplit="4" topLeftCell="G5" activePane="bottomRight" state="frozen"/>
      <selection pane="topRight" activeCell="D1" sqref="D1"/>
      <selection pane="bottomLeft" activeCell="A5" sqref="A5"/>
      <selection pane="bottomRight" activeCell="K26" sqref="K26"/>
    </sheetView>
  </sheetViews>
  <sheetFormatPr defaultRowHeight="14.5" outlineLevelRow="1" outlineLevelCol="1" x14ac:dyDescent="0.35"/>
  <cols>
    <col min="2" max="2" width="29" customWidth="1"/>
    <col min="3" max="3" width="15.1796875" hidden="1" customWidth="1" outlineLevel="1"/>
    <col min="4" max="5" width="11.1796875" hidden="1" customWidth="1" outlineLevel="1"/>
    <col min="6" max="6" width="11.1796875" hidden="1" customWidth="1" collapsed="1"/>
    <col min="7" max="7" width="13.54296875" customWidth="1"/>
    <col min="8" max="12" width="11.1796875" customWidth="1"/>
    <col min="13" max="13" width="10.1796875" customWidth="1"/>
    <col min="17" max="19" width="9.1796875" customWidth="1"/>
    <col min="21" max="21" width="9.1796875" customWidth="1"/>
  </cols>
  <sheetData>
    <row r="1" spans="1:26" x14ac:dyDescent="0.35">
      <c r="R1" s="865">
        <f>R14</f>
        <v>37.175346474533157</v>
      </c>
    </row>
    <row r="3" spans="1:26" x14ac:dyDescent="0.35">
      <c r="J3" s="277" t="s">
        <v>103</v>
      </c>
      <c r="K3" s="278"/>
      <c r="L3" s="278" t="s">
        <v>104</v>
      </c>
      <c r="M3" s="278" t="s">
        <v>105</v>
      </c>
      <c r="N3" s="278" t="s">
        <v>106</v>
      </c>
      <c r="O3" s="277" t="s">
        <v>336</v>
      </c>
      <c r="P3" s="277" t="s">
        <v>106</v>
      </c>
      <c r="Q3" s="278" t="s">
        <v>104</v>
      </c>
      <c r="R3" s="279" t="s">
        <v>107</v>
      </c>
      <c r="T3" s="277" t="s">
        <v>328</v>
      </c>
      <c r="U3" s="278"/>
      <c r="V3" s="278"/>
      <c r="W3" s="278"/>
      <c r="X3" s="278"/>
      <c r="Y3" s="279"/>
    </row>
    <row r="4" spans="1:26" x14ac:dyDescent="0.35">
      <c r="B4" s="280" t="s">
        <v>70</v>
      </c>
      <c r="G4" s="100" t="s">
        <v>108</v>
      </c>
      <c r="H4" s="100" t="s">
        <v>109</v>
      </c>
      <c r="I4" s="100" t="s">
        <v>110</v>
      </c>
      <c r="J4" s="100" t="s">
        <v>111</v>
      </c>
      <c r="K4" s="277" t="s">
        <v>112</v>
      </c>
      <c r="L4" s="278" t="s">
        <v>113</v>
      </c>
      <c r="M4" s="278" t="s">
        <v>114</v>
      </c>
      <c r="N4" s="278" t="s">
        <v>115</v>
      </c>
      <c r="O4" s="278" t="s">
        <v>113</v>
      </c>
      <c r="P4" s="277" t="s">
        <v>337</v>
      </c>
      <c r="Q4" s="277" t="s">
        <v>338</v>
      </c>
      <c r="R4" s="278" t="s">
        <v>114</v>
      </c>
      <c r="S4" s="278" t="s">
        <v>116</v>
      </c>
      <c r="V4" s="278"/>
      <c r="W4" s="278"/>
      <c r="X4" s="278"/>
      <c r="Y4" s="278"/>
      <c r="Z4" s="278"/>
    </row>
    <row r="5" spans="1:26" x14ac:dyDescent="0.35">
      <c r="B5" s="101"/>
      <c r="G5" s="101"/>
      <c r="H5" s="101"/>
      <c r="I5" s="101"/>
      <c r="J5" s="101"/>
      <c r="K5" s="281"/>
      <c r="L5" s="101"/>
      <c r="M5" s="101"/>
      <c r="N5" s="101"/>
      <c r="O5" s="101"/>
      <c r="P5" s="101"/>
      <c r="Q5" s="101"/>
      <c r="R5" s="101"/>
      <c r="S5" s="32"/>
    </row>
    <row r="6" spans="1:26" x14ac:dyDescent="0.35">
      <c r="B6" s="100"/>
      <c r="G6" s="101"/>
      <c r="H6" s="101"/>
      <c r="I6" s="101"/>
      <c r="J6" s="101"/>
      <c r="K6" s="281"/>
      <c r="L6" s="101"/>
      <c r="M6" s="101"/>
      <c r="N6" s="281"/>
      <c r="O6" s="101"/>
      <c r="P6" s="101"/>
      <c r="Q6" s="101"/>
      <c r="R6" s="101"/>
      <c r="S6" s="101"/>
    </row>
    <row r="7" spans="1:26" s="282" customFormat="1" ht="19.5" customHeight="1" x14ac:dyDescent="0.35">
      <c r="A7" s="282">
        <v>1</v>
      </c>
      <c r="B7" s="235" t="s">
        <v>471</v>
      </c>
      <c r="G7" s="283" t="s">
        <v>382</v>
      </c>
      <c r="H7" s="284" t="s">
        <v>321</v>
      </c>
      <c r="I7" s="284" t="s">
        <v>287</v>
      </c>
      <c r="J7" s="285">
        <f>H35</f>
        <v>2029</v>
      </c>
      <c r="K7" s="286">
        <f>MAX(REVENUE!Z7:AW7)</f>
        <v>1545.7080953422176</v>
      </c>
      <c r="L7" s="287">
        <f>O7/N7</f>
        <v>2606.8066940509316</v>
      </c>
      <c r="M7" s="288">
        <f>R7/N7</f>
        <v>29.162251933763361</v>
      </c>
      <c r="N7" s="613">
        <f>REVENUE!AY7</f>
        <v>0.55000000000000004</v>
      </c>
      <c r="O7" s="287">
        <f>G59</f>
        <v>1433.7436817280125</v>
      </c>
      <c r="P7" s="287">
        <f>$O$18*U7</f>
        <v>-685.52961087852952</v>
      </c>
      <c r="Q7" s="287">
        <f>O7+P7</f>
        <v>748.21407084948294</v>
      </c>
      <c r="R7" s="289">
        <f>Q7/$G$33</f>
        <v>16.03923856356985</v>
      </c>
      <c r="S7" s="290">
        <f t="shared" ref="S7:S14" si="0">R7/R$14</f>
        <v>0.43144826032912631</v>
      </c>
      <c r="U7" s="290">
        <f>O7/$O$11</f>
        <v>0.63774102695825152</v>
      </c>
      <c r="V7" s="288"/>
      <c r="X7" s="805"/>
      <c r="Y7" s="288"/>
      <c r="Z7" s="290"/>
    </row>
    <row r="8" spans="1:26" s="282" customFormat="1" x14ac:dyDescent="0.35">
      <c r="A8" s="282">
        <v>2</v>
      </c>
      <c r="B8" s="235" t="s">
        <v>471</v>
      </c>
      <c r="G8" s="283" t="s">
        <v>391</v>
      </c>
      <c r="H8" s="284" t="s">
        <v>321</v>
      </c>
      <c r="I8" s="284" t="s">
        <v>287</v>
      </c>
      <c r="J8" s="285">
        <f>H64</f>
        <v>2030</v>
      </c>
      <c r="K8" s="286">
        <f>MAX(REVENUE!Z12:AW12)</f>
        <v>2393.5535392596021</v>
      </c>
      <c r="L8" s="287">
        <f>O8/N8</f>
        <v>3270.6507255716942</v>
      </c>
      <c r="M8" s="288">
        <f>R8/N8</f>
        <v>36.588651035819439</v>
      </c>
      <c r="N8" s="614">
        <f>REVENUE!AY12</f>
        <v>0.25</v>
      </c>
      <c r="O8" s="287">
        <f>G88</f>
        <v>817.66268139292356</v>
      </c>
      <c r="P8" s="287">
        <f>$O$18*U8</f>
        <v>-390.95689623518172</v>
      </c>
      <c r="Q8" s="287">
        <f t="shared" ref="Q8:Q10" si="1">O8+P8</f>
        <v>426.70578515774184</v>
      </c>
      <c r="R8" s="289">
        <f>Q8/$G$33</f>
        <v>9.1471627589548596</v>
      </c>
      <c r="S8" s="700">
        <f t="shared" si="0"/>
        <v>0.24605453953794598</v>
      </c>
      <c r="U8" s="290">
        <f>O8/$O$11</f>
        <v>0.36370311149931428</v>
      </c>
      <c r="V8" s="288"/>
      <c r="X8" s="805"/>
      <c r="Y8" s="288"/>
      <c r="Z8" s="290"/>
    </row>
    <row r="9" spans="1:26" s="282" customFormat="1" ht="15.75" customHeight="1" x14ac:dyDescent="0.35">
      <c r="A9" s="282">
        <v>3</v>
      </c>
      <c r="B9" s="235" t="s">
        <v>424</v>
      </c>
      <c r="G9" s="283" t="s">
        <v>392</v>
      </c>
      <c r="H9" s="284" t="s">
        <v>321</v>
      </c>
      <c r="I9" s="284" t="s">
        <v>287</v>
      </c>
      <c r="J9" s="285">
        <f>H91</f>
        <v>2031</v>
      </c>
      <c r="K9" s="286">
        <f>MAX(H93:Q93)</f>
        <v>27.19675978445704</v>
      </c>
      <c r="L9" s="287">
        <f>O9/N9</f>
        <v>-64.933077896871083</v>
      </c>
      <c r="M9" s="288">
        <f>R9/N9</f>
        <v>-0.72640398721725796</v>
      </c>
      <c r="N9" s="614">
        <f>REVENUE!AY24</f>
        <v>0.05</v>
      </c>
      <c r="O9" s="287">
        <f>G115</f>
        <v>-3.2466538948435542</v>
      </c>
      <c r="P9" s="287">
        <f>$O$18*U9</f>
        <v>1.5523537502232461</v>
      </c>
      <c r="Q9" s="287">
        <f t="shared" si="1"/>
        <v>-1.6943001446203081</v>
      </c>
      <c r="R9" s="289">
        <f>Q9/$G$33</f>
        <v>-3.63201993608629E-2</v>
      </c>
      <c r="S9" s="700">
        <f t="shared" si="0"/>
        <v>-9.7699692955770918E-4</v>
      </c>
      <c r="U9" s="290">
        <f>O9/$O$11</f>
        <v>-1.4441384575658923E-3</v>
      </c>
      <c r="V9" s="288"/>
      <c r="X9" s="805"/>
      <c r="Y9" s="288"/>
      <c r="Z9" s="290"/>
    </row>
    <row r="10" spans="1:26" hidden="1" x14ac:dyDescent="0.35">
      <c r="A10" s="282">
        <v>4</v>
      </c>
      <c r="B10" s="427" t="s">
        <v>76</v>
      </c>
      <c r="G10" s="206"/>
      <c r="H10" s="284" t="s">
        <v>322</v>
      </c>
      <c r="I10" s="291"/>
      <c r="J10" s="101"/>
      <c r="K10" s="292">
        <f>MAX(REVENUE!Z32:AW32)</f>
        <v>0</v>
      </c>
      <c r="L10" s="287" t="e">
        <f>O10/N10</f>
        <v>#DIV/0!</v>
      </c>
      <c r="M10" s="289" t="e">
        <f>R10/N10</f>
        <v>#DIV/0!</v>
      </c>
      <c r="N10" s="818"/>
      <c r="O10" s="168">
        <f>G130</f>
        <v>0</v>
      </c>
      <c r="P10" s="287">
        <f>$O$18*U10</f>
        <v>0</v>
      </c>
      <c r="Q10" s="287">
        <f t="shared" si="1"/>
        <v>0</v>
      </c>
      <c r="R10" s="289">
        <f>Q10/$G$33</f>
        <v>0</v>
      </c>
      <c r="S10" s="701">
        <f t="shared" si="0"/>
        <v>0</v>
      </c>
      <c r="U10" s="290">
        <f>O10/$O$11</f>
        <v>0</v>
      </c>
      <c r="V10" s="288"/>
      <c r="X10" s="805"/>
      <c r="Y10" s="288"/>
      <c r="Z10" s="290"/>
    </row>
    <row r="11" spans="1:26" x14ac:dyDescent="0.35">
      <c r="B11" s="295" t="s">
        <v>117</v>
      </c>
      <c r="G11" s="101"/>
      <c r="H11" s="101"/>
      <c r="I11" s="101"/>
      <c r="J11" s="101"/>
      <c r="K11" s="101"/>
      <c r="L11" s="296" t="e">
        <f>SUM(L7:L10)</f>
        <v>#DIV/0!</v>
      </c>
      <c r="M11" s="296" t="e">
        <f>SUM(M7:M10)</f>
        <v>#DIV/0!</v>
      </c>
      <c r="N11" s="615"/>
      <c r="O11" s="208">
        <f>SUM(O7:O10)</f>
        <v>2248.1597092260927</v>
      </c>
      <c r="P11" s="208">
        <f>SUM(P7:P10)</f>
        <v>-1074.9341533634879</v>
      </c>
      <c r="Q11" s="208">
        <f>SUM(Q7:Q10)</f>
        <v>1173.2255558626046</v>
      </c>
      <c r="R11" s="296">
        <f>SUM(R7:R10)</f>
        <v>25.150081123163847</v>
      </c>
      <c r="S11" s="783">
        <f t="shared" si="0"/>
        <v>0.67652580293751463</v>
      </c>
      <c r="U11" s="798">
        <f>SUM(U7:U10)</f>
        <v>1</v>
      </c>
      <c r="V11" s="296"/>
      <c r="Y11" s="290"/>
      <c r="Z11" s="806"/>
    </row>
    <row r="12" spans="1:26" x14ac:dyDescent="0.35">
      <c r="B12" s="206" t="s">
        <v>339</v>
      </c>
      <c r="G12" s="101"/>
      <c r="H12" s="101"/>
      <c r="I12" s="101"/>
      <c r="J12" s="101"/>
      <c r="K12" s="101"/>
      <c r="L12" s="296">
        <f>M12*$G$33</f>
        <v>107.87032679492377</v>
      </c>
      <c r="M12" s="296">
        <f>R12</f>
        <v>2.3123835447650603</v>
      </c>
      <c r="N12" s="615"/>
      <c r="O12" s="208"/>
      <c r="P12" s="208"/>
      <c r="Q12" s="208"/>
      <c r="R12" s="815">
        <f>G159</f>
        <v>2.3123835447650603</v>
      </c>
      <c r="S12" s="783">
        <f t="shared" si="0"/>
        <v>6.2202071105084404E-2</v>
      </c>
      <c r="U12" s="798"/>
      <c r="V12" s="296"/>
      <c r="Y12" s="290"/>
      <c r="Z12" s="806"/>
    </row>
    <row r="13" spans="1:26" ht="15" thickBot="1" x14ac:dyDescent="0.4">
      <c r="B13" s="206" t="s">
        <v>343</v>
      </c>
      <c r="G13" s="101"/>
      <c r="H13" s="101"/>
      <c r="I13" s="101"/>
      <c r="J13" s="101"/>
      <c r="K13" s="101"/>
      <c r="L13" s="296">
        <f>M13*$G$33</f>
        <v>453.096</v>
      </c>
      <c r="M13" s="296">
        <f>R13</f>
        <v>9.7128818066042477</v>
      </c>
      <c r="N13" s="615"/>
      <c r="O13" s="208"/>
      <c r="P13" s="208"/>
      <c r="Q13" s="208"/>
      <c r="R13" s="815">
        <f>O19/$G$33</f>
        <v>9.7128818066042477</v>
      </c>
      <c r="S13" s="783">
        <f t="shared" si="0"/>
        <v>0.26127212595740096</v>
      </c>
      <c r="U13" s="798"/>
      <c r="V13" s="296"/>
      <c r="Y13" s="290"/>
      <c r="Z13" s="806"/>
    </row>
    <row r="14" spans="1:26" ht="15" thickBot="1" x14ac:dyDescent="0.4">
      <c r="B14" s="295" t="s">
        <v>340</v>
      </c>
      <c r="G14" s="101"/>
      <c r="H14" s="101"/>
      <c r="I14" s="101"/>
      <c r="J14" s="101"/>
      <c r="K14" s="101"/>
      <c r="L14" s="817"/>
      <c r="M14" s="296"/>
      <c r="N14" s="615"/>
      <c r="O14" s="208"/>
      <c r="P14" s="208"/>
      <c r="Q14" s="208"/>
      <c r="R14" s="305">
        <f>R11+R12+R13</f>
        <v>37.175346474533157</v>
      </c>
      <c r="S14" s="783">
        <f t="shared" si="0"/>
        <v>1</v>
      </c>
      <c r="U14" s="798"/>
      <c r="V14" s="296"/>
      <c r="Y14" s="290"/>
      <c r="Z14" s="806"/>
    </row>
    <row r="15" spans="1:26" ht="15" thickBot="1" x14ac:dyDescent="0.4">
      <c r="B15" s="101"/>
      <c r="G15" s="101"/>
      <c r="H15" s="101"/>
      <c r="I15" s="101"/>
      <c r="J15" s="101"/>
      <c r="K15" s="101"/>
      <c r="L15" s="101"/>
      <c r="M15" s="101"/>
      <c r="N15" s="101"/>
      <c r="O15" s="702" t="s">
        <v>341</v>
      </c>
      <c r="P15" s="101"/>
      <c r="Q15" s="797">
        <f ca="1">TODAY()</f>
        <v>46119</v>
      </c>
      <c r="R15" s="308" t="str">
        <f ca="1">_xll.FDS($G$26,"P_PRICE("&amp;$Q$15&amp;")")</f>
        <v>#Calc</v>
      </c>
      <c r="S15" s="32"/>
      <c r="V15" s="799"/>
      <c r="Y15" s="799"/>
    </row>
    <row r="16" spans="1:26" x14ac:dyDescent="0.35">
      <c r="B16" s="101"/>
      <c r="G16" s="101"/>
      <c r="H16" s="101"/>
      <c r="I16" s="101"/>
      <c r="J16" s="101"/>
      <c r="K16" s="101"/>
      <c r="L16" s="101"/>
      <c r="M16" s="101"/>
      <c r="N16" s="101"/>
      <c r="O16" s="702" t="s">
        <v>342</v>
      </c>
      <c r="P16" s="168"/>
      <c r="Q16" s="168"/>
      <c r="R16" s="309" t="e">
        <f ca="1">R14/R15-1</f>
        <v>#VALUE!</v>
      </c>
      <c r="S16" s="32"/>
      <c r="V16" s="799"/>
      <c r="Y16" s="799"/>
    </row>
    <row r="17" spans="2:27" x14ac:dyDescent="0.35">
      <c r="B17" s="295" t="s">
        <v>118</v>
      </c>
      <c r="G17" s="101"/>
      <c r="H17" s="101"/>
      <c r="I17" s="101"/>
      <c r="J17" s="101"/>
      <c r="K17" s="101"/>
      <c r="L17" s="168"/>
      <c r="M17" s="101"/>
      <c r="N17" s="297"/>
      <c r="S17" s="32"/>
    </row>
    <row r="18" spans="2:27" x14ac:dyDescent="0.35">
      <c r="B18" s="299" t="s">
        <v>119</v>
      </c>
      <c r="G18" s="101"/>
      <c r="H18" s="101"/>
      <c r="I18" s="101"/>
      <c r="J18" s="101"/>
      <c r="K18" s="101"/>
      <c r="M18" s="287"/>
      <c r="N18" s="300"/>
      <c r="O18" s="168">
        <f>-G148</f>
        <v>-1074.9341533634881</v>
      </c>
      <c r="P18" s="168"/>
      <c r="Q18" s="168"/>
      <c r="R18" s="1025"/>
      <c r="S18" s="32"/>
    </row>
    <row r="19" spans="2:27" x14ac:dyDescent="0.35">
      <c r="B19" s="102" t="s">
        <v>120</v>
      </c>
      <c r="G19" s="102"/>
      <c r="H19" s="101"/>
      <c r="I19" s="101"/>
      <c r="J19" s="101"/>
      <c r="K19" s="101"/>
      <c r="M19" s="287"/>
      <c r="N19" s="302"/>
      <c r="O19" s="168">
        <f>BS!C7+BS!C8+BS!C12</f>
        <v>453.096</v>
      </c>
      <c r="P19" s="168"/>
      <c r="Q19" s="168"/>
      <c r="R19" s="294"/>
      <c r="S19" s="32"/>
    </row>
    <row r="20" spans="2:27" x14ac:dyDescent="0.35">
      <c r="B20" s="235" t="s">
        <v>488</v>
      </c>
      <c r="G20" s="102"/>
      <c r="H20" s="101"/>
      <c r="I20" s="101"/>
      <c r="J20" s="101"/>
      <c r="K20" s="101"/>
      <c r="M20" s="287"/>
      <c r="N20" s="302"/>
      <c r="O20" s="147">
        <v>0</v>
      </c>
      <c r="P20" s="168"/>
      <c r="Q20" s="168"/>
      <c r="R20" s="294"/>
      <c r="S20" s="32"/>
    </row>
    <row r="21" spans="2:27" x14ac:dyDescent="0.35">
      <c r="B21" s="299" t="s">
        <v>121</v>
      </c>
      <c r="G21" s="101"/>
      <c r="H21" s="101"/>
      <c r="I21" s="101"/>
      <c r="J21" s="101"/>
      <c r="K21" s="101"/>
      <c r="M21" s="287"/>
      <c r="N21" s="302"/>
      <c r="O21" s="168">
        <f>O19-O20</f>
        <v>453.096</v>
      </c>
      <c r="P21" s="168"/>
      <c r="Q21" s="168"/>
      <c r="R21" s="294"/>
      <c r="S21" s="32"/>
      <c r="AA21" s="1026"/>
    </row>
    <row r="22" spans="2:27" x14ac:dyDescent="0.35">
      <c r="B22" s="295" t="s">
        <v>122</v>
      </c>
      <c r="G22" s="101"/>
      <c r="H22" s="101"/>
      <c r="I22" s="101"/>
      <c r="J22" s="101"/>
      <c r="K22" s="101"/>
      <c r="M22" s="208"/>
      <c r="N22" s="101"/>
      <c r="O22" s="208">
        <f>SUM(O18,O21)</f>
        <v>-621.83815336348812</v>
      </c>
      <c r="P22" s="208"/>
      <c r="Q22" s="208"/>
      <c r="R22" s="296"/>
      <c r="S22" s="298"/>
    </row>
    <row r="23" spans="2:27" x14ac:dyDescent="0.35">
      <c r="B23" s="100"/>
      <c r="G23" s="101"/>
      <c r="H23" s="101"/>
      <c r="I23" s="101"/>
      <c r="J23" s="101"/>
      <c r="K23" s="101"/>
      <c r="M23" s="101"/>
      <c r="N23" s="101"/>
      <c r="O23" s="101"/>
      <c r="P23" s="101"/>
      <c r="Q23" s="101"/>
      <c r="R23" s="101"/>
      <c r="S23" s="101"/>
    </row>
    <row r="24" spans="2:27" x14ac:dyDescent="0.35">
      <c r="B24" s="295" t="s">
        <v>123</v>
      </c>
      <c r="G24" s="101"/>
      <c r="H24" s="101"/>
      <c r="I24" s="101"/>
      <c r="J24" s="101"/>
      <c r="K24" s="101"/>
      <c r="M24" s="303"/>
      <c r="N24" s="304"/>
      <c r="O24" s="303"/>
      <c r="P24" s="303"/>
      <c r="Q24" s="303"/>
    </row>
    <row r="25" spans="2:27" ht="15" thickBot="1" x14ac:dyDescent="0.4">
      <c r="B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306"/>
      <c r="S25" s="101"/>
    </row>
    <row r="26" spans="2:27" ht="15" thickBot="1" x14ac:dyDescent="0.4">
      <c r="B26" s="295" t="s">
        <v>124</v>
      </c>
      <c r="G26" s="106" t="s">
        <v>393</v>
      </c>
      <c r="H26" s="101"/>
      <c r="I26" s="101"/>
      <c r="J26" s="101"/>
      <c r="K26" s="101"/>
      <c r="L26" s="307"/>
      <c r="M26" s="101"/>
      <c r="N26" s="304"/>
      <c r="P26" s="797"/>
      <c r="Q26" s="797"/>
      <c r="S26" s="101"/>
    </row>
    <row r="27" spans="2:27" x14ac:dyDescent="0.35">
      <c r="B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S27" s="101"/>
    </row>
    <row r="28" spans="2:27" x14ac:dyDescent="0.35">
      <c r="B28" s="310" t="s">
        <v>125</v>
      </c>
      <c r="C28" s="311"/>
      <c r="D28" s="311"/>
      <c r="G28" s="311"/>
      <c r="H28" s="311"/>
      <c r="I28" s="311"/>
      <c r="J28" s="311"/>
      <c r="K28" s="310"/>
      <c r="L28" s="312"/>
      <c r="M28" s="313"/>
      <c r="N28" s="313"/>
      <c r="O28" s="313"/>
      <c r="P28" s="313"/>
    </row>
    <row r="29" spans="2:27" x14ac:dyDescent="0.35">
      <c r="B29" s="311" t="s">
        <v>126</v>
      </c>
      <c r="C29" s="311"/>
      <c r="D29" s="311"/>
      <c r="G29" s="920">
        <v>0.125</v>
      </c>
      <c r="H29" s="311"/>
      <c r="I29" s="311"/>
      <c r="J29" s="311"/>
      <c r="K29" s="311"/>
      <c r="L29" s="311"/>
      <c r="M29" s="311"/>
      <c r="N29" s="311"/>
      <c r="O29" s="311"/>
      <c r="P29" s="311"/>
    </row>
    <row r="30" spans="2:27" x14ac:dyDescent="0.35">
      <c r="B30" s="314" t="s">
        <v>127</v>
      </c>
      <c r="C30" s="313"/>
      <c r="D30" s="313"/>
      <c r="G30" s="313">
        <v>2026</v>
      </c>
      <c r="H30" s="313"/>
      <c r="I30" s="313"/>
      <c r="J30" s="313"/>
      <c r="K30" s="313"/>
      <c r="L30" s="313"/>
      <c r="M30" s="313"/>
      <c r="N30" s="313"/>
      <c r="O30" s="313"/>
      <c r="P30" s="313"/>
    </row>
    <row r="31" spans="2:27" x14ac:dyDescent="0.35">
      <c r="B31" s="708" t="s">
        <v>360</v>
      </c>
      <c r="C31" s="313"/>
      <c r="D31" s="313"/>
      <c r="G31" s="709">
        <f>IS!AF39</f>
        <v>32.648977000000002</v>
      </c>
      <c r="H31" s="313"/>
      <c r="I31" s="313"/>
      <c r="J31" s="313"/>
      <c r="K31" s="313"/>
      <c r="L31" s="313"/>
      <c r="M31" s="313"/>
      <c r="N31" s="313"/>
      <c r="O31" s="313"/>
      <c r="P31" s="313"/>
    </row>
    <row r="32" spans="2:27" x14ac:dyDescent="0.35">
      <c r="B32" s="708" t="s">
        <v>359</v>
      </c>
      <c r="C32" s="313"/>
      <c r="D32" s="313"/>
      <c r="G32" s="709">
        <f>CF!D47</f>
        <v>14</v>
      </c>
      <c r="H32" s="313"/>
      <c r="I32" s="313"/>
      <c r="J32" s="313"/>
      <c r="K32" s="313"/>
      <c r="L32" s="313"/>
      <c r="M32" s="313"/>
      <c r="N32" s="313"/>
      <c r="O32" s="313"/>
      <c r="P32" s="313"/>
    </row>
    <row r="33" spans="1:25" x14ac:dyDescent="0.35">
      <c r="B33" s="900" t="s">
        <v>358</v>
      </c>
      <c r="C33" s="311"/>
      <c r="D33" s="311"/>
      <c r="G33" s="315">
        <f>G31+G32</f>
        <v>46.648977000000002</v>
      </c>
      <c r="H33" s="311"/>
      <c r="I33" s="311"/>
      <c r="J33" s="311"/>
      <c r="K33" s="311"/>
      <c r="L33" s="311"/>
      <c r="M33" s="311"/>
      <c r="N33" s="311"/>
      <c r="O33" s="311"/>
      <c r="P33" s="311"/>
    </row>
    <row r="34" spans="1:25" x14ac:dyDescent="0.35">
      <c r="B34" s="172"/>
      <c r="C34" s="101"/>
      <c r="D34" s="101"/>
      <c r="E34" s="101"/>
      <c r="F34" s="101"/>
      <c r="G34" s="316"/>
      <c r="H34" s="317"/>
      <c r="I34" s="101"/>
      <c r="J34" s="101"/>
      <c r="K34" s="101"/>
      <c r="L34" s="101"/>
      <c r="M34" s="101"/>
    </row>
    <row r="35" spans="1:25" x14ac:dyDescent="0.35">
      <c r="B35" s="101"/>
      <c r="F35" s="318" t="s">
        <v>128</v>
      </c>
      <c r="G35" s="101"/>
      <c r="H35" s="319">
        <f>INDEX(C36:X36,MATCH(TRUE,INDEX(C37:X37&lt;&gt;0,),0))</f>
        <v>2029</v>
      </c>
      <c r="I35" s="101"/>
      <c r="J35" s="101"/>
      <c r="K35" s="101"/>
      <c r="L35" s="101"/>
      <c r="M35" s="101"/>
    </row>
    <row r="36" spans="1:25" x14ac:dyDescent="0.35">
      <c r="A36" s="91">
        <v>1</v>
      </c>
      <c r="B36" s="320" t="s">
        <v>470</v>
      </c>
      <c r="C36" s="322">
        <v>2021</v>
      </c>
      <c r="D36" s="321">
        <f>C36+1</f>
        <v>2022</v>
      </c>
      <c r="E36" s="321">
        <f t="shared" ref="E36:L36" si="2">D36+1</f>
        <v>2023</v>
      </c>
      <c r="F36" s="321">
        <f t="shared" si="2"/>
        <v>2024</v>
      </c>
      <c r="G36" s="321">
        <f t="shared" si="2"/>
        <v>2025</v>
      </c>
      <c r="H36" s="321">
        <f t="shared" si="2"/>
        <v>2026</v>
      </c>
      <c r="I36" s="321">
        <f t="shared" si="2"/>
        <v>2027</v>
      </c>
      <c r="J36" s="321">
        <f t="shared" si="2"/>
        <v>2028</v>
      </c>
      <c r="K36" s="321">
        <f t="shared" si="2"/>
        <v>2029</v>
      </c>
      <c r="L36" s="321">
        <f t="shared" si="2"/>
        <v>2030</v>
      </c>
      <c r="M36" s="321">
        <f t="shared" ref="M36" si="3">L36+1</f>
        <v>2031</v>
      </c>
      <c r="N36" s="321">
        <f t="shared" ref="N36" si="4">M36+1</f>
        <v>2032</v>
      </c>
      <c r="O36" s="321">
        <f t="shared" ref="O36" si="5">N36+1</f>
        <v>2033</v>
      </c>
      <c r="P36" s="321">
        <f t="shared" ref="P36" si="6">O36+1</f>
        <v>2034</v>
      </c>
      <c r="Q36" s="321">
        <f t="shared" ref="Q36" si="7">P36+1</f>
        <v>2035</v>
      </c>
      <c r="R36" s="321">
        <f t="shared" ref="R36" si="8">Q36+1</f>
        <v>2036</v>
      </c>
      <c r="S36" s="321">
        <f t="shared" ref="S36" si="9">R36+1</f>
        <v>2037</v>
      </c>
      <c r="T36" s="321">
        <f t="shared" ref="T36" si="10">S36+1</f>
        <v>2038</v>
      </c>
      <c r="U36" s="321">
        <f t="shared" ref="U36" si="11">T36+1</f>
        <v>2039</v>
      </c>
      <c r="V36" s="321">
        <f t="shared" ref="V36" si="12">U36+1</f>
        <v>2040</v>
      </c>
      <c r="W36" s="321">
        <f t="shared" ref="W36" si="13">V36+1</f>
        <v>2041</v>
      </c>
      <c r="X36" s="321">
        <f t="shared" ref="X36" si="14">W36+1</f>
        <v>2042</v>
      </c>
      <c r="Y36" s="321" t="s">
        <v>129</v>
      </c>
    </row>
    <row r="37" spans="1:25" x14ac:dyDescent="0.35">
      <c r="B37" s="323" t="s">
        <v>29</v>
      </c>
      <c r="C37" s="325"/>
      <c r="D37" s="324"/>
      <c r="E37" s="324">
        <f>REVENUE!Z9</f>
        <v>0</v>
      </c>
      <c r="F37" s="324"/>
      <c r="G37" s="324"/>
      <c r="H37" s="324">
        <f>REVENUE!AN9</f>
        <v>0</v>
      </c>
      <c r="I37" s="324">
        <f>REVENUE!AO9</f>
        <v>0</v>
      </c>
      <c r="J37" s="324">
        <f>REVENUE!AP9</f>
        <v>0</v>
      </c>
      <c r="K37" s="324">
        <f>REVENUE!AQ9</f>
        <v>16.880566010262026</v>
      </c>
      <c r="L37" s="324">
        <f>REVENUE!AR9</f>
        <v>102.80264700249575</v>
      </c>
      <c r="M37" s="324">
        <f>REVENUE!AS9</f>
        <v>258.72534926081232</v>
      </c>
      <c r="N37" s="324">
        <f>REVENUE!AT9</f>
        <v>419.63662024017214</v>
      </c>
      <c r="O37" s="324">
        <f>REVENUE!AU9</f>
        <v>577.56461185035459</v>
      </c>
      <c r="P37" s="324">
        <f>REVENUE!AV9</f>
        <v>720.36459533049435</v>
      </c>
      <c r="Q37" s="324">
        <f>REVENUE!AW9</f>
        <v>850.13945243821979</v>
      </c>
      <c r="R37" s="785"/>
      <c r="S37" s="785"/>
      <c r="T37" s="785"/>
      <c r="U37" s="785"/>
      <c r="V37" s="785"/>
      <c r="W37" s="785"/>
      <c r="X37" s="785"/>
      <c r="Y37" s="324"/>
    </row>
    <row r="38" spans="1:25" x14ac:dyDescent="0.35">
      <c r="B38" s="327" t="s">
        <v>17</v>
      </c>
      <c r="C38" s="329"/>
      <c r="D38" s="328"/>
      <c r="E38" s="328" t="e">
        <f>OPEX!#REF!</f>
        <v>#REF!</v>
      </c>
      <c r="F38" s="328"/>
      <c r="G38" s="328"/>
      <c r="H38" s="328">
        <f>OPEX!T90</f>
        <v>0</v>
      </c>
      <c r="I38" s="328">
        <f>OPEX!U90</f>
        <v>0</v>
      </c>
      <c r="J38" s="328">
        <f>OPEX!V90</f>
        <v>0</v>
      </c>
      <c r="K38" s="328">
        <f>OPEX!W90</f>
        <v>1.2660424507696515</v>
      </c>
      <c r="L38" s="328">
        <f>OPEX!X90</f>
        <v>7.710198525187181</v>
      </c>
      <c r="M38" s="328">
        <f>OPEX!Y90</f>
        <v>19.404401194560904</v>
      </c>
      <c r="N38" s="328">
        <f>OPEX!Z90</f>
        <v>31.472746518012912</v>
      </c>
      <c r="O38" s="328">
        <f>OPEX!AA90</f>
        <v>43.317345888776572</v>
      </c>
      <c r="P38" s="328">
        <f>OPEX!AB90</f>
        <v>54.027344649787096</v>
      </c>
      <c r="Q38" s="328">
        <f>OPEX!AC90</f>
        <v>63.760458932866413</v>
      </c>
      <c r="R38" s="785"/>
      <c r="S38" s="785"/>
      <c r="T38" s="785"/>
      <c r="U38" s="785"/>
      <c r="V38" s="785"/>
      <c r="W38" s="785"/>
      <c r="X38" s="785"/>
      <c r="Y38" s="328"/>
    </row>
    <row r="39" spans="1:25" x14ac:dyDescent="0.35">
      <c r="B39" s="327" t="s">
        <v>18</v>
      </c>
      <c r="C39" s="329"/>
      <c r="D39" s="328"/>
      <c r="E39" s="328" t="e">
        <f t="shared" ref="E39:L39" si="15">E37-E38</f>
        <v>#REF!</v>
      </c>
      <c r="F39" s="328"/>
      <c r="G39" s="328"/>
      <c r="H39" s="328">
        <f t="shared" si="15"/>
        <v>0</v>
      </c>
      <c r="I39" s="328">
        <f t="shared" si="15"/>
        <v>0</v>
      </c>
      <c r="J39" s="328">
        <f t="shared" si="15"/>
        <v>0</v>
      </c>
      <c r="K39" s="328">
        <f t="shared" si="15"/>
        <v>15.614523559492374</v>
      </c>
      <c r="L39" s="328">
        <f t="shared" si="15"/>
        <v>95.092448477308565</v>
      </c>
      <c r="M39" s="328">
        <f t="shared" ref="M39:N39" si="16">M37-M38</f>
        <v>239.32094806625142</v>
      </c>
      <c r="N39" s="328">
        <f t="shared" si="16"/>
        <v>388.16387372215922</v>
      </c>
      <c r="O39" s="328">
        <f t="shared" ref="O39:P39" si="17">O37-O38</f>
        <v>534.24726596157802</v>
      </c>
      <c r="P39" s="328">
        <f t="shared" si="17"/>
        <v>666.33725068070726</v>
      </c>
      <c r="Q39" s="328">
        <f t="shared" ref="Q39" si="18">Q37-Q38</f>
        <v>786.37899350535338</v>
      </c>
      <c r="R39" s="785"/>
      <c r="S39" s="785"/>
      <c r="T39" s="785"/>
      <c r="U39" s="785"/>
      <c r="V39" s="785"/>
      <c r="W39" s="785"/>
      <c r="X39" s="785"/>
      <c r="Y39" s="328"/>
    </row>
    <row r="40" spans="1:25" x14ac:dyDescent="0.35">
      <c r="B40" s="327" t="s">
        <v>130</v>
      </c>
      <c r="C40" s="332"/>
      <c r="D40" s="331"/>
      <c r="E40" s="331" t="e">
        <f>OPEX!#REF!</f>
        <v>#REF!</v>
      </c>
      <c r="F40" s="331"/>
      <c r="G40" s="331"/>
      <c r="H40" s="331">
        <f>OPEX!T61</f>
        <v>0</v>
      </c>
      <c r="I40" s="331">
        <f>OPEX!U61</f>
        <v>0</v>
      </c>
      <c r="J40" s="331">
        <f>OPEX!V61</f>
        <v>20.857248912500005</v>
      </c>
      <c r="K40" s="331">
        <f>OPEX!W61</f>
        <v>38.271119311700005</v>
      </c>
      <c r="L40" s="331">
        <f>OPEX!X61</f>
        <v>44.094252891051006</v>
      </c>
      <c r="M40" s="331">
        <f>OPEX!Y61</f>
        <v>45.417080477782541</v>
      </c>
      <c r="N40" s="331">
        <f>OPEX!Z61</f>
        <v>46.779592892116014</v>
      </c>
      <c r="O40" s="331">
        <f>OPEX!AA61</f>
        <v>48.182980678879488</v>
      </c>
      <c r="P40" s="331">
        <f>OPEX!AB61</f>
        <v>49.628470099245874</v>
      </c>
      <c r="Q40" s="331">
        <f>OPEX!AC61</f>
        <v>51.117324202223251</v>
      </c>
      <c r="R40" s="785"/>
      <c r="S40" s="785"/>
      <c r="T40" s="785"/>
      <c r="U40" s="785"/>
      <c r="V40" s="785"/>
      <c r="W40" s="785"/>
      <c r="X40" s="785"/>
      <c r="Y40" s="331"/>
    </row>
    <row r="41" spans="1:25" x14ac:dyDescent="0.35">
      <c r="B41" s="334" t="s">
        <v>20</v>
      </c>
      <c r="C41" s="671"/>
      <c r="D41" s="335"/>
      <c r="E41" s="335" t="e">
        <f>OPEX!#REF!</f>
        <v>#REF!</v>
      </c>
      <c r="F41" s="335"/>
      <c r="G41" s="335"/>
      <c r="H41" s="335">
        <f>OPEX!T22</f>
        <v>37.950000000000003</v>
      </c>
      <c r="I41" s="335">
        <f>OPEX!U22</f>
        <v>31.981500000000004</v>
      </c>
      <c r="J41" s="335">
        <f>OPEX!V22</f>
        <v>38.25</v>
      </c>
      <c r="K41" s="335">
        <f>OPEX!W22</f>
        <v>13</v>
      </c>
      <c r="L41" s="335">
        <f>OPEX!X22</f>
        <v>10</v>
      </c>
      <c r="M41" s="335">
        <f>OPEX!Y22</f>
        <v>8</v>
      </c>
      <c r="N41" s="335">
        <f>OPEX!Z22</f>
        <v>8</v>
      </c>
      <c r="O41" s="335">
        <f>OPEX!AA22</f>
        <v>8</v>
      </c>
      <c r="P41" s="335">
        <f>OPEX!AB22</f>
        <v>8</v>
      </c>
      <c r="Q41" s="335">
        <f>OPEX!AC22</f>
        <v>8</v>
      </c>
      <c r="R41" s="785"/>
      <c r="S41" s="785"/>
      <c r="T41" s="785"/>
      <c r="U41" s="785"/>
      <c r="V41" s="785"/>
      <c r="W41" s="785"/>
      <c r="X41" s="785"/>
      <c r="Y41" s="331"/>
    </row>
    <row r="42" spans="1:25" x14ac:dyDescent="0.35">
      <c r="B42" s="323" t="s">
        <v>22</v>
      </c>
      <c r="C42" s="337"/>
      <c r="D42" s="336"/>
      <c r="E42" s="336" t="e">
        <f t="shared" ref="E42:L42" si="19">E37-E38-E40-E41</f>
        <v>#REF!</v>
      </c>
      <c r="F42" s="336"/>
      <c r="G42" s="336"/>
      <c r="H42" s="336">
        <f t="shared" si="19"/>
        <v>-37.950000000000003</v>
      </c>
      <c r="I42" s="336">
        <f t="shared" si="19"/>
        <v>-31.981500000000004</v>
      </c>
      <c r="J42" s="336">
        <f t="shared" si="19"/>
        <v>-59.107248912500005</v>
      </c>
      <c r="K42" s="336">
        <f t="shared" si="19"/>
        <v>-35.656595752207629</v>
      </c>
      <c r="L42" s="336">
        <f t="shared" si="19"/>
        <v>40.998195586257559</v>
      </c>
      <c r="M42" s="336">
        <f t="shared" ref="M42:N42" si="20">M37-M38-M40-M41</f>
        <v>185.90386758846887</v>
      </c>
      <c r="N42" s="336">
        <f t="shared" si="20"/>
        <v>333.38428083004322</v>
      </c>
      <c r="O42" s="336">
        <f t="shared" ref="O42:P42" si="21">O37-O38-O40-O41</f>
        <v>478.06428528269851</v>
      </c>
      <c r="P42" s="336">
        <f t="shared" si="21"/>
        <v>608.70878058146138</v>
      </c>
      <c r="Q42" s="336">
        <f t="shared" ref="Q42" si="22">Q37-Q38-Q40-Q41</f>
        <v>727.26166930313013</v>
      </c>
      <c r="R42" s="785"/>
      <c r="S42" s="785"/>
      <c r="T42" s="785"/>
      <c r="U42" s="785"/>
      <c r="V42" s="785"/>
      <c r="W42" s="785"/>
      <c r="X42" s="785"/>
      <c r="Y42" s="331"/>
    </row>
    <row r="43" spans="1:25" x14ac:dyDescent="0.35">
      <c r="B43" s="338" t="s">
        <v>25</v>
      </c>
      <c r="C43" s="671"/>
      <c r="D43" s="335"/>
      <c r="E43" s="335" t="e">
        <f>E42*IS!Z33</f>
        <v>#REF!</v>
      </c>
      <c r="F43" s="335"/>
      <c r="G43" s="335"/>
      <c r="H43" s="335">
        <f>H42*IS!AJ33</f>
        <v>0</v>
      </c>
      <c r="I43" s="335">
        <f>I42*IS!AK33</f>
        <v>0</v>
      </c>
      <c r="J43" s="335">
        <f>J42*IS!AL33</f>
        <v>0</v>
      </c>
      <c r="K43" s="335">
        <f>K42*IS!AM33</f>
        <v>0</v>
      </c>
      <c r="L43" s="335">
        <f>L42*IS!AN33</f>
        <v>0</v>
      </c>
      <c r="M43" s="335">
        <f>M42*IS!AO33</f>
        <v>0</v>
      </c>
      <c r="N43" s="335">
        <f>N42*IS!AP33</f>
        <v>16.669214041502162</v>
      </c>
      <c r="O43" s="335">
        <f>O42*IS!AQ33</f>
        <v>47.806428528269855</v>
      </c>
      <c r="P43" s="335">
        <f>P42*IS!AR33</f>
        <v>127.82884392210688</v>
      </c>
      <c r="Q43" s="335">
        <f>Q42*IS!AS33</f>
        <v>152.72495055365732</v>
      </c>
      <c r="R43" s="785"/>
      <c r="S43" s="785"/>
      <c r="T43" s="785"/>
      <c r="U43" s="785"/>
      <c r="V43" s="785"/>
      <c r="W43" s="785"/>
      <c r="X43" s="785"/>
      <c r="Y43" s="331"/>
    </row>
    <row r="44" spans="1:25" x14ac:dyDescent="0.35">
      <c r="B44" s="323" t="s">
        <v>131</v>
      </c>
      <c r="C44" s="340"/>
      <c r="D44" s="339"/>
      <c r="E44" s="339" t="e">
        <f t="shared" ref="E44:L44" si="23">E42-E43</f>
        <v>#REF!</v>
      </c>
      <c r="F44" s="339"/>
      <c r="G44" s="339"/>
      <c r="H44" s="339">
        <f t="shared" si="23"/>
        <v>-37.950000000000003</v>
      </c>
      <c r="I44" s="339">
        <f t="shared" si="23"/>
        <v>-31.981500000000004</v>
      </c>
      <c r="J44" s="339">
        <f t="shared" si="23"/>
        <v>-59.107248912500005</v>
      </c>
      <c r="K44" s="339">
        <f t="shared" si="23"/>
        <v>-35.656595752207629</v>
      </c>
      <c r="L44" s="339">
        <f t="shared" si="23"/>
        <v>40.998195586257559</v>
      </c>
      <c r="M44" s="339">
        <f t="shared" ref="M44:N44" si="24">M42-M43</f>
        <v>185.90386758846887</v>
      </c>
      <c r="N44" s="339">
        <f t="shared" si="24"/>
        <v>316.71506678854104</v>
      </c>
      <c r="O44" s="339">
        <f t="shared" ref="O44:P44" si="25">O42-O43</f>
        <v>430.25785675442864</v>
      </c>
      <c r="P44" s="339">
        <f t="shared" si="25"/>
        <v>480.87993665935448</v>
      </c>
      <c r="Q44" s="339">
        <f t="shared" ref="Q44" si="26">Q42-Q43</f>
        <v>574.53671874947281</v>
      </c>
      <c r="R44" s="788"/>
      <c r="S44" s="788"/>
      <c r="T44" s="788"/>
      <c r="U44" s="788"/>
      <c r="V44" s="788"/>
      <c r="W44" s="788"/>
      <c r="X44" s="788"/>
      <c r="Y44" s="690"/>
    </row>
    <row r="45" spans="1:25" x14ac:dyDescent="0.35">
      <c r="B45" s="342" t="s">
        <v>132</v>
      </c>
      <c r="C45" s="343"/>
      <c r="D45" s="377"/>
      <c r="E45" s="377" t="e">
        <f t="shared" ref="E45:L45" si="27">E178</f>
        <v>#REF!</v>
      </c>
      <c r="F45" s="377"/>
      <c r="G45" s="377"/>
      <c r="H45" s="377">
        <f t="shared" si="27"/>
        <v>1.44265</v>
      </c>
      <c r="I45" s="377">
        <f t="shared" si="27"/>
        <v>1.3104</v>
      </c>
      <c r="J45" s="377">
        <f t="shared" si="27"/>
        <v>1.6259662007225602</v>
      </c>
      <c r="K45" s="377">
        <f t="shared" si="27"/>
        <v>0.59718186226242043</v>
      </c>
      <c r="L45" s="377">
        <f t="shared" si="27"/>
        <v>28.852795834621386</v>
      </c>
      <c r="M45" s="377">
        <f t="shared" ref="M45:N45" si="28">M178</f>
        <v>-8.2937428828007214</v>
      </c>
      <c r="N45" s="377">
        <f t="shared" si="28"/>
        <v>-4.3178423172554288</v>
      </c>
      <c r="O45" s="377">
        <f t="shared" ref="O45:P45" si="29">O178</f>
        <v>-3.5899484830984858</v>
      </c>
      <c r="P45" s="377">
        <f t="shared" si="29"/>
        <v>-2.9954177327826828</v>
      </c>
      <c r="Q45" s="377">
        <f t="shared" ref="Q45" si="30">Q178</f>
        <v>-2.5650814208860777</v>
      </c>
      <c r="R45" s="786"/>
      <c r="S45" s="786"/>
      <c r="T45" s="786"/>
      <c r="U45" s="786"/>
      <c r="V45" s="786"/>
      <c r="W45" s="786"/>
      <c r="X45" s="786"/>
      <c r="Y45" s="691"/>
    </row>
    <row r="46" spans="1:25" x14ac:dyDescent="0.35">
      <c r="B46" s="345" t="s">
        <v>133</v>
      </c>
      <c r="C46" s="343"/>
      <c r="D46" s="377"/>
      <c r="E46" s="377" t="e">
        <f t="shared" ref="E46:L46" si="31">E44+E45</f>
        <v>#REF!</v>
      </c>
      <c r="F46" s="377"/>
      <c r="G46" s="377"/>
      <c r="H46" s="377">
        <f t="shared" si="31"/>
        <v>-36.507350000000002</v>
      </c>
      <c r="I46" s="377">
        <f t="shared" si="31"/>
        <v>-30.671100000000003</v>
      </c>
      <c r="J46" s="377">
        <f t="shared" si="31"/>
        <v>-57.481282711777446</v>
      </c>
      <c r="K46" s="377">
        <f t="shared" si="31"/>
        <v>-35.059413889945212</v>
      </c>
      <c r="L46" s="377">
        <f t="shared" si="31"/>
        <v>69.850991420878941</v>
      </c>
      <c r="M46" s="377">
        <f t="shared" ref="M46:N46" si="32">M44+M45</f>
        <v>177.61012470566814</v>
      </c>
      <c r="N46" s="377">
        <f t="shared" si="32"/>
        <v>312.3972244712856</v>
      </c>
      <c r="O46" s="377">
        <f t="shared" ref="O46:P46" si="33">O44+O45</f>
        <v>426.66790827133013</v>
      </c>
      <c r="P46" s="377">
        <f t="shared" si="33"/>
        <v>477.88451892657179</v>
      </c>
      <c r="Q46" s="377">
        <f t="shared" ref="Q46" si="34">Q44+Q45</f>
        <v>571.97163732858678</v>
      </c>
      <c r="R46" s="377">
        <f t="shared" ref="R46" si="35">Q46*(1+R47)</f>
        <v>655.98428481273186</v>
      </c>
      <c r="S46" s="377">
        <f t="shared" ref="S46" si="36">R46*(1+S47)</f>
        <v>719.53770919681574</v>
      </c>
      <c r="T46" s="377">
        <f t="shared" ref="T46" si="37">S46*(1+T47)</f>
        <v>753.27146536612838</v>
      </c>
      <c r="U46" s="377">
        <f t="shared" ref="U46" si="38">T46*(1+U47)</f>
        <v>781.05403108926146</v>
      </c>
      <c r="V46" s="377">
        <f t="shared" ref="V46" si="39">U46*(1+V47)</f>
        <v>273.3689108812415</v>
      </c>
      <c r="W46" s="377">
        <f t="shared" ref="W46" si="40">V46*(1+W47)</f>
        <v>95.679118808434524</v>
      </c>
      <c r="X46" s="377">
        <f t="shared" ref="X46" si="41">W46*(1+X47)</f>
        <v>47.839559404217262</v>
      </c>
      <c r="Y46" s="346">
        <f>(X46*(1+Y47))/($G$29-Y47)</f>
        <v>382.71647523373809</v>
      </c>
    </row>
    <row r="47" spans="1:25" x14ac:dyDescent="0.35">
      <c r="B47" s="347" t="s">
        <v>134</v>
      </c>
      <c r="C47" s="348"/>
      <c r="D47" s="349"/>
      <c r="E47" s="349" t="e">
        <f t="shared" ref="E47:Q47" si="42">E46/D46-1</f>
        <v>#REF!</v>
      </c>
      <c r="F47" s="349"/>
      <c r="G47" s="349"/>
      <c r="H47" s="349" t="e">
        <f t="shared" si="42"/>
        <v>#DIV/0!</v>
      </c>
      <c r="I47" s="349">
        <f t="shared" si="42"/>
        <v>-0.15986506826707492</v>
      </c>
      <c r="J47" s="349">
        <f t="shared" si="42"/>
        <v>0.87411872126455981</v>
      </c>
      <c r="K47" s="349">
        <f t="shared" si="42"/>
        <v>-0.39007252037606632</v>
      </c>
      <c r="L47" s="349">
        <f t="shared" si="42"/>
        <v>-2.9923605009526901</v>
      </c>
      <c r="M47" s="349">
        <f t="shared" si="42"/>
        <v>1.5427001262659137</v>
      </c>
      <c r="N47" s="349">
        <f t="shared" si="42"/>
        <v>0.7588931092131368</v>
      </c>
      <c r="O47" s="349">
        <f t="shared" si="42"/>
        <v>0.36578648863939534</v>
      </c>
      <c r="P47" s="349">
        <f t="shared" si="42"/>
        <v>0.12003858190963723</v>
      </c>
      <c r="Q47" s="349">
        <f t="shared" si="42"/>
        <v>0.1968825410234134</v>
      </c>
      <c r="R47" s="944">
        <f>Q47-0.05</f>
        <v>0.14688254102341342</v>
      </c>
      <c r="S47" s="944">
        <f t="shared" ref="S47:T47" si="43">R47-0.05</f>
        <v>9.6882541023413413E-2</v>
      </c>
      <c r="T47" s="944">
        <f t="shared" si="43"/>
        <v>4.688254102341341E-2</v>
      </c>
      <c r="U47" s="944">
        <f t="shared" ref="U47" si="44">T47-0.01</f>
        <v>3.6882541023413408E-2</v>
      </c>
      <c r="V47" s="789">
        <v>-0.65</v>
      </c>
      <c r="W47" s="787">
        <v>-0.65</v>
      </c>
      <c r="X47" s="787">
        <v>-0.5</v>
      </c>
      <c r="Y47" s="710">
        <v>0</v>
      </c>
    </row>
    <row r="48" spans="1:25" x14ac:dyDescent="0.35">
      <c r="B48" s="351" t="s">
        <v>135</v>
      </c>
      <c r="C48" s="352"/>
      <c r="D48" s="353"/>
      <c r="E48" s="353" t="e">
        <f>E46/((1+$G$29)^(E36-$G$30+1))</f>
        <v>#REF!</v>
      </c>
      <c r="F48" s="353"/>
      <c r="G48" s="353"/>
      <c r="H48" s="353">
        <f t="shared" ref="H48:X48" si="45">H46/((1+$G$29)^(H36-$G$30+1))</f>
        <v>-32.45097777777778</v>
      </c>
      <c r="I48" s="353">
        <f t="shared" si="45"/>
        <v>-24.233955555555557</v>
      </c>
      <c r="J48" s="353">
        <f t="shared" si="45"/>
        <v>-40.370942041742182</v>
      </c>
      <c r="K48" s="353">
        <f t="shared" si="45"/>
        <v>-21.887419492945526</v>
      </c>
      <c r="L48" s="353">
        <f t="shared" si="45"/>
        <v>38.762337836023661</v>
      </c>
      <c r="M48" s="353">
        <f t="shared" si="45"/>
        <v>87.609778942239444</v>
      </c>
      <c r="N48" s="353">
        <f t="shared" si="45"/>
        <v>136.97443242772545</v>
      </c>
      <c r="O48" s="353">
        <f t="shared" si="45"/>
        <v>166.29140364341089</v>
      </c>
      <c r="P48" s="353">
        <f t="shared" si="45"/>
        <v>165.5580337071369</v>
      </c>
      <c r="Q48" s="353">
        <f t="shared" si="45"/>
        <v>176.13646228465598</v>
      </c>
      <c r="R48" s="353">
        <f t="shared" si="45"/>
        <v>179.56251860613409</v>
      </c>
      <c r="S48" s="353">
        <f t="shared" si="45"/>
        <v>175.07465927223137</v>
      </c>
      <c r="T48" s="353">
        <f t="shared" si="45"/>
        <v>162.91787037130834</v>
      </c>
      <c r="U48" s="353">
        <f t="shared" si="45"/>
        <v>150.15706258553359</v>
      </c>
      <c r="V48" s="353">
        <f t="shared" si="45"/>
        <v>46.715530582166004</v>
      </c>
      <c r="W48" s="353">
        <f t="shared" si="45"/>
        <v>14.533720625562756</v>
      </c>
      <c r="X48" s="353">
        <f t="shared" si="45"/>
        <v>6.4594313891390032</v>
      </c>
      <c r="Y48" s="353">
        <f>Y46/((1+$G$29)^(X36-$G$30+1+1))</f>
        <v>45.933734322766242</v>
      </c>
    </row>
    <row r="49" spans="2:20" x14ac:dyDescent="0.35"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2:20" x14ac:dyDescent="0.35">
      <c r="B50" s="354" t="s">
        <v>29</v>
      </c>
      <c r="C50" s="355"/>
      <c r="D50" s="355"/>
      <c r="E50" s="355">
        <v>1</v>
      </c>
      <c r="F50" s="355"/>
      <c r="G50" s="355"/>
      <c r="H50" s="355">
        <v>1</v>
      </c>
      <c r="I50" s="355">
        <v>1</v>
      </c>
      <c r="J50" s="355">
        <v>1</v>
      </c>
      <c r="K50" s="355">
        <v>1</v>
      </c>
      <c r="L50" s="355">
        <v>1</v>
      </c>
      <c r="M50" s="356"/>
      <c r="N50" s="261"/>
      <c r="O50" s="261"/>
      <c r="P50" s="261"/>
      <c r="Q50" s="261"/>
      <c r="R50" s="261"/>
      <c r="S50" s="261"/>
      <c r="T50" s="94"/>
    </row>
    <row r="51" spans="2:20" x14ac:dyDescent="0.35">
      <c r="B51" s="357" t="s">
        <v>17</v>
      </c>
      <c r="C51" s="358"/>
      <c r="D51" s="358"/>
      <c r="E51" s="358" t="str">
        <f t="shared" ref="E51" si="46">IFERROR(E38/E37,"NM")</f>
        <v>NM</v>
      </c>
      <c r="F51" s="358"/>
      <c r="G51" s="359"/>
      <c r="H51" s="359" t="e">
        <f t="shared" ref="H51:L51" si="47">H38/H37</f>
        <v>#DIV/0!</v>
      </c>
      <c r="I51" s="359" t="e">
        <f t="shared" si="47"/>
        <v>#DIV/0!</v>
      </c>
      <c r="J51" s="359" t="e">
        <f t="shared" si="47"/>
        <v>#DIV/0!</v>
      </c>
      <c r="K51" s="359">
        <f t="shared" si="47"/>
        <v>7.4999999999999969E-2</v>
      </c>
      <c r="L51" s="359">
        <f t="shared" si="47"/>
        <v>7.4999999999999997E-2</v>
      </c>
      <c r="M51" s="360"/>
      <c r="N51" s="257"/>
      <c r="O51" s="257"/>
      <c r="P51" s="257"/>
      <c r="Q51" s="257"/>
      <c r="R51" s="257"/>
      <c r="S51" s="257"/>
      <c r="T51" s="94"/>
    </row>
    <row r="52" spans="2:20" x14ac:dyDescent="0.35">
      <c r="B52" s="357" t="s">
        <v>30</v>
      </c>
      <c r="C52" s="361"/>
      <c r="D52" s="361"/>
      <c r="E52" s="361" t="str">
        <f t="shared" ref="E52" si="48">IFERROR(E50-E51,"NM")</f>
        <v>NM</v>
      </c>
      <c r="F52" s="361"/>
      <c r="G52" s="362"/>
      <c r="H52" s="362" t="e">
        <f t="shared" ref="H52:L52" si="49">H50-H51</f>
        <v>#DIV/0!</v>
      </c>
      <c r="I52" s="362" t="e">
        <f t="shared" si="49"/>
        <v>#DIV/0!</v>
      </c>
      <c r="J52" s="362" t="e">
        <f t="shared" si="49"/>
        <v>#DIV/0!</v>
      </c>
      <c r="K52" s="362">
        <f t="shared" si="49"/>
        <v>0.92500000000000004</v>
      </c>
      <c r="L52" s="362">
        <f t="shared" si="49"/>
        <v>0.92500000000000004</v>
      </c>
      <c r="M52" s="363"/>
      <c r="N52" s="364"/>
      <c r="O52" s="364"/>
      <c r="P52" s="364"/>
      <c r="Q52" s="364"/>
      <c r="R52" s="364"/>
      <c r="S52" s="364"/>
      <c r="T52" s="94"/>
    </row>
    <row r="53" spans="2:20" x14ac:dyDescent="0.35">
      <c r="B53" s="365" t="s">
        <v>130</v>
      </c>
      <c r="C53" s="366"/>
      <c r="D53" s="366"/>
      <c r="E53" s="366" t="str">
        <f t="shared" ref="E53" si="50">IFERROR(E40/E37,"NM")</f>
        <v>NM</v>
      </c>
      <c r="F53" s="366"/>
      <c r="G53" s="367"/>
      <c r="H53" s="367" t="e">
        <f t="shared" ref="H53:L53" si="51">H40/H37</f>
        <v>#DIV/0!</v>
      </c>
      <c r="I53" s="367" t="e">
        <f t="shared" si="51"/>
        <v>#DIV/0!</v>
      </c>
      <c r="J53" s="367" t="e">
        <f t="shared" si="51"/>
        <v>#DIV/0!</v>
      </c>
      <c r="K53" s="367">
        <f t="shared" si="51"/>
        <v>2.2671703832936787</v>
      </c>
      <c r="L53" s="367">
        <f t="shared" si="51"/>
        <v>0.42892137680054609</v>
      </c>
      <c r="M53" s="368"/>
      <c r="N53" s="369"/>
      <c r="O53" s="369"/>
      <c r="P53" s="369"/>
      <c r="Q53" s="369"/>
      <c r="R53" s="369"/>
      <c r="S53" s="369"/>
      <c r="T53" s="94"/>
    </row>
    <row r="54" spans="2:20" x14ac:dyDescent="0.35">
      <c r="B54" s="365" t="s">
        <v>20</v>
      </c>
      <c r="C54" s="366"/>
      <c r="D54" s="366"/>
      <c r="E54" s="366" t="str">
        <f t="shared" ref="E54" si="52">IFERROR(E41/E37,"NM")</f>
        <v>NM</v>
      </c>
      <c r="F54" s="366"/>
      <c r="G54" s="367"/>
      <c r="H54" s="367" t="e">
        <f t="shared" ref="H54:L54" si="53">H41/H37</f>
        <v>#DIV/0!</v>
      </c>
      <c r="I54" s="367" t="e">
        <f t="shared" si="53"/>
        <v>#DIV/0!</v>
      </c>
      <c r="J54" s="367" t="e">
        <f t="shared" si="53"/>
        <v>#DIV/0!</v>
      </c>
      <c r="K54" s="367">
        <f t="shared" si="53"/>
        <v>0.77011635700467895</v>
      </c>
      <c r="L54" s="367">
        <f t="shared" si="53"/>
        <v>9.7273759884385358E-2</v>
      </c>
      <c r="M54" s="368"/>
      <c r="N54" s="369"/>
      <c r="O54" s="369"/>
      <c r="P54" s="369"/>
      <c r="Q54" s="369"/>
      <c r="R54" s="369"/>
      <c r="S54" s="369"/>
      <c r="T54" s="94"/>
    </row>
    <row r="55" spans="2:20" x14ac:dyDescent="0.35">
      <c r="B55" s="370" t="s">
        <v>31</v>
      </c>
      <c r="C55" s="371"/>
      <c r="D55" s="371"/>
      <c r="E55" s="371" t="str">
        <f t="shared" ref="E55" si="54">IFERROR(E42/E37,"NM")</f>
        <v>NM</v>
      </c>
      <c r="F55" s="371"/>
      <c r="G55" s="372"/>
      <c r="H55" s="372" t="e">
        <f t="shared" ref="H55:L55" si="55">H42/H37</f>
        <v>#DIV/0!</v>
      </c>
      <c r="I55" s="372" t="e">
        <f t="shared" si="55"/>
        <v>#DIV/0!</v>
      </c>
      <c r="J55" s="372" t="e">
        <f t="shared" si="55"/>
        <v>#DIV/0!</v>
      </c>
      <c r="K55" s="372">
        <f t="shared" si="55"/>
        <v>-2.1122867402983578</v>
      </c>
      <c r="L55" s="372">
        <f t="shared" si="55"/>
        <v>0.39880486331506854</v>
      </c>
      <c r="M55" s="368"/>
      <c r="N55" s="369"/>
      <c r="O55" s="369"/>
      <c r="P55" s="369"/>
      <c r="Q55" s="369"/>
      <c r="R55" s="369"/>
      <c r="S55" s="369"/>
      <c r="T55" s="94"/>
    </row>
    <row r="56" spans="2:20" ht="15" thickBot="1" x14ac:dyDescent="0.4"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</row>
    <row r="57" spans="2:20" x14ac:dyDescent="0.35">
      <c r="B57" s="114" t="s">
        <v>113</v>
      </c>
      <c r="G57" s="373">
        <f>SUM(H48:X48)</f>
        <v>1387.8099474052462</v>
      </c>
      <c r="H57" s="102"/>
      <c r="I57" s="267"/>
      <c r="J57" s="102"/>
      <c r="K57" s="101"/>
      <c r="L57" s="101"/>
      <c r="M57" s="101"/>
      <c r="N57" s="101"/>
    </row>
    <row r="58" spans="2:20" x14ac:dyDescent="0.35">
      <c r="B58" s="117" t="s">
        <v>136</v>
      </c>
      <c r="G58" s="169">
        <f>Y48</f>
        <v>45.933734322766242</v>
      </c>
      <c r="H58" s="102"/>
      <c r="I58" s="374"/>
      <c r="J58" s="102"/>
      <c r="K58" s="101"/>
      <c r="L58" s="101"/>
      <c r="M58" s="101"/>
      <c r="N58" s="101"/>
    </row>
    <row r="59" spans="2:20" ht="15" thickBot="1" x14ac:dyDescent="0.4">
      <c r="B59" s="117" t="s">
        <v>137</v>
      </c>
      <c r="G59" s="169">
        <f>G58+G57</f>
        <v>1433.7436817280125</v>
      </c>
      <c r="H59" s="102"/>
      <c r="I59" s="293"/>
      <c r="J59" s="102"/>
      <c r="K59" s="101"/>
      <c r="L59" s="101"/>
      <c r="M59" s="101"/>
      <c r="N59" s="101"/>
    </row>
    <row r="60" spans="2:20" ht="15" thickBot="1" x14ac:dyDescent="0.4">
      <c r="B60" s="270" t="s">
        <v>138</v>
      </c>
      <c r="G60" s="375">
        <f>G59/$G$33</f>
        <v>30.7347293323927</v>
      </c>
      <c r="H60" s="101"/>
      <c r="I60" s="101"/>
      <c r="J60" s="101"/>
      <c r="K60" s="101"/>
      <c r="L60" s="101"/>
      <c r="M60" s="101"/>
      <c r="N60" s="101"/>
    </row>
    <row r="61" spans="2:20" x14ac:dyDescent="0.35"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</row>
    <row r="62" spans="2:20" x14ac:dyDescent="0.35">
      <c r="B62" s="101"/>
      <c r="C62" s="101"/>
      <c r="D62" s="101"/>
      <c r="E62" s="101"/>
      <c r="F62" s="376"/>
      <c r="G62" s="376"/>
      <c r="H62" s="376"/>
      <c r="I62" s="376"/>
      <c r="J62" s="376"/>
      <c r="K62" s="376"/>
      <c r="L62" s="376"/>
      <c r="M62" s="376"/>
    </row>
    <row r="63" spans="2:20" x14ac:dyDescent="0.35">
      <c r="B63" s="101"/>
      <c r="C63" s="101"/>
      <c r="D63" s="101"/>
      <c r="E63" s="102"/>
      <c r="F63" s="102"/>
      <c r="G63" s="102"/>
      <c r="H63" s="102"/>
      <c r="I63" s="102"/>
      <c r="J63" s="102"/>
      <c r="K63" s="102"/>
      <c r="L63" s="102"/>
      <c r="M63" s="101"/>
    </row>
    <row r="64" spans="2:20" x14ac:dyDescent="0.35">
      <c r="B64" s="101"/>
      <c r="F64" s="318" t="s">
        <v>128</v>
      </c>
      <c r="G64" s="101"/>
      <c r="H64" s="319">
        <f>INDEX(C65:Y65,MATCH(TRUE,INDEX(C66:Y66&lt;&gt;0,),0))</f>
        <v>2030</v>
      </c>
      <c r="I64" s="101"/>
      <c r="J64" s="101"/>
      <c r="K64" s="101"/>
      <c r="L64" s="101"/>
      <c r="M64" s="101"/>
    </row>
    <row r="65" spans="1:25" x14ac:dyDescent="0.35">
      <c r="A65" s="91">
        <v>2</v>
      </c>
      <c r="B65" s="320" t="s">
        <v>472</v>
      </c>
      <c r="C65" s="321">
        <v>2021</v>
      </c>
      <c r="D65" s="321">
        <f t="shared" ref="D65:L65" si="56">C65+1</f>
        <v>2022</v>
      </c>
      <c r="E65" s="321">
        <f t="shared" si="56"/>
        <v>2023</v>
      </c>
      <c r="F65" s="321">
        <f t="shared" si="56"/>
        <v>2024</v>
      </c>
      <c r="G65" s="321">
        <f t="shared" si="56"/>
        <v>2025</v>
      </c>
      <c r="H65" s="321">
        <f t="shared" si="56"/>
        <v>2026</v>
      </c>
      <c r="I65" s="321">
        <f t="shared" si="56"/>
        <v>2027</v>
      </c>
      <c r="J65" s="321">
        <f t="shared" si="56"/>
        <v>2028</v>
      </c>
      <c r="K65" s="321">
        <f t="shared" si="56"/>
        <v>2029</v>
      </c>
      <c r="L65" s="321">
        <f t="shared" si="56"/>
        <v>2030</v>
      </c>
      <c r="M65" s="321">
        <f t="shared" ref="M65" si="57">L65+1</f>
        <v>2031</v>
      </c>
      <c r="N65" s="321">
        <f t="shared" ref="N65" si="58">M65+1</f>
        <v>2032</v>
      </c>
      <c r="O65" s="321">
        <f t="shared" ref="O65" si="59">N65+1</f>
        <v>2033</v>
      </c>
      <c r="P65" s="321">
        <f t="shared" ref="P65" si="60">O65+1</f>
        <v>2034</v>
      </c>
      <c r="Q65" s="321">
        <f t="shared" ref="Q65" si="61">P65+1</f>
        <v>2035</v>
      </c>
      <c r="R65" s="321">
        <f t="shared" ref="R65" si="62">Q65+1</f>
        <v>2036</v>
      </c>
      <c r="S65" s="321">
        <f t="shared" ref="S65" si="63">R65+1</f>
        <v>2037</v>
      </c>
      <c r="T65" s="321">
        <f t="shared" ref="T65" si="64">S65+1</f>
        <v>2038</v>
      </c>
      <c r="U65" s="321">
        <f t="shared" ref="U65" si="65">T65+1</f>
        <v>2039</v>
      </c>
      <c r="V65" s="321">
        <f t="shared" ref="V65" si="66">U65+1</f>
        <v>2040</v>
      </c>
      <c r="W65" s="321">
        <f t="shared" ref="W65" si="67">V65+1</f>
        <v>2041</v>
      </c>
      <c r="X65" s="321">
        <f t="shared" ref="X65" si="68">W65+1</f>
        <v>2042</v>
      </c>
      <c r="Y65" s="321" t="s">
        <v>129</v>
      </c>
    </row>
    <row r="66" spans="1:25" x14ac:dyDescent="0.35">
      <c r="B66" s="323" t="s">
        <v>29</v>
      </c>
      <c r="C66" s="324"/>
      <c r="D66" s="324"/>
      <c r="E66" s="324">
        <f>REVENUE!Z14</f>
        <v>0</v>
      </c>
      <c r="F66" s="324"/>
      <c r="G66" s="324"/>
      <c r="H66" s="324">
        <f>REVENUE!AN14</f>
        <v>0</v>
      </c>
      <c r="I66" s="324">
        <f>REVENUE!AO14</f>
        <v>0</v>
      </c>
      <c r="J66" s="324">
        <f>REVENUE!AP14</f>
        <v>0</v>
      </c>
      <c r="K66" s="324">
        <f>REVENUE!AQ14</f>
        <v>0</v>
      </c>
      <c r="L66" s="324">
        <f>REVENUE!AR14</f>
        <v>25.330627118267305</v>
      </c>
      <c r="M66" s="324">
        <f>REVENUE!AS14</f>
        <v>86.324954794814374</v>
      </c>
      <c r="N66" s="324">
        <f>REVENUE!AT14</f>
        <v>241.06174370106714</v>
      </c>
      <c r="O66" s="324">
        <f>REVENUE!AU14</f>
        <v>375.12906752879786</v>
      </c>
      <c r="P66" s="324">
        <f>REVENUE!AV14</f>
        <v>493.01576548414914</v>
      </c>
      <c r="Q66" s="324">
        <f>REVENUE!AW14</f>
        <v>598.38838481490052</v>
      </c>
      <c r="R66" s="785"/>
      <c r="S66" s="785"/>
      <c r="T66" s="785"/>
      <c r="U66" s="785"/>
      <c r="V66" s="785"/>
      <c r="W66" s="785"/>
      <c r="X66" s="785"/>
      <c r="Y66" s="324"/>
    </row>
    <row r="67" spans="1:25" x14ac:dyDescent="0.35">
      <c r="B67" s="327" t="s">
        <v>17</v>
      </c>
      <c r="C67" s="328"/>
      <c r="D67" s="328"/>
      <c r="E67" s="328" t="e">
        <f>OPEX!#REF!</f>
        <v>#REF!</v>
      </c>
      <c r="F67" s="328"/>
      <c r="G67" s="328"/>
      <c r="H67" s="328">
        <f>OPEX!T91</f>
        <v>0</v>
      </c>
      <c r="I67" s="328">
        <f>OPEX!U91</f>
        <v>0</v>
      </c>
      <c r="J67" s="328">
        <f>OPEX!V91</f>
        <v>0</v>
      </c>
      <c r="K67" s="328">
        <f>OPEX!W91</f>
        <v>0</v>
      </c>
      <c r="L67" s="328">
        <f>OPEX!X91</f>
        <v>1.8997970338700476</v>
      </c>
      <c r="M67" s="328">
        <f>OPEX!Y91</f>
        <v>6.4743716096110688</v>
      </c>
      <c r="N67" s="328">
        <f>OPEX!Z91</f>
        <v>18.079630777580036</v>
      </c>
      <c r="O67" s="328">
        <f>OPEX!AA91</f>
        <v>28.134680064659847</v>
      </c>
      <c r="P67" s="328">
        <f>OPEX!AB91</f>
        <v>36.976182411311186</v>
      </c>
      <c r="Q67" s="328">
        <f>OPEX!AC91</f>
        <v>44.879128861117465</v>
      </c>
      <c r="R67" s="785"/>
      <c r="S67" s="785"/>
      <c r="T67" s="785"/>
      <c r="U67" s="785"/>
      <c r="V67" s="785"/>
      <c r="W67" s="785"/>
      <c r="X67" s="785"/>
      <c r="Y67" s="328"/>
    </row>
    <row r="68" spans="1:25" x14ac:dyDescent="0.35">
      <c r="B68" s="327" t="s">
        <v>18</v>
      </c>
      <c r="C68" s="328"/>
      <c r="D68" s="328"/>
      <c r="E68" s="328" t="e">
        <f t="shared" ref="E68:L68" si="69">E66-E67</f>
        <v>#REF!</v>
      </c>
      <c r="F68" s="328"/>
      <c r="G68" s="328"/>
      <c r="H68" s="328">
        <f t="shared" si="69"/>
        <v>0</v>
      </c>
      <c r="I68" s="328">
        <f t="shared" si="69"/>
        <v>0</v>
      </c>
      <c r="J68" s="328">
        <f t="shared" si="69"/>
        <v>0</v>
      </c>
      <c r="K68" s="328">
        <f t="shared" si="69"/>
        <v>0</v>
      </c>
      <c r="L68" s="328">
        <f t="shared" si="69"/>
        <v>23.430830084397257</v>
      </c>
      <c r="M68" s="328">
        <f t="shared" ref="M68:N68" si="70">M66-M67</f>
        <v>79.850583185203305</v>
      </c>
      <c r="N68" s="328">
        <f t="shared" si="70"/>
        <v>222.98211292348711</v>
      </c>
      <c r="O68" s="328">
        <f t="shared" ref="O68:P68" si="71">O66-O67</f>
        <v>346.99438746413801</v>
      </c>
      <c r="P68" s="328">
        <f t="shared" si="71"/>
        <v>456.03958307283796</v>
      </c>
      <c r="Q68" s="328">
        <f t="shared" ref="Q68" si="72">Q66-Q67</f>
        <v>553.50925595378305</v>
      </c>
      <c r="R68" s="785"/>
      <c r="S68" s="785"/>
      <c r="T68" s="785"/>
      <c r="U68" s="785"/>
      <c r="V68" s="785"/>
      <c r="W68" s="785"/>
      <c r="X68" s="785"/>
      <c r="Y68" s="328"/>
    </row>
    <row r="69" spans="1:25" x14ac:dyDescent="0.35">
      <c r="B69" s="327" t="s">
        <v>130</v>
      </c>
      <c r="C69" s="331"/>
      <c r="D69" s="331"/>
      <c r="E69" s="331" t="e">
        <f>OPEX!#REF!</f>
        <v>#REF!</v>
      </c>
      <c r="F69" s="331"/>
      <c r="G69" s="331"/>
      <c r="H69" s="331">
        <f>OPEX!T62</f>
        <v>0</v>
      </c>
      <c r="I69" s="331">
        <f>OPEX!U62</f>
        <v>0</v>
      </c>
      <c r="J69" s="331">
        <f>OPEX!V62</f>
        <v>0</v>
      </c>
      <c r="K69" s="331">
        <f>OPEX!W62</f>
        <v>15.659938872500001</v>
      </c>
      <c r="L69" s="331">
        <f>OPEX!X62</f>
        <v>31.357105558012503</v>
      </c>
      <c r="M69" s="331">
        <f>OPEX!Y62</f>
        <v>48.563758299670504</v>
      </c>
      <c r="N69" s="331">
        <f>OPEX!Z62</f>
        <v>50.645671048660617</v>
      </c>
      <c r="O69" s="331">
        <f>OPEX!AA62</f>
        <v>52.82129118012044</v>
      </c>
      <c r="P69" s="331">
        <f>OPEX!AB62</f>
        <v>55.094992415524047</v>
      </c>
      <c r="Q69" s="331">
        <f>OPEX!AC62</f>
        <v>57.471357812989773</v>
      </c>
      <c r="R69" s="785"/>
      <c r="S69" s="785"/>
      <c r="T69" s="785"/>
      <c r="U69" s="785"/>
      <c r="V69" s="785"/>
      <c r="W69" s="785"/>
      <c r="X69" s="785"/>
      <c r="Y69" s="331"/>
    </row>
    <row r="70" spans="1:25" x14ac:dyDescent="0.35">
      <c r="B70" s="334" t="s">
        <v>20</v>
      </c>
      <c r="C70" s="335"/>
      <c r="D70" s="335"/>
      <c r="E70" s="335" t="e">
        <f>OPEX!#REF!</f>
        <v>#REF!</v>
      </c>
      <c r="F70" s="335"/>
      <c r="G70" s="335"/>
      <c r="H70" s="335">
        <f>OPEX!T23</f>
        <v>24.15</v>
      </c>
      <c r="I70" s="335">
        <f>OPEX!U23</f>
        <v>31.981500000000004</v>
      </c>
      <c r="J70" s="335">
        <f>OPEX!V23</f>
        <v>38.25</v>
      </c>
      <c r="K70" s="335">
        <f>OPEX!W23</f>
        <v>35.75</v>
      </c>
      <c r="L70" s="335">
        <f>OPEX!X23</f>
        <v>27.500000000000004</v>
      </c>
      <c r="M70" s="335">
        <f>OPEX!Y23</f>
        <v>22</v>
      </c>
      <c r="N70" s="335">
        <f>OPEX!Z23</f>
        <v>22</v>
      </c>
      <c r="O70" s="335">
        <f>OPEX!AA23</f>
        <v>22</v>
      </c>
      <c r="P70" s="335">
        <f>OPEX!AB23</f>
        <v>22</v>
      </c>
      <c r="Q70" s="335">
        <f>OPEX!AC23</f>
        <v>22</v>
      </c>
      <c r="R70" s="785"/>
      <c r="S70" s="785"/>
      <c r="T70" s="785"/>
      <c r="U70" s="785"/>
      <c r="V70" s="785"/>
      <c r="W70" s="785"/>
      <c r="X70" s="785"/>
      <c r="Y70" s="331"/>
    </row>
    <row r="71" spans="1:25" x14ac:dyDescent="0.35">
      <c r="B71" s="323" t="s">
        <v>22</v>
      </c>
      <c r="C71" s="336"/>
      <c r="D71" s="336"/>
      <c r="E71" s="336" t="e">
        <f t="shared" ref="E71:L71" si="73">E66-E67-E69-E70</f>
        <v>#REF!</v>
      </c>
      <c r="F71" s="336"/>
      <c r="G71" s="336"/>
      <c r="H71" s="336">
        <f t="shared" si="73"/>
        <v>-24.15</v>
      </c>
      <c r="I71" s="336">
        <f t="shared" si="73"/>
        <v>-31.981500000000004</v>
      </c>
      <c r="J71" s="336">
        <f t="shared" si="73"/>
        <v>-38.25</v>
      </c>
      <c r="K71" s="336">
        <f t="shared" si="73"/>
        <v>-51.4099388725</v>
      </c>
      <c r="L71" s="336">
        <f t="shared" si="73"/>
        <v>-35.426275473615249</v>
      </c>
      <c r="M71" s="336">
        <f t="shared" ref="M71:N71" si="74">M66-M67-M69-M70</f>
        <v>9.2868248855328019</v>
      </c>
      <c r="N71" s="336">
        <f t="shared" si="74"/>
        <v>150.33644187482651</v>
      </c>
      <c r="O71" s="336">
        <f t="shared" ref="O71:P71" si="75">O66-O67-O69-O70</f>
        <v>272.17309628401756</v>
      </c>
      <c r="P71" s="336">
        <f t="shared" si="75"/>
        <v>378.94459065731394</v>
      </c>
      <c r="Q71" s="336">
        <f t="shared" ref="Q71" si="76">Q66-Q67-Q69-Q70</f>
        <v>474.03789814079329</v>
      </c>
      <c r="R71" s="785"/>
      <c r="S71" s="785"/>
      <c r="T71" s="785"/>
      <c r="U71" s="785"/>
      <c r="V71" s="785"/>
      <c r="W71" s="785"/>
      <c r="X71" s="785"/>
      <c r="Y71" s="331"/>
    </row>
    <row r="72" spans="1:25" x14ac:dyDescent="0.35">
      <c r="B72" s="338" t="s">
        <v>25</v>
      </c>
      <c r="C72" s="335"/>
      <c r="D72" s="335"/>
      <c r="E72" s="335" t="e">
        <f>E71*IS!Z33</f>
        <v>#REF!</v>
      </c>
      <c r="F72" s="335"/>
      <c r="G72" s="335"/>
      <c r="H72" s="335">
        <f>H71*IS!AJ33</f>
        <v>0</v>
      </c>
      <c r="I72" s="335">
        <f>I71*IS!AK33</f>
        <v>0</v>
      </c>
      <c r="J72" s="335">
        <f>J71*IS!AL33</f>
        <v>0</v>
      </c>
      <c r="K72" s="335">
        <f>K71*IS!AM33</f>
        <v>0</v>
      </c>
      <c r="L72" s="335">
        <f>L71*IS!AN33</f>
        <v>0</v>
      </c>
      <c r="M72" s="335">
        <f>M71*IS!AO33</f>
        <v>0</v>
      </c>
      <c r="N72" s="335">
        <f>N71*IS!AP33</f>
        <v>7.5168220937413253</v>
      </c>
      <c r="O72" s="335">
        <f>O71*IS!AQ33</f>
        <v>27.217309628401757</v>
      </c>
      <c r="P72" s="335">
        <f>P71*IS!AR33</f>
        <v>79.578364038035929</v>
      </c>
      <c r="Q72" s="335">
        <f>Q71*IS!AS33</f>
        <v>99.547958609566592</v>
      </c>
      <c r="R72" s="785"/>
      <c r="S72" s="785"/>
      <c r="T72" s="785"/>
      <c r="U72" s="785"/>
      <c r="V72" s="785"/>
      <c r="W72" s="785"/>
      <c r="X72" s="785"/>
      <c r="Y72" s="331"/>
    </row>
    <row r="73" spans="1:25" x14ac:dyDescent="0.35">
      <c r="B73" s="323" t="s">
        <v>131</v>
      </c>
      <c r="C73" s="339"/>
      <c r="D73" s="339"/>
      <c r="E73" s="339" t="e">
        <f t="shared" ref="E73:L73" si="77">E71-E72</f>
        <v>#REF!</v>
      </c>
      <c r="F73" s="339"/>
      <c r="G73" s="339"/>
      <c r="H73" s="339">
        <f t="shared" si="77"/>
        <v>-24.15</v>
      </c>
      <c r="I73" s="339">
        <f t="shared" si="77"/>
        <v>-31.981500000000004</v>
      </c>
      <c r="J73" s="339">
        <f t="shared" si="77"/>
        <v>-38.25</v>
      </c>
      <c r="K73" s="339">
        <f t="shared" si="77"/>
        <v>-51.4099388725</v>
      </c>
      <c r="L73" s="339">
        <f t="shared" si="77"/>
        <v>-35.426275473615249</v>
      </c>
      <c r="M73" s="339">
        <f t="shared" ref="M73:N73" si="78">M71-M72</f>
        <v>9.2868248855328019</v>
      </c>
      <c r="N73" s="339">
        <f t="shared" si="78"/>
        <v>142.81961978108518</v>
      </c>
      <c r="O73" s="339">
        <f t="shared" ref="O73:P73" si="79">O71-O72</f>
        <v>244.95578665561581</v>
      </c>
      <c r="P73" s="339">
        <f t="shared" si="79"/>
        <v>299.366226619278</v>
      </c>
      <c r="Q73" s="339">
        <f t="shared" ref="Q73" si="80">Q71-Q72</f>
        <v>374.4899395312267</v>
      </c>
      <c r="R73" s="788"/>
      <c r="S73" s="788"/>
      <c r="T73" s="788"/>
      <c r="U73" s="788"/>
      <c r="V73" s="788"/>
      <c r="W73" s="788"/>
      <c r="X73" s="788"/>
      <c r="Y73" s="690"/>
    </row>
    <row r="74" spans="1:25" x14ac:dyDescent="0.35">
      <c r="B74" s="342" t="s">
        <v>132</v>
      </c>
      <c r="C74" s="377"/>
      <c r="D74" s="377"/>
      <c r="E74" s="377" t="e">
        <f t="shared" ref="E74:L74" si="81">E179</f>
        <v>#REF!</v>
      </c>
      <c r="F74" s="377"/>
      <c r="G74" s="377"/>
      <c r="H74" s="377">
        <f t="shared" si="81"/>
        <v>0.91804999999999981</v>
      </c>
      <c r="I74" s="377">
        <f t="shared" si="81"/>
        <v>1.3104</v>
      </c>
      <c r="J74" s="377">
        <f t="shared" si="81"/>
        <v>1.0522094721360868</v>
      </c>
      <c r="K74" s="377">
        <f t="shared" si="81"/>
        <v>0.86102114873868552</v>
      </c>
      <c r="L74" s="377">
        <f t="shared" si="81"/>
        <v>-24.931514150927551</v>
      </c>
      <c r="M74" s="377">
        <f t="shared" ref="M74:N74" si="82">M179</f>
        <v>-0.41431379990817252</v>
      </c>
      <c r="N74" s="377">
        <f t="shared" si="82"/>
        <v>-1.9470895536423272</v>
      </c>
      <c r="O74" s="377">
        <f t="shared" ref="O74:P74" si="83">O179</f>
        <v>-2.0438410151622937</v>
      </c>
      <c r="P74" s="377">
        <f t="shared" si="83"/>
        <v>-1.8647625643131116</v>
      </c>
      <c r="Q74" s="377">
        <f t="shared" ref="Q74" si="84">Q179</f>
        <v>-1.6719509038362603</v>
      </c>
      <c r="R74" s="786"/>
      <c r="S74" s="786"/>
      <c r="T74" s="786"/>
      <c r="U74" s="786"/>
      <c r="V74" s="786"/>
      <c r="W74" s="786"/>
      <c r="X74" s="786"/>
      <c r="Y74" s="691"/>
    </row>
    <row r="75" spans="1:25" x14ac:dyDescent="0.35">
      <c r="B75" s="345" t="s">
        <v>133</v>
      </c>
      <c r="C75" s="377"/>
      <c r="D75" s="377"/>
      <c r="E75" s="377" t="e">
        <f t="shared" ref="E75:L75" si="85">E73+E74</f>
        <v>#REF!</v>
      </c>
      <c r="F75" s="377"/>
      <c r="G75" s="377"/>
      <c r="H75" s="377">
        <f t="shared" si="85"/>
        <v>-23.231949999999998</v>
      </c>
      <c r="I75" s="377">
        <f t="shared" si="85"/>
        <v>-30.671100000000003</v>
      </c>
      <c r="J75" s="377">
        <f t="shared" si="85"/>
        <v>-37.197790527863916</v>
      </c>
      <c r="K75" s="377">
        <f t="shared" si="85"/>
        <v>-50.548917723761313</v>
      </c>
      <c r="L75" s="377">
        <f t="shared" si="85"/>
        <v>-60.357789624542804</v>
      </c>
      <c r="M75" s="377">
        <f t="shared" ref="M75:N75" si="86">M73+M74</f>
        <v>8.8725110856246303</v>
      </c>
      <c r="N75" s="377">
        <f t="shared" si="86"/>
        <v>140.87253022744287</v>
      </c>
      <c r="O75" s="377">
        <f t="shared" ref="O75:P75" si="87">O73+O74</f>
        <v>242.91194564045352</v>
      </c>
      <c r="P75" s="377">
        <f t="shared" si="87"/>
        <v>297.50146405496486</v>
      </c>
      <c r="Q75" s="377">
        <f t="shared" ref="Q75" si="88">Q73+Q74</f>
        <v>372.81798862739043</v>
      </c>
      <c r="R75" s="377">
        <f t="shared" ref="R75" si="89">Q75*(1+R76)</f>
        <v>448.56101194642901</v>
      </c>
      <c r="S75" s="377">
        <f t="shared" ref="S75" si="90">R75*(1+S76)</f>
        <v>517.26420561378904</v>
      </c>
      <c r="T75" s="377">
        <f t="shared" ref="T75" si="91">S75*(1+T76)</f>
        <v>570.62701353131399</v>
      </c>
      <c r="U75" s="377">
        <f t="shared" ref="U75" si="92">T75*(1+U76)</f>
        <v>600.96356708077133</v>
      </c>
      <c r="V75" s="377">
        <f t="shared" ref="V75" si="93">U75*(1+V76)</f>
        <v>210.33724847826994</v>
      </c>
      <c r="W75" s="377">
        <f t="shared" ref="W75" si="94">V75*(1+W76)</f>
        <v>73.618036967394474</v>
      </c>
      <c r="X75" s="377">
        <f t="shared" ref="X75" si="95">W75*(1+X76)</f>
        <v>36.809018483697237</v>
      </c>
      <c r="Y75" s="346">
        <f>(X75*(1+Y76))/($G$29-Y76)</f>
        <v>294.4721478695779</v>
      </c>
    </row>
    <row r="76" spans="1:25" x14ac:dyDescent="0.35">
      <c r="B76" s="347" t="s">
        <v>134</v>
      </c>
      <c r="C76" s="378"/>
      <c r="D76" s="349"/>
      <c r="E76" s="349">
        <f t="shared" ref="E76:Q76" si="96">IFERROR(E75/D75-1,0)</f>
        <v>0</v>
      </c>
      <c r="F76" s="349"/>
      <c r="G76" s="349"/>
      <c r="H76" s="349">
        <f t="shared" si="96"/>
        <v>0</v>
      </c>
      <c r="I76" s="349">
        <f t="shared" si="96"/>
        <v>0.32021203558031108</v>
      </c>
      <c r="J76" s="349">
        <f t="shared" si="96"/>
        <v>0.21279610212427702</v>
      </c>
      <c r="K76" s="349">
        <f t="shared" si="96"/>
        <v>0.35892258670300348</v>
      </c>
      <c r="L76" s="349">
        <f t="shared" si="96"/>
        <v>0.19404711994794455</v>
      </c>
      <c r="M76" s="349">
        <f t="shared" si="96"/>
        <v>-1.1469986084781487</v>
      </c>
      <c r="N76" s="349">
        <f t="shared" si="96"/>
        <v>14.877413831095298</v>
      </c>
      <c r="O76" s="349">
        <f t="shared" si="96"/>
        <v>0.7243386290305498</v>
      </c>
      <c r="P76" s="349">
        <f t="shared" si="96"/>
        <v>0.22472965778023979</v>
      </c>
      <c r="Q76" s="349">
        <f t="shared" si="96"/>
        <v>0.25316354261204732</v>
      </c>
      <c r="R76" s="944">
        <f>Q76-0.05</f>
        <v>0.20316354261204733</v>
      </c>
      <c r="S76" s="944">
        <f>R76-0.05</f>
        <v>0.15316354261204734</v>
      </c>
      <c r="T76" s="944">
        <f t="shared" ref="T76:U76" si="97">S76-0.05</f>
        <v>0.10316354261204734</v>
      </c>
      <c r="U76" s="944">
        <f t="shared" si="97"/>
        <v>5.3163542612047338E-2</v>
      </c>
      <c r="V76" s="789">
        <v>-0.65</v>
      </c>
      <c r="W76" s="787">
        <v>-0.65</v>
      </c>
      <c r="X76" s="787">
        <v>-0.5</v>
      </c>
      <c r="Y76" s="710">
        <v>0</v>
      </c>
    </row>
    <row r="77" spans="1:25" x14ac:dyDescent="0.35">
      <c r="B77" s="351" t="s">
        <v>135</v>
      </c>
      <c r="C77" s="353"/>
      <c r="D77" s="353"/>
      <c r="E77" s="353" t="e">
        <f>E75/((1+$G$29)^(E65-$G$30+1))</f>
        <v>#REF!</v>
      </c>
      <c r="F77" s="353"/>
      <c r="G77" s="353"/>
      <c r="H77" s="353">
        <f t="shared" ref="H77:X77" si="98">H75/((1+$G$29)^(H65-$G$30+1))</f>
        <v>-20.650622222222221</v>
      </c>
      <c r="I77" s="353">
        <f t="shared" si="98"/>
        <v>-24.233955555555557</v>
      </c>
      <c r="J77" s="353">
        <f t="shared" si="98"/>
        <v>-26.125197188293999</v>
      </c>
      <c r="K77" s="353">
        <f t="shared" si="98"/>
        <v>-31.557440481104457</v>
      </c>
      <c r="L77" s="353">
        <f t="shared" si="98"/>
        <v>-33.494285261681291</v>
      </c>
      <c r="M77" s="353">
        <f t="shared" si="98"/>
        <v>4.3765451781665003</v>
      </c>
      <c r="N77" s="353">
        <f t="shared" si="98"/>
        <v>61.7673057282082</v>
      </c>
      <c r="O77" s="353">
        <f t="shared" si="98"/>
        <v>94.673556691812763</v>
      </c>
      <c r="P77" s="353">
        <f t="shared" si="98"/>
        <v>103.0662335004462</v>
      </c>
      <c r="Q77" s="353">
        <f t="shared" si="98"/>
        <v>114.80786337519969</v>
      </c>
      <c r="R77" s="353">
        <f t="shared" si="98"/>
        <v>122.78456499397792</v>
      </c>
      <c r="S77" s="353">
        <f t="shared" si="98"/>
        <v>125.85838573025313</v>
      </c>
      <c r="T77" s="353">
        <f t="shared" si="98"/>
        <v>123.41545126188409</v>
      </c>
      <c r="U77" s="353">
        <f t="shared" si="98"/>
        <v>115.53480343469361</v>
      </c>
      <c r="V77" s="353">
        <f t="shared" si="98"/>
        <v>35.94416106857134</v>
      </c>
      <c r="W77" s="353">
        <f t="shared" si="98"/>
        <v>11.182627887999972</v>
      </c>
      <c r="X77" s="353">
        <f t="shared" si="98"/>
        <v>4.9700568391110993</v>
      </c>
      <c r="Y77" s="353">
        <f>Y75/((1+$G$29)^(X65-$G$30+1+1))</f>
        <v>35.342626411456699</v>
      </c>
    </row>
    <row r="78" spans="1:25" x14ac:dyDescent="0.35"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</row>
    <row r="79" spans="1:25" x14ac:dyDescent="0.35">
      <c r="B79" s="354" t="s">
        <v>29</v>
      </c>
      <c r="C79" s="355"/>
      <c r="D79" s="355"/>
      <c r="E79" s="355">
        <v>1</v>
      </c>
      <c r="F79" s="355"/>
      <c r="G79" s="355"/>
      <c r="H79" s="355">
        <v>1</v>
      </c>
      <c r="I79" s="355">
        <v>1</v>
      </c>
      <c r="J79" s="355">
        <v>1</v>
      </c>
      <c r="K79" s="355">
        <v>1</v>
      </c>
      <c r="L79" s="355">
        <v>1</v>
      </c>
      <c r="M79" s="102"/>
    </row>
    <row r="80" spans="1:25" x14ac:dyDescent="0.35">
      <c r="B80" s="357" t="s">
        <v>17</v>
      </c>
      <c r="C80" s="358"/>
      <c r="D80" s="358"/>
      <c r="E80" s="358" t="str">
        <f t="shared" ref="E80" si="99">IFERROR(E67/E66,"NM")</f>
        <v>NM</v>
      </c>
      <c r="F80" s="358"/>
      <c r="G80" s="359"/>
      <c r="H80" s="359" t="e">
        <f t="shared" ref="H80:L80" si="100">H67/H66</f>
        <v>#DIV/0!</v>
      </c>
      <c r="I80" s="359" t="e">
        <f t="shared" si="100"/>
        <v>#DIV/0!</v>
      </c>
      <c r="J80" s="359" t="e">
        <f t="shared" si="100"/>
        <v>#DIV/0!</v>
      </c>
      <c r="K80" s="359" t="e">
        <f t="shared" si="100"/>
        <v>#DIV/0!</v>
      </c>
      <c r="L80" s="359">
        <f t="shared" si="100"/>
        <v>7.4999999999999983E-2</v>
      </c>
      <c r="M80" s="102"/>
    </row>
    <row r="81" spans="1:25" x14ac:dyDescent="0.35">
      <c r="B81" s="357" t="s">
        <v>30</v>
      </c>
      <c r="C81" s="361"/>
      <c r="D81" s="361"/>
      <c r="E81" s="361" t="str">
        <f t="shared" ref="E81" si="101">IFERROR(E79-E80,"NM")</f>
        <v>NM</v>
      </c>
      <c r="F81" s="361"/>
      <c r="G81" s="362"/>
      <c r="H81" s="362" t="e">
        <f t="shared" ref="H81:L81" si="102">H79-H80</f>
        <v>#DIV/0!</v>
      </c>
      <c r="I81" s="362" t="e">
        <f t="shared" si="102"/>
        <v>#DIV/0!</v>
      </c>
      <c r="J81" s="362" t="e">
        <f t="shared" si="102"/>
        <v>#DIV/0!</v>
      </c>
      <c r="K81" s="362" t="e">
        <f t="shared" si="102"/>
        <v>#DIV/0!</v>
      </c>
      <c r="L81" s="362">
        <f t="shared" si="102"/>
        <v>0.92500000000000004</v>
      </c>
      <c r="M81" s="102"/>
    </row>
    <row r="82" spans="1:25" x14ac:dyDescent="0.35">
      <c r="B82" s="365" t="s">
        <v>130</v>
      </c>
      <c r="C82" s="366"/>
      <c r="D82" s="366"/>
      <c r="E82" s="366" t="str">
        <f t="shared" ref="E82" si="103">IFERROR(E69/E66,"NM")</f>
        <v>NM</v>
      </c>
      <c r="F82" s="366"/>
      <c r="G82" s="367"/>
      <c r="H82" s="367" t="e">
        <f t="shared" ref="H82:L82" si="104">H69/H66</f>
        <v>#DIV/0!</v>
      </c>
      <c r="I82" s="367" t="e">
        <f t="shared" si="104"/>
        <v>#DIV/0!</v>
      </c>
      <c r="J82" s="367" t="e">
        <f t="shared" si="104"/>
        <v>#DIV/0!</v>
      </c>
      <c r="K82" s="367" t="e">
        <f t="shared" si="104"/>
        <v>#DIV/0!</v>
      </c>
      <c r="L82" s="367">
        <f t="shared" si="104"/>
        <v>1.2379127216869878</v>
      </c>
      <c r="M82" s="102"/>
    </row>
    <row r="83" spans="1:25" x14ac:dyDescent="0.35">
      <c r="B83" s="365" t="s">
        <v>20</v>
      </c>
      <c r="C83" s="366"/>
      <c r="D83" s="366"/>
      <c r="E83" s="366" t="str">
        <f t="shared" ref="E83" si="105">IFERROR(E70/E66,"NM")</f>
        <v>NM</v>
      </c>
      <c r="F83" s="366"/>
      <c r="G83" s="367"/>
      <c r="H83" s="367" t="e">
        <f t="shared" ref="H83:L83" si="106">H70/H66</f>
        <v>#DIV/0!</v>
      </c>
      <c r="I83" s="367" t="e">
        <f t="shared" si="106"/>
        <v>#DIV/0!</v>
      </c>
      <c r="J83" s="367" t="e">
        <f t="shared" si="106"/>
        <v>#DIV/0!</v>
      </c>
      <c r="K83" s="367" t="e">
        <f t="shared" si="106"/>
        <v>#DIV/0!</v>
      </c>
      <c r="L83" s="367">
        <f t="shared" si="106"/>
        <v>1.0856422887441364</v>
      </c>
      <c r="M83" s="102"/>
    </row>
    <row r="84" spans="1:25" x14ac:dyDescent="0.35">
      <c r="B84" s="370" t="s">
        <v>31</v>
      </c>
      <c r="C84" s="371"/>
      <c r="D84" s="371"/>
      <c r="E84" s="371" t="str">
        <f t="shared" ref="E84" si="107">IFERROR(E71/E66,"NM")</f>
        <v>NM</v>
      </c>
      <c r="F84" s="371"/>
      <c r="G84" s="372"/>
      <c r="H84" s="372" t="e">
        <f t="shared" ref="H84:L84" si="108">H71/H66</f>
        <v>#DIV/0!</v>
      </c>
      <c r="I84" s="372" t="e">
        <f t="shared" si="108"/>
        <v>#DIV/0!</v>
      </c>
      <c r="J84" s="372" t="e">
        <f t="shared" si="108"/>
        <v>#DIV/0!</v>
      </c>
      <c r="K84" s="372" t="e">
        <f t="shared" si="108"/>
        <v>#DIV/0!</v>
      </c>
      <c r="L84" s="372">
        <f t="shared" si="108"/>
        <v>-1.3985550104311242</v>
      </c>
      <c r="M84" s="369"/>
    </row>
    <row r="85" spans="1:25" ht="15" thickBot="1" x14ac:dyDescent="0.4"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</row>
    <row r="86" spans="1:25" x14ac:dyDescent="0.35">
      <c r="B86" s="114" t="s">
        <v>113</v>
      </c>
      <c r="G86" s="373">
        <f>SUM(H77:X77)</f>
        <v>782.32005498146691</v>
      </c>
      <c r="H86" s="102"/>
      <c r="I86" s="267"/>
      <c r="J86" s="102"/>
      <c r="K86" s="101"/>
      <c r="L86" s="101"/>
      <c r="M86" s="101"/>
      <c r="N86" s="101"/>
    </row>
    <row r="87" spans="1:25" x14ac:dyDescent="0.35">
      <c r="B87" s="117" t="s">
        <v>136</v>
      </c>
      <c r="G87" s="169">
        <f>Y77</f>
        <v>35.342626411456699</v>
      </c>
      <c r="H87" s="102"/>
      <c r="I87" s="374"/>
      <c r="J87" s="102"/>
      <c r="K87" s="101"/>
      <c r="L87" s="101"/>
      <c r="M87" s="101"/>
      <c r="N87" s="101"/>
    </row>
    <row r="88" spans="1:25" ht="15" thickBot="1" x14ac:dyDescent="0.4">
      <c r="B88" s="117" t="s">
        <v>137</v>
      </c>
      <c r="G88" s="169">
        <f>G87+G86</f>
        <v>817.66268139292356</v>
      </c>
      <c r="H88" s="102"/>
      <c r="I88" s="293"/>
      <c r="J88" s="102"/>
      <c r="K88" s="101"/>
      <c r="L88" s="101"/>
      <c r="M88" s="101"/>
      <c r="N88" s="101"/>
    </row>
    <row r="89" spans="1:25" ht="15" thickBot="1" x14ac:dyDescent="0.4">
      <c r="B89" s="270" t="s">
        <v>138</v>
      </c>
      <c r="G89" s="375">
        <f>G88/$G$33</f>
        <v>17.527987406731846</v>
      </c>
      <c r="H89" s="101"/>
      <c r="I89" s="101"/>
      <c r="J89" s="101"/>
      <c r="K89" s="101"/>
      <c r="L89" s="101"/>
      <c r="M89" s="101"/>
      <c r="N89" s="101"/>
    </row>
    <row r="90" spans="1:25" s="382" customFormat="1" x14ac:dyDescent="0.35">
      <c r="A90" s="379"/>
      <c r="B90" s="380"/>
      <c r="C90" s="381"/>
    </row>
    <row r="91" spans="1:25" x14ac:dyDescent="0.35">
      <c r="B91" s="101"/>
      <c r="F91" s="318" t="s">
        <v>128</v>
      </c>
      <c r="G91" s="101"/>
      <c r="H91" s="319">
        <f>INDEX(C92:Y92,MATCH(TRUE,INDEX(C93:Y93&lt;&gt;0,),0))</f>
        <v>2031</v>
      </c>
      <c r="I91" s="101"/>
      <c r="J91" s="101"/>
      <c r="K91" s="101"/>
      <c r="L91" s="101"/>
      <c r="M91" s="101"/>
    </row>
    <row r="92" spans="1:25" x14ac:dyDescent="0.35">
      <c r="A92" s="91">
        <v>3</v>
      </c>
      <c r="B92" s="320" t="str">
        <f>B9</f>
        <v xml:space="preserve">ML-004 </v>
      </c>
      <c r="C92" s="321">
        <v>2021</v>
      </c>
      <c r="D92" s="321">
        <f t="shared" ref="D92:L92" si="109">C92+1</f>
        <v>2022</v>
      </c>
      <c r="E92" s="321">
        <f t="shared" si="109"/>
        <v>2023</v>
      </c>
      <c r="F92" s="321">
        <f t="shared" si="109"/>
        <v>2024</v>
      </c>
      <c r="G92" s="321">
        <f t="shared" si="109"/>
        <v>2025</v>
      </c>
      <c r="H92" s="321">
        <f t="shared" si="109"/>
        <v>2026</v>
      </c>
      <c r="I92" s="321">
        <f t="shared" si="109"/>
        <v>2027</v>
      </c>
      <c r="J92" s="321">
        <f t="shared" si="109"/>
        <v>2028</v>
      </c>
      <c r="K92" s="321">
        <f t="shared" si="109"/>
        <v>2029</v>
      </c>
      <c r="L92" s="321">
        <f t="shared" si="109"/>
        <v>2030</v>
      </c>
      <c r="M92" s="321">
        <f t="shared" ref="M92" si="110">L92+1</f>
        <v>2031</v>
      </c>
      <c r="N92" s="321">
        <f t="shared" ref="N92" si="111">M92+1</f>
        <v>2032</v>
      </c>
      <c r="O92" s="321">
        <f t="shared" ref="O92" si="112">N92+1</f>
        <v>2033</v>
      </c>
      <c r="P92" s="321">
        <f t="shared" ref="P92" si="113">O92+1</f>
        <v>2034</v>
      </c>
      <c r="Q92" s="321">
        <f t="shared" ref="Q92" si="114">P92+1</f>
        <v>2035</v>
      </c>
      <c r="R92" s="321">
        <f t="shared" ref="R92" si="115">Q92+1</f>
        <v>2036</v>
      </c>
      <c r="S92" s="321">
        <f t="shared" ref="S92" si="116">R92+1</f>
        <v>2037</v>
      </c>
      <c r="T92" s="321">
        <f t="shared" ref="T92" si="117">S92+1</f>
        <v>2038</v>
      </c>
      <c r="U92" s="321">
        <f t="shared" ref="U92" si="118">T92+1</f>
        <v>2039</v>
      </c>
      <c r="V92" s="321">
        <f t="shared" ref="V92" si="119">U92+1</f>
        <v>2040</v>
      </c>
      <c r="W92" s="321">
        <f t="shared" ref="W92" si="120">V92+1</f>
        <v>2041</v>
      </c>
      <c r="X92" s="321">
        <f t="shared" ref="X92" si="121">W92+1</f>
        <v>2042</v>
      </c>
      <c r="Y92" s="321" t="s">
        <v>129</v>
      </c>
    </row>
    <row r="93" spans="1:25" x14ac:dyDescent="0.35">
      <c r="B93" s="323" t="s">
        <v>29</v>
      </c>
      <c r="C93" s="324"/>
      <c r="D93" s="324"/>
      <c r="E93" s="324" t="e">
        <f>REVENUE!#REF!</f>
        <v>#REF!</v>
      </c>
      <c r="F93" s="324" t="e">
        <f>REVENUE!#REF!</f>
        <v>#REF!</v>
      </c>
      <c r="G93" s="324"/>
      <c r="H93" s="324">
        <f>REVENUE!AN25</f>
        <v>0</v>
      </c>
      <c r="I93" s="324">
        <f>REVENUE!AO25</f>
        <v>0</v>
      </c>
      <c r="J93" s="324">
        <f>REVENUE!AP25</f>
        <v>0</v>
      </c>
      <c r="K93" s="324">
        <f>REVENUE!AQ25</f>
        <v>0</v>
      </c>
      <c r="L93" s="324">
        <f>REVENUE!AR25</f>
        <v>0</v>
      </c>
      <c r="M93" s="324">
        <f>REVENUE!AS25</f>
        <v>2.9508083438520565</v>
      </c>
      <c r="N93" s="324">
        <f>REVENUE!AT25</f>
        <v>10.26835470630494</v>
      </c>
      <c r="O93" s="324">
        <f>REVENUE!AU25</f>
        <v>16.643841734391014</v>
      </c>
      <c r="P93" s="324">
        <f>REVENUE!AV25</f>
        <v>22.239323014864208</v>
      </c>
      <c r="Q93" s="324">
        <f>REVENUE!AW25</f>
        <v>27.19675978445704</v>
      </c>
      <c r="R93" s="785"/>
      <c r="S93" s="785"/>
      <c r="T93" s="785"/>
      <c r="U93" s="785"/>
      <c r="V93" s="785"/>
      <c r="W93" s="785"/>
      <c r="X93" s="785"/>
      <c r="Y93" s="326"/>
    </row>
    <row r="94" spans="1:25" x14ac:dyDescent="0.35">
      <c r="B94" s="327" t="s">
        <v>17</v>
      </c>
      <c r="C94" s="328"/>
      <c r="D94" s="328"/>
      <c r="E94" s="328" t="e">
        <f>OPEX!#REF!</f>
        <v>#REF!</v>
      </c>
      <c r="F94" s="328"/>
      <c r="G94" s="328"/>
      <c r="H94" s="328">
        <f>OPEX!T92</f>
        <v>0</v>
      </c>
      <c r="I94" s="328">
        <f>OPEX!U92</f>
        <v>0</v>
      </c>
      <c r="J94" s="328">
        <f>OPEX!V92</f>
        <v>0</v>
      </c>
      <c r="K94" s="328">
        <f>OPEX!W92</f>
        <v>0</v>
      </c>
      <c r="L94" s="328">
        <f>OPEX!X92</f>
        <v>0</v>
      </c>
      <c r="M94" s="328">
        <f>OPEX!Y92</f>
        <v>0.22131062578890415</v>
      </c>
      <c r="N94" s="328">
        <f>OPEX!Z92</f>
        <v>0.77012660297286928</v>
      </c>
      <c r="O94" s="328">
        <f>OPEX!AA92</f>
        <v>1.2482881300793256</v>
      </c>
      <c r="P94" s="328">
        <f>OPEX!AB92</f>
        <v>1.6679492261148141</v>
      </c>
      <c r="Q94" s="328">
        <f>OPEX!AC92</f>
        <v>2.0397569838342768</v>
      </c>
      <c r="R94" s="785"/>
      <c r="S94" s="785"/>
      <c r="T94" s="785"/>
      <c r="U94" s="785"/>
      <c r="V94" s="785"/>
      <c r="W94" s="785"/>
      <c r="X94" s="785"/>
      <c r="Y94" s="330"/>
    </row>
    <row r="95" spans="1:25" x14ac:dyDescent="0.35">
      <c r="B95" s="327" t="s">
        <v>18</v>
      </c>
      <c r="C95" s="328"/>
      <c r="D95" s="328"/>
      <c r="E95" s="328" t="e">
        <f t="shared" ref="E95:L95" si="122">E93-E94</f>
        <v>#REF!</v>
      </c>
      <c r="F95" s="328"/>
      <c r="G95" s="328"/>
      <c r="H95" s="328">
        <f t="shared" si="122"/>
        <v>0</v>
      </c>
      <c r="I95" s="328">
        <f t="shared" si="122"/>
        <v>0</v>
      </c>
      <c r="J95" s="328">
        <f t="shared" si="122"/>
        <v>0</v>
      </c>
      <c r="K95" s="328">
        <f t="shared" si="122"/>
        <v>0</v>
      </c>
      <c r="L95" s="328">
        <f t="shared" si="122"/>
        <v>0</v>
      </c>
      <c r="M95" s="328">
        <f t="shared" ref="M95:N95" si="123">M93-M94</f>
        <v>2.7294977180631523</v>
      </c>
      <c r="N95" s="328">
        <f t="shared" si="123"/>
        <v>9.498228103332071</v>
      </c>
      <c r="O95" s="328">
        <f t="shared" ref="O95:P95" si="124">O93-O94</f>
        <v>15.395553604311688</v>
      </c>
      <c r="P95" s="328">
        <f t="shared" si="124"/>
        <v>20.571373788749394</v>
      </c>
      <c r="Q95" s="328">
        <f t="shared" ref="Q95" si="125">Q93-Q94</f>
        <v>25.157002800622763</v>
      </c>
      <c r="R95" s="785"/>
      <c r="S95" s="785"/>
      <c r="T95" s="785"/>
      <c r="U95" s="785"/>
      <c r="V95" s="785"/>
      <c r="W95" s="785"/>
      <c r="X95" s="785"/>
      <c r="Y95" s="330"/>
    </row>
    <row r="96" spans="1:25" x14ac:dyDescent="0.35">
      <c r="B96" s="327" t="s">
        <v>130</v>
      </c>
      <c r="C96" s="331"/>
      <c r="D96" s="331"/>
      <c r="E96" s="331" t="e">
        <f>OPEX!#REF!</f>
        <v>#REF!</v>
      </c>
      <c r="F96" s="331"/>
      <c r="G96" s="331"/>
      <c r="H96" s="331">
        <f>OPEX!T63</f>
        <v>0</v>
      </c>
      <c r="I96" s="331">
        <f>OPEX!U63</f>
        <v>0</v>
      </c>
      <c r="J96" s="331">
        <f>OPEX!V63</f>
        <v>0</v>
      </c>
      <c r="K96" s="331">
        <f>OPEX!W63</f>
        <v>0</v>
      </c>
      <c r="L96" s="331">
        <f>OPEX!X63</f>
        <v>0</v>
      </c>
      <c r="M96" s="331">
        <f>OPEX!Y63</f>
        <v>0</v>
      </c>
      <c r="N96" s="331">
        <f>OPEX!Z63</f>
        <v>0</v>
      </c>
      <c r="O96" s="331">
        <f>OPEX!AA63</f>
        <v>0</v>
      </c>
      <c r="P96" s="331">
        <f>OPEX!AB63</f>
        <v>0</v>
      </c>
      <c r="Q96" s="331">
        <f>OPEX!AC63</f>
        <v>0</v>
      </c>
      <c r="R96" s="785"/>
      <c r="S96" s="785"/>
      <c r="T96" s="785"/>
      <c r="U96" s="785"/>
      <c r="V96" s="785"/>
      <c r="W96" s="785"/>
      <c r="X96" s="785"/>
      <c r="Y96" s="333"/>
    </row>
    <row r="97" spans="2:25" x14ac:dyDescent="0.35">
      <c r="B97" s="334" t="s">
        <v>20</v>
      </c>
      <c r="C97" s="335"/>
      <c r="D97" s="335"/>
      <c r="E97" s="335" t="e">
        <f>OPEX!#REF!</f>
        <v>#REF!</v>
      </c>
      <c r="F97" s="335"/>
      <c r="G97" s="335"/>
      <c r="H97" s="335">
        <f>OPEX!T24</f>
        <v>6.8999999999999986</v>
      </c>
      <c r="I97" s="335">
        <f>OPEX!U24</f>
        <v>7.1070000000000029</v>
      </c>
      <c r="J97" s="335">
        <f>OPEX!V24</f>
        <v>8.5000000000000036</v>
      </c>
      <c r="K97" s="335">
        <f>OPEX!W24</f>
        <v>16.249999999999996</v>
      </c>
      <c r="L97" s="335">
        <f>OPEX!X24</f>
        <v>12.499999999999996</v>
      </c>
      <c r="M97" s="335">
        <f>OPEX!Y24</f>
        <v>9.9999999999999982</v>
      </c>
      <c r="N97" s="335">
        <f>OPEX!Z24</f>
        <v>9.9999999999999982</v>
      </c>
      <c r="O97" s="335">
        <f>OPEX!AA24</f>
        <v>9.9999999999999982</v>
      </c>
      <c r="P97" s="335">
        <f>OPEX!AB24</f>
        <v>9.9999999999999982</v>
      </c>
      <c r="Q97" s="335">
        <f>OPEX!AC24</f>
        <v>9.9999999999999982</v>
      </c>
      <c r="R97" s="785"/>
      <c r="S97" s="785"/>
      <c r="T97" s="785"/>
      <c r="U97" s="785"/>
      <c r="V97" s="785"/>
      <c r="W97" s="785"/>
      <c r="X97" s="785"/>
      <c r="Y97" s="333"/>
    </row>
    <row r="98" spans="2:25" x14ac:dyDescent="0.35">
      <c r="B98" s="323" t="s">
        <v>22</v>
      </c>
      <c r="C98" s="336"/>
      <c r="D98" s="336"/>
      <c r="E98" s="336" t="e">
        <f t="shared" ref="E98:L98" si="126">E93-E94-E96-E97</f>
        <v>#REF!</v>
      </c>
      <c r="F98" s="336"/>
      <c r="G98" s="336"/>
      <c r="H98" s="336">
        <f t="shared" si="126"/>
        <v>-6.8999999999999986</v>
      </c>
      <c r="I98" s="336">
        <f t="shared" si="126"/>
        <v>-7.1070000000000029</v>
      </c>
      <c r="J98" s="336">
        <f t="shared" si="126"/>
        <v>-8.5000000000000036</v>
      </c>
      <c r="K98" s="336">
        <f t="shared" si="126"/>
        <v>-16.249999999999996</v>
      </c>
      <c r="L98" s="336">
        <f t="shared" si="126"/>
        <v>-12.499999999999996</v>
      </c>
      <c r="M98" s="336">
        <f t="shared" ref="M98:N98" si="127">M93-M94-M96-M97</f>
        <v>-7.2705022819368459</v>
      </c>
      <c r="N98" s="336">
        <f t="shared" si="127"/>
        <v>-0.50177189666792721</v>
      </c>
      <c r="O98" s="336">
        <f t="shared" ref="O98:P98" si="128">O93-O94-O96-O97</f>
        <v>5.3955536043116901</v>
      </c>
      <c r="P98" s="336">
        <f t="shared" si="128"/>
        <v>10.571373788749396</v>
      </c>
      <c r="Q98" s="336">
        <f t="shared" ref="Q98" si="129">Q93-Q94-Q96-Q97</f>
        <v>15.157002800622765</v>
      </c>
      <c r="R98" s="785"/>
      <c r="S98" s="785"/>
      <c r="T98" s="785"/>
      <c r="U98" s="785"/>
      <c r="V98" s="785"/>
      <c r="W98" s="785"/>
      <c r="X98" s="785"/>
      <c r="Y98" s="333"/>
    </row>
    <row r="99" spans="2:25" x14ac:dyDescent="0.35">
      <c r="B99" s="338" t="s">
        <v>25</v>
      </c>
      <c r="C99" s="335"/>
      <c r="D99" s="335"/>
      <c r="E99" s="335" t="e">
        <f>E98*IS!Z33</f>
        <v>#REF!</v>
      </c>
      <c r="F99" s="335"/>
      <c r="G99" s="335"/>
      <c r="H99" s="335">
        <f>H98*IS!AJ33</f>
        <v>0</v>
      </c>
      <c r="I99" s="335">
        <f>I98*IS!AK33</f>
        <v>0</v>
      </c>
      <c r="J99" s="335">
        <f>J98*IS!AL33</f>
        <v>0</v>
      </c>
      <c r="K99" s="335">
        <f>K98*IS!AM33</f>
        <v>0</v>
      </c>
      <c r="L99" s="335">
        <f>L98*IS!AN33</f>
        <v>0</v>
      </c>
      <c r="M99" s="335">
        <f>M98*IS!AO33</f>
        <v>0</v>
      </c>
      <c r="N99" s="335">
        <f>N98*IS!AP33</f>
        <v>-2.5088594833396361E-2</v>
      </c>
      <c r="O99" s="335">
        <f>O98*IS!AQ33</f>
        <v>0.53955536043116903</v>
      </c>
      <c r="P99" s="335">
        <f>P98*IS!AR33</f>
        <v>2.2199884956373732</v>
      </c>
      <c r="Q99" s="335">
        <f>Q98*IS!AS33</f>
        <v>3.1829705881307806</v>
      </c>
      <c r="R99" s="785"/>
      <c r="S99" s="785"/>
      <c r="T99" s="785"/>
      <c r="U99" s="785"/>
      <c r="V99" s="785"/>
      <c r="W99" s="785"/>
      <c r="X99" s="785"/>
      <c r="Y99" s="333"/>
    </row>
    <row r="100" spans="2:25" x14ac:dyDescent="0.35">
      <c r="B100" s="323" t="s">
        <v>131</v>
      </c>
      <c r="C100" s="339"/>
      <c r="D100" s="339"/>
      <c r="E100" s="339" t="e">
        <f t="shared" ref="E100:L100" si="130">E98-E99</f>
        <v>#REF!</v>
      </c>
      <c r="F100" s="339"/>
      <c r="G100" s="339"/>
      <c r="H100" s="339">
        <f t="shared" si="130"/>
        <v>-6.8999999999999986</v>
      </c>
      <c r="I100" s="339">
        <f t="shared" si="130"/>
        <v>-7.1070000000000029</v>
      </c>
      <c r="J100" s="339">
        <f>J98-J99</f>
        <v>-8.5000000000000036</v>
      </c>
      <c r="K100" s="339">
        <f t="shared" si="130"/>
        <v>-16.249999999999996</v>
      </c>
      <c r="L100" s="339">
        <f t="shared" si="130"/>
        <v>-12.499999999999996</v>
      </c>
      <c r="M100" s="339">
        <f t="shared" ref="M100:N100" si="131">M98-M99</f>
        <v>-7.2705022819368459</v>
      </c>
      <c r="N100" s="339">
        <f t="shared" si="131"/>
        <v>-0.47668330183453084</v>
      </c>
      <c r="O100" s="339">
        <f t="shared" ref="O100:P100" si="132">O98-O99</f>
        <v>4.8559982438805207</v>
      </c>
      <c r="P100" s="339">
        <f t="shared" si="132"/>
        <v>8.3513852931120223</v>
      </c>
      <c r="Q100" s="339">
        <f t="shared" ref="Q100" si="133">Q98-Q99</f>
        <v>11.974032212491984</v>
      </c>
      <c r="R100" s="788"/>
      <c r="S100" s="788"/>
      <c r="T100" s="788"/>
      <c r="U100" s="788"/>
      <c r="V100" s="788"/>
      <c r="W100" s="788"/>
      <c r="X100" s="788"/>
      <c r="Y100" s="341"/>
    </row>
    <row r="101" spans="2:25" x14ac:dyDescent="0.35">
      <c r="B101" s="342" t="s">
        <v>132</v>
      </c>
      <c r="C101" s="377"/>
      <c r="D101" s="377"/>
      <c r="E101" s="377" t="e">
        <f t="shared" ref="E101:L101" si="134">E180</f>
        <v>#REF!</v>
      </c>
      <c r="F101" s="377"/>
      <c r="G101" s="377"/>
      <c r="H101" s="377">
        <f t="shared" si="134"/>
        <v>0.26229999999999992</v>
      </c>
      <c r="I101" s="377">
        <f t="shared" si="134"/>
        <v>0.29120000000000007</v>
      </c>
      <c r="J101" s="377">
        <f t="shared" si="134"/>
        <v>0.23382432714135276</v>
      </c>
      <c r="K101" s="377">
        <f t="shared" si="134"/>
        <v>0.27215736828055176</v>
      </c>
      <c r="L101" s="377">
        <f t="shared" si="134"/>
        <v>-8.7969712514289053</v>
      </c>
      <c r="M101" s="377">
        <f t="shared" ref="M101:N101" si="135">M180</f>
        <v>0.32435945167469094</v>
      </c>
      <c r="N101" s="377">
        <f t="shared" si="135"/>
        <v>6.4987225061963758E-3</v>
      </c>
      <c r="O101" s="377">
        <f t="shared" ref="O101:P101" si="136">O180</f>
        <v>-4.0517060306693282E-2</v>
      </c>
      <c r="P101" s="377">
        <f t="shared" si="136"/>
        <v>-5.2021067408368503E-2</v>
      </c>
      <c r="Q101" s="377">
        <f t="shared" ref="Q101" si="137">Q180</f>
        <v>-5.3459363969298589E-2</v>
      </c>
      <c r="R101" s="786"/>
      <c r="S101" s="786"/>
      <c r="T101" s="786"/>
      <c r="U101" s="786"/>
      <c r="V101" s="786"/>
      <c r="W101" s="786"/>
      <c r="X101" s="786"/>
      <c r="Y101" s="344"/>
    </row>
    <row r="102" spans="2:25" x14ac:dyDescent="0.35">
      <c r="B102" s="345" t="s">
        <v>133</v>
      </c>
      <c r="C102" s="377"/>
      <c r="D102" s="377"/>
      <c r="E102" s="377" t="e">
        <f>E100+E101</f>
        <v>#REF!</v>
      </c>
      <c r="F102" s="377"/>
      <c r="G102" s="377"/>
      <c r="H102" s="377">
        <f t="shared" ref="H102:L102" si="138">H100+H101</f>
        <v>-6.6376999999999988</v>
      </c>
      <c r="I102" s="377">
        <f t="shared" si="138"/>
        <v>-6.815800000000003</v>
      </c>
      <c r="J102" s="377">
        <f t="shared" si="138"/>
        <v>-8.2661756728586511</v>
      </c>
      <c r="K102" s="377">
        <f t="shared" si="138"/>
        <v>-15.977842631719446</v>
      </c>
      <c r="L102" s="377">
        <f t="shared" si="138"/>
        <v>-21.2969712514289</v>
      </c>
      <c r="M102" s="377">
        <f t="shared" ref="M102:N102" si="139">M100+M101</f>
        <v>-6.9461428302621551</v>
      </c>
      <c r="N102" s="377">
        <f t="shared" si="139"/>
        <v>-0.47018457932833446</v>
      </c>
      <c r="O102" s="377">
        <f t="shared" ref="O102:P102" si="140">O100+O101</f>
        <v>4.8154811835738274</v>
      </c>
      <c r="P102" s="377">
        <f t="shared" si="140"/>
        <v>8.2993642257036537</v>
      </c>
      <c r="Q102" s="377">
        <f t="shared" ref="Q102" si="141">Q100+Q101</f>
        <v>11.920572848522685</v>
      </c>
      <c r="R102" s="377">
        <f t="shared" ref="R102" si="142">Q102*(1+R103)</f>
        <v>12.158984305493139</v>
      </c>
      <c r="S102" s="377">
        <f t="shared" ref="S102" si="143">R102*(1+S103)</f>
        <v>12.402163991603002</v>
      </c>
      <c r="T102" s="377">
        <f t="shared" ref="T102" si="144">S102*(1+T103)</f>
        <v>12.650207271435063</v>
      </c>
      <c r="U102" s="377">
        <f t="shared" ref="U102" si="145">T102*(1+U103)</f>
        <v>12.903211416863764</v>
      </c>
      <c r="V102" s="377">
        <f t="shared" ref="V102" si="146">U102*(1+V103)</f>
        <v>13.161275645201039</v>
      </c>
      <c r="W102" s="377">
        <f t="shared" ref="W102" si="147">V102*(1+W103)</f>
        <v>13.424501158105061</v>
      </c>
      <c r="X102" s="377">
        <f t="shared" ref="X102" si="148">W102*(1+X103)</f>
        <v>13.692991181267162</v>
      </c>
      <c r="Y102" s="346">
        <f>(X102*(1+Y103))/($G$29-Y103)</f>
        <v>109.5439294501373</v>
      </c>
    </row>
    <row r="103" spans="2:25" x14ac:dyDescent="0.35">
      <c r="B103" s="347" t="s">
        <v>134</v>
      </c>
      <c r="C103" s="378"/>
      <c r="D103" s="349"/>
      <c r="E103" s="349">
        <f t="shared" ref="E103:Q103" si="149">IFERROR(E102/D102-1,0)</f>
        <v>0</v>
      </c>
      <c r="F103" s="349"/>
      <c r="G103" s="349"/>
      <c r="H103" s="349">
        <f t="shared" si="149"/>
        <v>0</v>
      </c>
      <c r="I103" s="349">
        <f t="shared" si="149"/>
        <v>2.6831583229131262E-2</v>
      </c>
      <c r="J103" s="349">
        <f t="shared" si="149"/>
        <v>0.21279610212427702</v>
      </c>
      <c r="K103" s="349">
        <f t="shared" si="149"/>
        <v>0.93291834870887835</v>
      </c>
      <c r="L103" s="349">
        <f t="shared" si="149"/>
        <v>0.33290655955953929</v>
      </c>
      <c r="M103" s="349">
        <f t="shared" si="149"/>
        <v>-0.67384363023938865</v>
      </c>
      <c r="N103" s="349">
        <f t="shared" si="149"/>
        <v>-0.9323099753607299</v>
      </c>
      <c r="O103" s="349">
        <f t="shared" si="149"/>
        <v>-11.241682512116439</v>
      </c>
      <c r="P103" s="349">
        <f t="shared" si="149"/>
        <v>0.72347557997189593</v>
      </c>
      <c r="Q103" s="349">
        <f t="shared" si="149"/>
        <v>0.43632361760963811</v>
      </c>
      <c r="R103" s="944">
        <v>0.02</v>
      </c>
      <c r="S103" s="944">
        <f>R103</f>
        <v>0.02</v>
      </c>
      <c r="T103" s="944">
        <f t="shared" ref="T103:X103" si="150">S103</f>
        <v>0.02</v>
      </c>
      <c r="U103" s="944">
        <f t="shared" si="150"/>
        <v>0.02</v>
      </c>
      <c r="V103" s="944">
        <f t="shared" si="150"/>
        <v>0.02</v>
      </c>
      <c r="W103" s="944">
        <f t="shared" si="150"/>
        <v>0.02</v>
      </c>
      <c r="X103" s="944">
        <f t="shared" si="150"/>
        <v>0.02</v>
      </c>
      <c r="Y103" s="710">
        <v>0</v>
      </c>
    </row>
    <row r="104" spans="2:25" x14ac:dyDescent="0.35">
      <c r="B104" s="351" t="s">
        <v>135</v>
      </c>
      <c r="C104" s="353"/>
      <c r="D104" s="353"/>
      <c r="E104" s="353" t="e">
        <f>E102/((1+$G$29)^(E92-$G$30+1))</f>
        <v>#REF!</v>
      </c>
      <c r="F104" s="353"/>
      <c r="G104" s="353"/>
      <c r="H104" s="353">
        <f t="shared" ref="H104:X104" si="151">H102/((1+$G$29)^(H92-$G$30+1))</f>
        <v>-5.9001777777777766</v>
      </c>
      <c r="I104" s="353">
        <f t="shared" si="151"/>
        <v>-5.3853234567901254</v>
      </c>
      <c r="J104" s="353">
        <f t="shared" si="151"/>
        <v>-5.8055993751764463</v>
      </c>
      <c r="K104" s="353">
        <f t="shared" si="151"/>
        <v>-9.9748884955834249</v>
      </c>
      <c r="L104" s="353">
        <f t="shared" si="151"/>
        <v>-11.818306050345004</v>
      </c>
      <c r="M104" s="353">
        <f t="shared" si="151"/>
        <v>-3.426325153867019</v>
      </c>
      <c r="N104" s="353">
        <f t="shared" si="151"/>
        <v>-0.20615825252214165</v>
      </c>
      <c r="O104" s="353">
        <f t="shared" si="151"/>
        <v>1.8768065507417802</v>
      </c>
      <c r="P104" s="353">
        <f t="shared" si="151"/>
        <v>2.8752268964753269</v>
      </c>
      <c r="Q104" s="353">
        <f t="shared" si="151"/>
        <v>3.6708944865724216</v>
      </c>
      <c r="R104" s="353">
        <f t="shared" si="151"/>
        <v>3.3282776678256623</v>
      </c>
      <c r="S104" s="353">
        <f t="shared" si="151"/>
        <v>3.0176384188286005</v>
      </c>
      <c r="T104" s="353">
        <f t="shared" si="151"/>
        <v>2.7359921664045981</v>
      </c>
      <c r="U104" s="353">
        <f t="shared" si="151"/>
        <v>2.4806328975401688</v>
      </c>
      <c r="V104" s="353">
        <f t="shared" si="151"/>
        <v>2.2491071604364197</v>
      </c>
      <c r="W104" s="353">
        <f t="shared" si="151"/>
        <v>2.0391904921290207</v>
      </c>
      <c r="X104" s="353">
        <f t="shared" si="151"/>
        <v>1.8488660461969788</v>
      </c>
      <c r="Y104" s="353">
        <f>Y102/((1+$G$29)^(X92-$G$30+1+1))</f>
        <v>13.147491884067403</v>
      </c>
    </row>
    <row r="105" spans="2:25" x14ac:dyDescent="0.35"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</row>
    <row r="106" spans="2:25" x14ac:dyDescent="0.35">
      <c r="B106" s="354" t="s">
        <v>29</v>
      </c>
      <c r="C106" s="355"/>
      <c r="D106" s="355"/>
      <c r="E106" s="355">
        <v>1</v>
      </c>
      <c r="F106" s="355"/>
      <c r="G106" s="355"/>
      <c r="H106" s="355">
        <v>1</v>
      </c>
      <c r="I106" s="355">
        <v>1</v>
      </c>
      <c r="J106" s="355">
        <v>1</v>
      </c>
      <c r="K106" s="355">
        <v>1</v>
      </c>
      <c r="L106" s="355">
        <v>1</v>
      </c>
      <c r="M106" s="102"/>
    </row>
    <row r="107" spans="2:25" x14ac:dyDescent="0.35">
      <c r="B107" s="357" t="s">
        <v>17</v>
      </c>
      <c r="C107" s="358"/>
      <c r="D107" s="358"/>
      <c r="E107" s="358" t="str">
        <f t="shared" ref="E107" si="152">IFERROR(E94/E93,"NM")</f>
        <v>NM</v>
      </c>
      <c r="F107" s="358"/>
      <c r="G107" s="359"/>
      <c r="H107" s="359" t="e">
        <f t="shared" ref="H107:L107" si="153">H94/H93</f>
        <v>#DIV/0!</v>
      </c>
      <c r="I107" s="359" t="e">
        <f t="shared" si="153"/>
        <v>#DIV/0!</v>
      </c>
      <c r="J107" s="359" t="e">
        <f t="shared" si="153"/>
        <v>#DIV/0!</v>
      </c>
      <c r="K107" s="359" t="e">
        <f t="shared" si="153"/>
        <v>#DIV/0!</v>
      </c>
      <c r="L107" s="359" t="e">
        <f t="shared" si="153"/>
        <v>#DIV/0!</v>
      </c>
      <c r="M107" s="102"/>
    </row>
    <row r="108" spans="2:25" x14ac:dyDescent="0.35">
      <c r="B108" s="357" t="s">
        <v>30</v>
      </c>
      <c r="C108" s="361"/>
      <c r="D108" s="361"/>
      <c r="E108" s="361" t="str">
        <f t="shared" ref="E108" si="154">IFERROR(E106-E107,"NM")</f>
        <v>NM</v>
      </c>
      <c r="F108" s="361"/>
      <c r="G108" s="362"/>
      <c r="H108" s="362" t="e">
        <f t="shared" ref="H108:L108" si="155">H106-H107</f>
        <v>#DIV/0!</v>
      </c>
      <c r="I108" s="362" t="e">
        <f t="shared" si="155"/>
        <v>#DIV/0!</v>
      </c>
      <c r="J108" s="362" t="e">
        <f t="shared" si="155"/>
        <v>#DIV/0!</v>
      </c>
      <c r="K108" s="362" t="e">
        <f t="shared" si="155"/>
        <v>#DIV/0!</v>
      </c>
      <c r="L108" s="362" t="e">
        <f t="shared" si="155"/>
        <v>#DIV/0!</v>
      </c>
      <c r="M108" s="102"/>
    </row>
    <row r="109" spans="2:25" x14ac:dyDescent="0.35">
      <c r="B109" s="365" t="s">
        <v>130</v>
      </c>
      <c r="C109" s="366"/>
      <c r="D109" s="366"/>
      <c r="E109" s="366" t="str">
        <f t="shared" ref="E109" si="156">IFERROR(E96/E93,"NM")</f>
        <v>NM</v>
      </c>
      <c r="F109" s="366"/>
      <c r="G109" s="367"/>
      <c r="H109" s="367" t="e">
        <f t="shared" ref="H109:L109" si="157">H96/H93</f>
        <v>#DIV/0!</v>
      </c>
      <c r="I109" s="367" t="e">
        <f t="shared" si="157"/>
        <v>#DIV/0!</v>
      </c>
      <c r="J109" s="367" t="e">
        <f t="shared" si="157"/>
        <v>#DIV/0!</v>
      </c>
      <c r="K109" s="367" t="e">
        <f t="shared" si="157"/>
        <v>#DIV/0!</v>
      </c>
      <c r="L109" s="367" t="e">
        <f t="shared" si="157"/>
        <v>#DIV/0!</v>
      </c>
      <c r="M109" s="102"/>
    </row>
    <row r="110" spans="2:25" x14ac:dyDescent="0.35">
      <c r="B110" s="365" t="s">
        <v>20</v>
      </c>
      <c r="C110" s="366"/>
      <c r="D110" s="366"/>
      <c r="E110" s="366" t="str">
        <f t="shared" ref="E110" si="158">IFERROR(E97/E93,"NM")</f>
        <v>NM</v>
      </c>
      <c r="F110" s="366"/>
      <c r="G110" s="367"/>
      <c r="H110" s="367" t="e">
        <f t="shared" ref="H110:L110" si="159">H97/H93</f>
        <v>#DIV/0!</v>
      </c>
      <c r="I110" s="367" t="e">
        <f t="shared" si="159"/>
        <v>#DIV/0!</v>
      </c>
      <c r="J110" s="367" t="e">
        <f t="shared" si="159"/>
        <v>#DIV/0!</v>
      </c>
      <c r="K110" s="367" t="e">
        <f t="shared" si="159"/>
        <v>#DIV/0!</v>
      </c>
      <c r="L110" s="367" t="e">
        <f t="shared" si="159"/>
        <v>#DIV/0!</v>
      </c>
      <c r="M110" s="102"/>
    </row>
    <row r="111" spans="2:25" x14ac:dyDescent="0.35">
      <c r="B111" s="370" t="s">
        <v>31</v>
      </c>
      <c r="C111" s="371"/>
      <c r="D111" s="371"/>
      <c r="E111" s="371" t="str">
        <f t="shared" ref="E111" si="160">IFERROR(E98/E93,"NM")</f>
        <v>NM</v>
      </c>
      <c r="F111" s="371"/>
      <c r="G111" s="372"/>
      <c r="H111" s="372" t="e">
        <f t="shared" ref="H111:L111" si="161">H98/H93</f>
        <v>#DIV/0!</v>
      </c>
      <c r="I111" s="372" t="e">
        <f t="shared" si="161"/>
        <v>#DIV/0!</v>
      </c>
      <c r="J111" s="372" t="e">
        <f t="shared" si="161"/>
        <v>#DIV/0!</v>
      </c>
      <c r="K111" s="372" t="e">
        <f t="shared" si="161"/>
        <v>#DIV/0!</v>
      </c>
      <c r="L111" s="372" t="e">
        <f t="shared" si="161"/>
        <v>#DIV/0!</v>
      </c>
      <c r="M111" s="369"/>
    </row>
    <row r="112" spans="2:25" ht="15" thickBot="1" x14ac:dyDescent="0.4"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</row>
    <row r="113" spans="1:26" x14ac:dyDescent="0.35">
      <c r="B113" s="114" t="s">
        <v>113</v>
      </c>
      <c r="G113" s="373">
        <f>SUM(H104:X104)</f>
        <v>-16.394145778910957</v>
      </c>
      <c r="H113" s="102"/>
      <c r="I113" s="267"/>
      <c r="J113" s="102"/>
      <c r="K113" s="101"/>
      <c r="L113" s="101"/>
      <c r="M113" s="101"/>
      <c r="N113" s="101"/>
    </row>
    <row r="114" spans="1:26" x14ac:dyDescent="0.35">
      <c r="B114" s="117" t="s">
        <v>136</v>
      </c>
      <c r="G114" s="169">
        <f>Y104</f>
        <v>13.147491884067403</v>
      </c>
      <c r="H114" s="102"/>
      <c r="I114" s="374"/>
      <c r="J114" s="102"/>
      <c r="K114" s="101"/>
      <c r="L114" s="101"/>
      <c r="M114" s="101"/>
      <c r="N114" s="101"/>
    </row>
    <row r="115" spans="1:26" ht="15" thickBot="1" x14ac:dyDescent="0.4">
      <c r="B115" s="117" t="s">
        <v>137</v>
      </c>
      <c r="G115" s="169">
        <f>G114+G113</f>
        <v>-3.2466538948435542</v>
      </c>
      <c r="H115" s="102"/>
      <c r="I115" s="293"/>
      <c r="J115" s="102"/>
      <c r="K115" s="101"/>
      <c r="L115" s="101"/>
      <c r="M115" s="101"/>
      <c r="N115" s="101"/>
    </row>
    <row r="116" spans="1:26" ht="15" thickBot="1" x14ac:dyDescent="0.4">
      <c r="B116" s="270" t="s">
        <v>138</v>
      </c>
      <c r="G116" s="375">
        <f>G115/$G$33</f>
        <v>-6.9597536830090706E-2</v>
      </c>
      <c r="H116" s="101"/>
      <c r="I116" s="101"/>
      <c r="J116" s="101"/>
      <c r="K116" s="101"/>
      <c r="L116" s="101"/>
      <c r="M116" s="101"/>
      <c r="N116" s="101"/>
    </row>
    <row r="117" spans="1:26" x14ac:dyDescent="0.35">
      <c r="B117" s="101"/>
      <c r="C117" s="318"/>
      <c r="D117" s="101"/>
      <c r="E117" s="319"/>
      <c r="F117" s="101"/>
      <c r="G117" s="101"/>
      <c r="H117" s="101"/>
      <c r="I117" s="101"/>
      <c r="J117" s="101"/>
      <c r="K117" s="101"/>
      <c r="L117" s="101"/>
      <c r="M117" s="101"/>
    </row>
    <row r="118" spans="1:26" hidden="1" x14ac:dyDescent="0.35">
      <c r="B118" s="295"/>
      <c r="C118" s="296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</row>
    <row r="119" spans="1:26" s="382" customFormat="1" hidden="1" x14ac:dyDescent="0.35">
      <c r="A119" s="379">
        <v>5</v>
      </c>
      <c r="B119" s="383" t="s">
        <v>76</v>
      </c>
      <c r="C119" s="321">
        <v>2021</v>
      </c>
      <c r="D119" s="321">
        <f>C119+1</f>
        <v>2022</v>
      </c>
      <c r="E119" s="321">
        <f t="shared" ref="E119:L119" si="162">D119+1</f>
        <v>2023</v>
      </c>
      <c r="F119" s="321">
        <f t="shared" si="162"/>
        <v>2024</v>
      </c>
      <c r="G119" s="321">
        <f t="shared" si="162"/>
        <v>2025</v>
      </c>
      <c r="H119" s="321">
        <f t="shared" si="162"/>
        <v>2026</v>
      </c>
      <c r="I119" s="321">
        <f t="shared" si="162"/>
        <v>2027</v>
      </c>
      <c r="J119" s="321">
        <f t="shared" si="162"/>
        <v>2028</v>
      </c>
      <c r="K119" s="321">
        <f t="shared" si="162"/>
        <v>2029</v>
      </c>
      <c r="L119" s="321">
        <f t="shared" si="162"/>
        <v>2030</v>
      </c>
      <c r="M119" s="321">
        <f t="shared" ref="M119" si="163">L119+1</f>
        <v>2031</v>
      </c>
      <c r="N119" s="321">
        <f t="shared" ref="N119" si="164">M119+1</f>
        <v>2032</v>
      </c>
      <c r="O119" s="321">
        <f t="shared" ref="O119" si="165">N119+1</f>
        <v>2033</v>
      </c>
      <c r="P119" s="321">
        <f t="shared" ref="P119" si="166">O119+1</f>
        <v>2034</v>
      </c>
      <c r="Q119" s="321">
        <f t="shared" ref="Q119" si="167">P119+1</f>
        <v>2035</v>
      </c>
      <c r="R119" s="321">
        <f t="shared" ref="R119" si="168">Q119+1</f>
        <v>2036</v>
      </c>
      <c r="S119" s="321">
        <f t="shared" ref="S119" si="169">R119+1</f>
        <v>2037</v>
      </c>
      <c r="T119" s="321">
        <f t="shared" ref="T119" si="170">S119+1</f>
        <v>2038</v>
      </c>
      <c r="U119" s="321">
        <f t="shared" ref="U119" si="171">T119+1</f>
        <v>2039</v>
      </c>
      <c r="V119" s="321">
        <f t="shared" ref="V119" si="172">U119+1</f>
        <v>2040</v>
      </c>
      <c r="W119" s="321">
        <f t="shared" ref="W119" si="173">V119+1</f>
        <v>2041</v>
      </c>
      <c r="X119" s="321">
        <f t="shared" ref="X119" si="174">W119+1</f>
        <v>2042</v>
      </c>
      <c r="Y119" s="321">
        <f t="shared" ref="Y119" si="175">X119+1</f>
        <v>2043</v>
      </c>
      <c r="Z119" s="321" t="s">
        <v>129</v>
      </c>
    </row>
    <row r="120" spans="1:26" s="382" customFormat="1" hidden="1" x14ac:dyDescent="0.35">
      <c r="A120" s="379"/>
      <c r="B120" s="384" t="s">
        <v>139</v>
      </c>
      <c r="C120" s="385"/>
      <c r="D120" s="693"/>
      <c r="E120" s="693">
        <f>REVENUE!Z34</f>
        <v>0</v>
      </c>
      <c r="F120" s="693"/>
      <c r="G120" s="693"/>
      <c r="H120" s="693">
        <f>REVENUE!AN34</f>
        <v>0</v>
      </c>
      <c r="I120" s="693">
        <f>REVENUE!AO34</f>
        <v>0</v>
      </c>
      <c r="J120" s="693">
        <f>REVENUE!AP34</f>
        <v>0</v>
      </c>
      <c r="K120" s="693">
        <f>REVENUE!AQ34</f>
        <v>0</v>
      </c>
      <c r="L120" s="693">
        <f>REVENUE!AR34</f>
        <v>0</v>
      </c>
      <c r="M120" s="693">
        <f>REVENUE!AS34</f>
        <v>0</v>
      </c>
      <c r="N120" s="693">
        <f>REVENUE!AT34</f>
        <v>0</v>
      </c>
      <c r="O120" s="693">
        <f>REVENUE!AU34</f>
        <v>0</v>
      </c>
      <c r="P120" s="693">
        <f>REVENUE!AV34</f>
        <v>0</v>
      </c>
      <c r="Q120" s="693">
        <f>REVENUE!AW34</f>
        <v>0</v>
      </c>
      <c r="Z120" s="693"/>
    </row>
    <row r="121" spans="1:26" s="382" customFormat="1" hidden="1" x14ac:dyDescent="0.35">
      <c r="A121" s="379"/>
      <c r="B121" s="386" t="s">
        <v>25</v>
      </c>
      <c r="C121" s="387"/>
      <c r="D121" s="694"/>
      <c r="E121" s="694" t="e">
        <f>E120*IS!Z33</f>
        <v>#REF!</v>
      </c>
      <c r="F121" s="694"/>
      <c r="G121" s="694"/>
      <c r="H121" s="694">
        <f>H120*IS!AJ33</f>
        <v>0</v>
      </c>
      <c r="I121" s="694">
        <f>I120*IS!AK33</f>
        <v>0</v>
      </c>
      <c r="J121" s="694">
        <f>J120*IS!AL33</f>
        <v>0</v>
      </c>
      <c r="K121" s="694">
        <f>K120*IS!AM33</f>
        <v>0</v>
      </c>
      <c r="L121" s="694">
        <f>L120*IS!AN33</f>
        <v>0</v>
      </c>
      <c r="M121" s="694">
        <f>M120*IS!AO33</f>
        <v>0</v>
      </c>
      <c r="N121" s="694">
        <f>N120*IS!AP33</f>
        <v>0</v>
      </c>
      <c r="O121" s="694">
        <f>O120*IS!AQ33</f>
        <v>0</v>
      </c>
      <c r="P121" s="694">
        <f>P120*IS!AR33</f>
        <v>0</v>
      </c>
      <c r="Q121" s="694">
        <f>Q120*IS!AS33</f>
        <v>0</v>
      </c>
      <c r="Z121" s="694"/>
    </row>
    <row r="122" spans="1:26" s="382" customFormat="1" hidden="1" x14ac:dyDescent="0.35">
      <c r="A122" s="379"/>
      <c r="B122" s="386" t="s">
        <v>140</v>
      </c>
      <c r="C122" s="387"/>
      <c r="D122" s="694"/>
      <c r="E122" s="694" t="e">
        <f t="shared" ref="E122:L122" si="176">E120-E121</f>
        <v>#REF!</v>
      </c>
      <c r="F122" s="694"/>
      <c r="G122" s="694"/>
      <c r="H122" s="694">
        <f t="shared" si="176"/>
        <v>0</v>
      </c>
      <c r="I122" s="694">
        <f t="shared" si="176"/>
        <v>0</v>
      </c>
      <c r="J122" s="694">
        <f t="shared" si="176"/>
        <v>0</v>
      </c>
      <c r="K122" s="694">
        <f t="shared" si="176"/>
        <v>0</v>
      </c>
      <c r="L122" s="694">
        <f t="shared" si="176"/>
        <v>0</v>
      </c>
      <c r="M122" s="694">
        <f t="shared" ref="M122:N122" si="177">M120-M121</f>
        <v>0</v>
      </c>
      <c r="N122" s="694">
        <f t="shared" si="177"/>
        <v>0</v>
      </c>
      <c r="O122" s="694">
        <f t="shared" ref="O122:P122" si="178">O120-O121</f>
        <v>0</v>
      </c>
      <c r="P122" s="694">
        <f t="shared" si="178"/>
        <v>0</v>
      </c>
      <c r="Q122" s="694">
        <f t="shared" ref="Q122" si="179">Q120-Q121</f>
        <v>0</v>
      </c>
      <c r="Z122" s="694"/>
    </row>
    <row r="123" spans="1:26" s="382" customFormat="1" hidden="1" x14ac:dyDescent="0.35">
      <c r="A123" s="379"/>
      <c r="B123" s="388" t="s">
        <v>141</v>
      </c>
      <c r="C123" s="389"/>
      <c r="D123" s="695"/>
      <c r="E123" s="695" t="e">
        <f t="shared" ref="E123:L123" si="180">E181</f>
        <v>#REF!</v>
      </c>
      <c r="F123" s="695"/>
      <c r="G123" s="695"/>
      <c r="H123" s="695">
        <f t="shared" si="180"/>
        <v>0</v>
      </c>
      <c r="I123" s="695">
        <f t="shared" si="180"/>
        <v>0</v>
      </c>
      <c r="J123" s="695">
        <f t="shared" si="180"/>
        <v>0</v>
      </c>
      <c r="K123" s="695">
        <f t="shared" si="180"/>
        <v>0</v>
      </c>
      <c r="L123" s="695">
        <f t="shared" si="180"/>
        <v>0</v>
      </c>
      <c r="M123" s="695">
        <f t="shared" ref="M123:N123" si="181">M181</f>
        <v>0</v>
      </c>
      <c r="N123" s="695">
        <f t="shared" si="181"/>
        <v>0</v>
      </c>
      <c r="O123" s="695">
        <f t="shared" ref="O123:P123" si="182">O181</f>
        <v>0</v>
      </c>
      <c r="P123" s="695">
        <f t="shared" si="182"/>
        <v>0</v>
      </c>
      <c r="Q123" s="695">
        <f t="shared" ref="Q123" si="183">Q181</f>
        <v>0</v>
      </c>
      <c r="Z123" s="695"/>
    </row>
    <row r="124" spans="1:26" s="382" customFormat="1" hidden="1" x14ac:dyDescent="0.35">
      <c r="A124" s="379"/>
      <c r="B124" s="390" t="s">
        <v>133</v>
      </c>
      <c r="C124" s="389"/>
      <c r="D124" s="695"/>
      <c r="E124" s="695" t="e">
        <f t="shared" ref="E124:L124" si="184">E122+E123</f>
        <v>#REF!</v>
      </c>
      <c r="F124" s="695"/>
      <c r="G124" s="695"/>
      <c r="H124" s="695">
        <f t="shared" si="184"/>
        <v>0</v>
      </c>
      <c r="I124" s="695">
        <f t="shared" si="184"/>
        <v>0</v>
      </c>
      <c r="J124" s="695">
        <f t="shared" si="184"/>
        <v>0</v>
      </c>
      <c r="K124" s="695">
        <f t="shared" si="184"/>
        <v>0</v>
      </c>
      <c r="L124" s="695">
        <f t="shared" si="184"/>
        <v>0</v>
      </c>
      <c r="M124" s="695">
        <f t="shared" ref="M124:N124" si="185">M122+M123</f>
        <v>0</v>
      </c>
      <c r="N124" s="695">
        <f t="shared" si="185"/>
        <v>0</v>
      </c>
      <c r="O124" s="695">
        <f t="shared" ref="O124:P124" si="186">O122+O123</f>
        <v>0</v>
      </c>
      <c r="P124" s="695">
        <f t="shared" si="186"/>
        <v>0</v>
      </c>
      <c r="Q124" s="695">
        <f t="shared" ref="Q124" si="187">Q122+Q123</f>
        <v>0</v>
      </c>
      <c r="R124" s="790">
        <f t="shared" ref="R124" si="188">Q124*(1+R125)</f>
        <v>0</v>
      </c>
      <c r="S124" s="790">
        <f t="shared" ref="S124" si="189">R124*(1+S125)</f>
        <v>0</v>
      </c>
      <c r="T124" s="790">
        <f t="shared" ref="T124" si="190">S124*(1+T125)</f>
        <v>0</v>
      </c>
      <c r="U124" s="790">
        <f t="shared" ref="U124" si="191">T124*(1+U125)</f>
        <v>0</v>
      </c>
      <c r="V124" s="790">
        <f t="shared" ref="V124" si="192">U124*(1+V125)</f>
        <v>0</v>
      </c>
      <c r="W124" s="790">
        <f>T124*(1+W125)</f>
        <v>0</v>
      </c>
      <c r="X124" s="790">
        <f t="shared" ref="X124" si="193">W124*(1+X125)</f>
        <v>0</v>
      </c>
      <c r="Y124" s="790">
        <f t="shared" ref="Y124" si="194">X124*(1+Y125)</f>
        <v>0</v>
      </c>
      <c r="Z124" s="695">
        <f>(Y124*(1+Z125))/($G$29-Z125)</f>
        <v>0</v>
      </c>
    </row>
    <row r="125" spans="1:26" s="382" customFormat="1" hidden="1" x14ac:dyDescent="0.35">
      <c r="A125" s="379"/>
      <c r="B125" s="391" t="s">
        <v>142</v>
      </c>
      <c r="C125" s="389"/>
      <c r="D125" s="392"/>
      <c r="E125" s="392" t="e">
        <f t="shared" ref="E125:Q125" si="195">E124/D124-1</f>
        <v>#REF!</v>
      </c>
      <c r="F125" s="392"/>
      <c r="G125" s="392"/>
      <c r="H125" s="392" t="e">
        <f t="shared" si="195"/>
        <v>#DIV/0!</v>
      </c>
      <c r="I125" s="392" t="e">
        <f t="shared" si="195"/>
        <v>#DIV/0!</v>
      </c>
      <c r="J125" s="392" t="e">
        <f t="shared" si="195"/>
        <v>#DIV/0!</v>
      </c>
      <c r="K125" s="392" t="e">
        <f t="shared" si="195"/>
        <v>#DIV/0!</v>
      </c>
      <c r="L125" s="392" t="e">
        <f t="shared" si="195"/>
        <v>#DIV/0!</v>
      </c>
      <c r="M125" s="392" t="e">
        <f t="shared" si="195"/>
        <v>#DIV/0!</v>
      </c>
      <c r="N125" s="392" t="e">
        <f t="shared" si="195"/>
        <v>#DIV/0!</v>
      </c>
      <c r="O125" s="392" t="e">
        <f t="shared" si="195"/>
        <v>#DIV/0!</v>
      </c>
      <c r="P125" s="392" t="e">
        <f t="shared" si="195"/>
        <v>#DIV/0!</v>
      </c>
      <c r="Q125" s="392" t="e">
        <f t="shared" si="195"/>
        <v>#DIV/0!</v>
      </c>
      <c r="R125" s="787">
        <v>0</v>
      </c>
      <c r="S125" s="944">
        <v>0</v>
      </c>
      <c r="T125" s="944">
        <v>0</v>
      </c>
      <c r="U125" s="944">
        <v>0</v>
      </c>
      <c r="V125" s="944">
        <v>0</v>
      </c>
      <c r="W125" s="944">
        <v>0</v>
      </c>
      <c r="X125" s="944">
        <v>0</v>
      </c>
      <c r="Y125" s="944">
        <v>0</v>
      </c>
      <c r="Z125" s="393">
        <v>0</v>
      </c>
    </row>
    <row r="126" spans="1:26" s="382" customFormat="1" hidden="1" x14ac:dyDescent="0.35">
      <c r="A126" s="379"/>
      <c r="B126" s="394" t="s">
        <v>143</v>
      </c>
      <c r="C126" s="353"/>
      <c r="D126" s="353"/>
      <c r="E126" s="353" t="e">
        <f>E124/((1+$G$29)^(E119-$G$30+1))</f>
        <v>#REF!</v>
      </c>
      <c r="F126" s="353"/>
      <c r="G126" s="353"/>
      <c r="H126" s="353">
        <f t="shared" ref="H126:Y126" si="196">H124/((1+$G$29)^(H119-$G$30+1))</f>
        <v>0</v>
      </c>
      <c r="I126" s="353">
        <f t="shared" si="196"/>
        <v>0</v>
      </c>
      <c r="J126" s="353">
        <f t="shared" si="196"/>
        <v>0</v>
      </c>
      <c r="K126" s="353">
        <f t="shared" si="196"/>
        <v>0</v>
      </c>
      <c r="L126" s="353">
        <f t="shared" si="196"/>
        <v>0</v>
      </c>
      <c r="M126" s="353">
        <f t="shared" si="196"/>
        <v>0</v>
      </c>
      <c r="N126" s="353">
        <f t="shared" si="196"/>
        <v>0</v>
      </c>
      <c r="O126" s="353">
        <f t="shared" si="196"/>
        <v>0</v>
      </c>
      <c r="P126" s="353">
        <f t="shared" si="196"/>
        <v>0</v>
      </c>
      <c r="Q126" s="353">
        <f t="shared" si="196"/>
        <v>0</v>
      </c>
      <c r="R126" s="353">
        <f t="shared" si="196"/>
        <v>0</v>
      </c>
      <c r="S126" s="353">
        <f t="shared" si="196"/>
        <v>0</v>
      </c>
      <c r="T126" s="353">
        <f t="shared" si="196"/>
        <v>0</v>
      </c>
      <c r="U126" s="353">
        <f t="shared" si="196"/>
        <v>0</v>
      </c>
      <c r="V126" s="353">
        <f t="shared" si="196"/>
        <v>0</v>
      </c>
      <c r="W126" s="353">
        <f t="shared" si="196"/>
        <v>0</v>
      </c>
      <c r="X126" s="353">
        <f t="shared" si="196"/>
        <v>0</v>
      </c>
      <c r="Y126" s="353">
        <f t="shared" si="196"/>
        <v>0</v>
      </c>
      <c r="Z126" s="353">
        <f>Z124/((1+$G$29)^(Y119-$G$30+1+1))</f>
        <v>0</v>
      </c>
    </row>
    <row r="127" spans="1:26" s="382" customFormat="1" ht="15" hidden="1" thickBot="1" x14ac:dyDescent="0.4">
      <c r="A127" s="379"/>
      <c r="B127" s="395"/>
    </row>
    <row r="128" spans="1:26" s="382" customFormat="1" hidden="1" x14ac:dyDescent="0.35">
      <c r="A128" s="379"/>
      <c r="B128" s="397" t="s">
        <v>113</v>
      </c>
      <c r="G128" s="398">
        <f>(SUM(H126:Y126))</f>
        <v>0</v>
      </c>
      <c r="H128" s="399"/>
      <c r="P128" s="396"/>
    </row>
    <row r="129" spans="1:24" s="382" customFormat="1" hidden="1" x14ac:dyDescent="0.35">
      <c r="A129" s="379"/>
      <c r="B129" s="400" t="s">
        <v>136</v>
      </c>
      <c r="G129" s="401">
        <f>Z126</f>
        <v>0</v>
      </c>
      <c r="H129" s="402"/>
      <c r="P129" s="396"/>
    </row>
    <row r="130" spans="1:24" s="382" customFormat="1" ht="15" hidden="1" thickBot="1" x14ac:dyDescent="0.4">
      <c r="A130" s="379"/>
      <c r="B130" s="400" t="s">
        <v>137</v>
      </c>
      <c r="G130" s="401">
        <f>G128+G129</f>
        <v>0</v>
      </c>
      <c r="H130" s="403"/>
      <c r="P130" s="396"/>
    </row>
    <row r="131" spans="1:24" s="382" customFormat="1" ht="15" hidden="1" thickBot="1" x14ac:dyDescent="0.4">
      <c r="A131" s="379"/>
      <c r="B131" s="404" t="s">
        <v>144</v>
      </c>
      <c r="G131" s="405">
        <f>G130/$G$33</f>
        <v>0</v>
      </c>
    </row>
    <row r="132" spans="1:24" hidden="1" x14ac:dyDescent="0.35"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</row>
    <row r="133" spans="1:24" hidden="1" x14ac:dyDescent="0.35"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</row>
    <row r="134" spans="1:24" x14ac:dyDescent="0.35"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</row>
    <row r="135" spans="1:24" x14ac:dyDescent="0.35">
      <c r="B135" s="406" t="s">
        <v>145</v>
      </c>
      <c r="C135" s="321">
        <v>2021</v>
      </c>
      <c r="D135" s="321">
        <f t="shared" ref="D135:L135" si="197">C135+1</f>
        <v>2022</v>
      </c>
      <c r="E135" s="321">
        <f t="shared" si="197"/>
        <v>2023</v>
      </c>
      <c r="F135" s="321">
        <f t="shared" si="197"/>
        <v>2024</v>
      </c>
      <c r="G135" s="321">
        <f t="shared" si="197"/>
        <v>2025</v>
      </c>
      <c r="H135" s="321">
        <f t="shared" si="197"/>
        <v>2026</v>
      </c>
      <c r="I135" s="321">
        <f t="shared" si="197"/>
        <v>2027</v>
      </c>
      <c r="J135" s="321">
        <f t="shared" si="197"/>
        <v>2028</v>
      </c>
      <c r="K135" s="321">
        <f t="shared" si="197"/>
        <v>2029</v>
      </c>
      <c r="L135" s="321">
        <f t="shared" si="197"/>
        <v>2030</v>
      </c>
      <c r="M135" s="321">
        <f t="shared" ref="M135" si="198">L135+1</f>
        <v>2031</v>
      </c>
      <c r="N135" s="321">
        <f t="shared" ref="N135" si="199">M135+1</f>
        <v>2032</v>
      </c>
      <c r="O135" s="321">
        <f t="shared" ref="O135" si="200">N135+1</f>
        <v>2033</v>
      </c>
      <c r="P135" s="321">
        <f t="shared" ref="P135" si="201">O135+1</f>
        <v>2034</v>
      </c>
      <c r="Q135" s="321">
        <f t="shared" ref="Q135" si="202">P135+1</f>
        <v>2035</v>
      </c>
      <c r="R135" s="321">
        <f t="shared" ref="R135" si="203">Q135+1</f>
        <v>2036</v>
      </c>
      <c r="S135" s="321">
        <f t="shared" ref="S135" si="204">R135+1</f>
        <v>2037</v>
      </c>
      <c r="T135" s="321">
        <f t="shared" ref="T135" si="205">S135+1</f>
        <v>2038</v>
      </c>
      <c r="U135" s="321">
        <f t="shared" ref="U135" si="206">T135+1</f>
        <v>2039</v>
      </c>
      <c r="V135" s="321">
        <f t="shared" ref="V135" si="207">U135+1</f>
        <v>2040</v>
      </c>
      <c r="W135" s="321">
        <f t="shared" ref="W135" si="208">V135+1</f>
        <v>2041</v>
      </c>
      <c r="X135" s="407" t="s">
        <v>129</v>
      </c>
    </row>
    <row r="136" spans="1:24" x14ac:dyDescent="0.35">
      <c r="B136" s="323" t="s">
        <v>146</v>
      </c>
      <c r="C136" s="324"/>
      <c r="D136" s="324"/>
      <c r="E136" s="324">
        <v>0</v>
      </c>
      <c r="F136" s="324"/>
      <c r="G136" s="324"/>
      <c r="H136" s="324">
        <v>0</v>
      </c>
      <c r="I136" s="324">
        <v>0</v>
      </c>
      <c r="J136" s="324">
        <v>0</v>
      </c>
      <c r="K136" s="324">
        <v>0</v>
      </c>
      <c r="L136" s="324">
        <v>0</v>
      </c>
      <c r="M136" s="324">
        <v>0</v>
      </c>
      <c r="N136" s="324">
        <v>0</v>
      </c>
      <c r="O136" s="324">
        <v>0</v>
      </c>
      <c r="P136" s="324">
        <v>0</v>
      </c>
      <c r="Q136" s="324">
        <v>0</v>
      </c>
      <c r="X136" s="408"/>
    </row>
    <row r="137" spans="1:24" x14ac:dyDescent="0.35">
      <c r="B137" s="409" t="s">
        <v>147</v>
      </c>
      <c r="C137" s="324"/>
      <c r="D137" s="324"/>
      <c r="E137" s="324" t="e">
        <f>OPEX!#REF!</f>
        <v>#REF!</v>
      </c>
      <c r="F137" s="324"/>
      <c r="G137" s="324"/>
      <c r="H137" s="324">
        <f>OPEX!T33</f>
        <v>57.3</v>
      </c>
      <c r="I137" s="324">
        <f>OPEX!U33</f>
        <v>59.019000000000005</v>
      </c>
      <c r="J137" s="324">
        <f>OPEX!V33</f>
        <v>60.789570000000005</v>
      </c>
      <c r="K137" s="324">
        <f>OPEX!W33</f>
        <v>62.613257100000006</v>
      </c>
      <c r="L137" s="324">
        <f>OPEX!X33</f>
        <v>64.491654812999997</v>
      </c>
      <c r="M137" s="324">
        <f>OPEX!Y33</f>
        <v>66.426404457390007</v>
      </c>
      <c r="N137" s="324">
        <f>OPEX!Z33</f>
        <v>68.419196591111714</v>
      </c>
      <c r="O137" s="324">
        <f>OPEX!AA33</f>
        <v>70.471772488845062</v>
      </c>
      <c r="P137" s="324">
        <f>OPEX!AB33</f>
        <v>72.585925663510409</v>
      </c>
      <c r="Q137" s="324">
        <f>OPEX!AC33</f>
        <v>74.763503433415735</v>
      </c>
      <c r="X137" s="410"/>
    </row>
    <row r="138" spans="1:24" x14ac:dyDescent="0.35">
      <c r="B138" s="409" t="s">
        <v>148</v>
      </c>
      <c r="C138" s="324"/>
      <c r="D138" s="324"/>
      <c r="E138" s="324" t="e">
        <f>OPEX!#REF!+OPEX!#REF!+OPEX!#REF!+OPEX!#REF!</f>
        <v>#REF!</v>
      </c>
      <c r="F138" s="324"/>
      <c r="G138" s="324"/>
      <c r="H138" s="324">
        <f>OPEX!T13-OPEX!T25</f>
        <v>90.1</v>
      </c>
      <c r="I138" s="324">
        <f>OPEX!U13-OPEX!U25</f>
        <v>94.303000000000011</v>
      </c>
      <c r="J138" s="324">
        <f>OPEX!V13-OPEX!V25</f>
        <v>97.042090000000002</v>
      </c>
      <c r="K138" s="324">
        <f>OPEX!W13-OPEX!W25</f>
        <v>99.863352700000007</v>
      </c>
      <c r="L138" s="324">
        <f>OPEX!X13-OPEX!X25</f>
        <v>102.769253281</v>
      </c>
      <c r="M138" s="324">
        <f>OPEX!Y13-OPEX!Y25</f>
        <v>105.76233087943001</v>
      </c>
      <c r="N138" s="324">
        <f>OPEX!Z13-OPEX!Z25</f>
        <v>108.84520080581291</v>
      </c>
      <c r="O138" s="324">
        <f>OPEX!AA13-OPEX!AA25</f>
        <v>112.0205568299873</v>
      </c>
      <c r="P138" s="324">
        <f>OPEX!AB13-OPEX!AB25</f>
        <v>115.29117353488692</v>
      </c>
      <c r="Q138" s="324">
        <f>OPEX!AC13-OPEX!AC25</f>
        <v>118.65990874093353</v>
      </c>
      <c r="X138" s="328"/>
    </row>
    <row r="139" spans="1:24" x14ac:dyDescent="0.35">
      <c r="B139" s="323" t="s">
        <v>149</v>
      </c>
      <c r="C139" s="336"/>
      <c r="D139" s="336"/>
      <c r="E139" s="336" t="e">
        <f t="shared" ref="E139:L139" si="209">E136+E137+E138</f>
        <v>#REF!</v>
      </c>
      <c r="F139" s="336"/>
      <c r="G139" s="336"/>
      <c r="H139" s="336">
        <f t="shared" si="209"/>
        <v>147.39999999999998</v>
      </c>
      <c r="I139" s="336">
        <f t="shared" si="209"/>
        <v>153.322</v>
      </c>
      <c r="J139" s="336">
        <f t="shared" si="209"/>
        <v>157.83166</v>
      </c>
      <c r="K139" s="336">
        <f t="shared" si="209"/>
        <v>162.47660980000001</v>
      </c>
      <c r="L139" s="336">
        <f t="shared" si="209"/>
        <v>167.260908094</v>
      </c>
      <c r="M139" s="336">
        <f t="shared" ref="M139:N139" si="210">M136+M137+M138</f>
        <v>172.18873533682</v>
      </c>
      <c r="N139" s="336">
        <f t="shared" si="210"/>
        <v>177.26439739692461</v>
      </c>
      <c r="O139" s="336">
        <f t="shared" ref="O139:P139" si="211">O136+O137+O138</f>
        <v>182.49232931883236</v>
      </c>
      <c r="P139" s="336">
        <f t="shared" si="211"/>
        <v>187.87709919839733</v>
      </c>
      <c r="Q139" s="336">
        <f t="shared" ref="Q139" si="212">Q136+Q137+Q138</f>
        <v>193.42341217434927</v>
      </c>
      <c r="X139" s="410"/>
    </row>
    <row r="140" spans="1:24" x14ac:dyDescent="0.35">
      <c r="B140" s="411" t="s">
        <v>25</v>
      </c>
      <c r="C140" s="328"/>
      <c r="D140" s="328"/>
      <c r="E140" s="328" t="e">
        <f>E139*IS!Z33</f>
        <v>#REF!</v>
      </c>
      <c r="F140" s="328"/>
      <c r="G140" s="328"/>
      <c r="H140" s="328">
        <f>H139*IS!AJ33</f>
        <v>0</v>
      </c>
      <c r="I140" s="328">
        <f>I139*IS!AK33</f>
        <v>0</v>
      </c>
      <c r="J140" s="328">
        <f>J139*IS!AL33</f>
        <v>0</v>
      </c>
      <c r="K140" s="328">
        <f>K139*IS!AM33</f>
        <v>0</v>
      </c>
      <c r="L140" s="328">
        <f>L139*IS!AN33</f>
        <v>0</v>
      </c>
      <c r="M140" s="328">
        <f>M139*IS!AO33</f>
        <v>0</v>
      </c>
      <c r="N140" s="328">
        <f>N139*IS!AP33</f>
        <v>8.8632198698462314</v>
      </c>
      <c r="O140" s="328">
        <f>O139*IS!AQ33</f>
        <v>18.249232931883238</v>
      </c>
      <c r="P140" s="328">
        <f>P139*IS!AR33</f>
        <v>39.454190831663439</v>
      </c>
      <c r="Q140" s="328">
        <f>Q139*IS!AS33</f>
        <v>40.618916556613343</v>
      </c>
      <c r="X140" s="412"/>
    </row>
    <row r="141" spans="1:24" x14ac:dyDescent="0.35">
      <c r="B141" s="409" t="s">
        <v>140</v>
      </c>
      <c r="C141" s="324"/>
      <c r="D141" s="324"/>
      <c r="E141" s="324" t="e">
        <f t="shared" ref="E141:L141" si="213">E139-E140</f>
        <v>#REF!</v>
      </c>
      <c r="F141" s="324"/>
      <c r="G141" s="324"/>
      <c r="H141" s="324">
        <f t="shared" si="213"/>
        <v>147.39999999999998</v>
      </c>
      <c r="I141" s="324">
        <f t="shared" si="213"/>
        <v>153.322</v>
      </c>
      <c r="J141" s="324">
        <f t="shared" si="213"/>
        <v>157.83166</v>
      </c>
      <c r="K141" s="324">
        <f t="shared" si="213"/>
        <v>162.47660980000001</v>
      </c>
      <c r="L141" s="324">
        <f t="shared" si="213"/>
        <v>167.260908094</v>
      </c>
      <c r="M141" s="324">
        <f t="shared" ref="M141:N141" si="214">M139-M140</f>
        <v>172.18873533682</v>
      </c>
      <c r="N141" s="324">
        <f t="shared" si="214"/>
        <v>168.40117752707837</v>
      </c>
      <c r="O141" s="324">
        <f t="shared" ref="O141:P141" si="215">O139-O140</f>
        <v>164.24309638694913</v>
      </c>
      <c r="P141" s="324">
        <f t="shared" si="215"/>
        <v>148.42290836673391</v>
      </c>
      <c r="Q141" s="324">
        <f t="shared" ref="Q141" si="216">Q139-Q140</f>
        <v>152.80449561773594</v>
      </c>
      <c r="R141" s="790">
        <f t="shared" ref="R141" si="217">Q141*(1+R142)</f>
        <v>156.62460800817934</v>
      </c>
      <c r="S141" s="790">
        <f t="shared" ref="S141" si="218">R141*(1+S142)</f>
        <v>160.54022320838379</v>
      </c>
      <c r="T141" s="790">
        <f t="shared" ref="T141" si="219">S141*(1+T142)</f>
        <v>164.55372878859336</v>
      </c>
      <c r="U141" s="790">
        <f t="shared" ref="U141" si="220">T141*(1+U142)</f>
        <v>168.66757200830818</v>
      </c>
      <c r="V141" s="790">
        <f t="shared" ref="V141" si="221">U141*(1+V142)</f>
        <v>59.033650202907857</v>
      </c>
      <c r="W141" s="790">
        <f t="shared" ref="W141" si="222">V141*(1+W142)</f>
        <v>29.516825101453929</v>
      </c>
      <c r="X141" s="346">
        <f>(W141*(1+X142))/($G$29-X142)</f>
        <v>236.13460081163143</v>
      </c>
    </row>
    <row r="142" spans="1:24" x14ac:dyDescent="0.35">
      <c r="B142" s="347" t="s">
        <v>134</v>
      </c>
      <c r="C142" s="349"/>
      <c r="D142" s="349"/>
      <c r="E142" s="349" t="e">
        <f t="shared" ref="E142:Q142" si="223">E141/D141-1</f>
        <v>#REF!</v>
      </c>
      <c r="F142" s="349"/>
      <c r="G142" s="349"/>
      <c r="H142" s="349" t="e">
        <f t="shared" si="223"/>
        <v>#DIV/0!</v>
      </c>
      <c r="I142" s="349">
        <f t="shared" si="223"/>
        <v>4.0176390773405846E-2</v>
      </c>
      <c r="J142" s="349">
        <f t="shared" si="223"/>
        <v>2.9413000091311092E-2</v>
      </c>
      <c r="K142" s="349">
        <f t="shared" si="223"/>
        <v>2.9429772201597704E-2</v>
      </c>
      <c r="L142" s="349">
        <f t="shared" si="223"/>
        <v>2.9446074114232168E-2</v>
      </c>
      <c r="M142" s="349">
        <f t="shared" si="223"/>
        <v>2.9461918501904716E-2</v>
      </c>
      <c r="N142" s="349">
        <f t="shared" si="223"/>
        <v>-2.1996548161717699E-2</v>
      </c>
      <c r="O142" s="349">
        <f t="shared" si="223"/>
        <v>-2.4691520577168391E-2</v>
      </c>
      <c r="P142" s="349">
        <f t="shared" si="223"/>
        <v>-9.6321783796279647E-2</v>
      </c>
      <c r="Q142" s="349">
        <f t="shared" si="223"/>
        <v>2.9520963436288961E-2</v>
      </c>
      <c r="R142" s="787">
        <v>2.5000000000000001E-2</v>
      </c>
      <c r="S142" s="787">
        <v>2.5000000000000001E-2</v>
      </c>
      <c r="T142" s="787">
        <f>S142</f>
        <v>2.5000000000000001E-2</v>
      </c>
      <c r="U142" s="944">
        <f>T142</f>
        <v>2.5000000000000001E-2</v>
      </c>
      <c r="V142" s="787">
        <v>-0.65</v>
      </c>
      <c r="W142" s="787">
        <v>-0.5</v>
      </c>
      <c r="X142" s="350">
        <v>0</v>
      </c>
    </row>
    <row r="143" spans="1:24" hidden="1" outlineLevel="1" x14ac:dyDescent="0.35">
      <c r="B143" s="413" t="s">
        <v>150</v>
      </c>
      <c r="C143" s="414"/>
      <c r="D143" s="414"/>
      <c r="E143" s="414">
        <f t="shared" ref="E143:Q143" si="224">D143+1</f>
        <v>1</v>
      </c>
      <c r="F143" s="414"/>
      <c r="G143" s="414"/>
      <c r="H143" s="414">
        <f t="shared" si="224"/>
        <v>1</v>
      </c>
      <c r="I143" s="414">
        <f t="shared" si="224"/>
        <v>2</v>
      </c>
      <c r="J143" s="414">
        <f t="shared" si="224"/>
        <v>3</v>
      </c>
      <c r="K143" s="414">
        <f t="shared" si="224"/>
        <v>4</v>
      </c>
      <c r="L143" s="414">
        <f t="shared" si="224"/>
        <v>5</v>
      </c>
      <c r="M143" s="414">
        <f t="shared" si="224"/>
        <v>6</v>
      </c>
      <c r="N143" s="414">
        <f t="shared" si="224"/>
        <v>7</v>
      </c>
      <c r="O143" s="414">
        <f t="shared" si="224"/>
        <v>8</v>
      </c>
      <c r="P143" s="414">
        <f t="shared" si="224"/>
        <v>9</v>
      </c>
      <c r="Q143" s="414">
        <f t="shared" si="224"/>
        <v>10</v>
      </c>
      <c r="X143" s="353" t="e">
        <f>X141/((1+$G$29)^(#REF!-$G$30+1+1))</f>
        <v>#REF!</v>
      </c>
    </row>
    <row r="144" spans="1:24" collapsed="1" x14ac:dyDescent="0.35">
      <c r="B144" s="415" t="s">
        <v>151</v>
      </c>
      <c r="C144" s="416"/>
      <c r="D144" s="416"/>
      <c r="E144" s="416" t="e">
        <f>E141/((1+$G$29)^(E135-$G$30+1))</f>
        <v>#REF!</v>
      </c>
      <c r="F144" s="416"/>
      <c r="G144" s="416"/>
      <c r="H144" s="416">
        <f t="shared" ref="H144:W144" si="225">H141/((1+$G$29)^(H135-$G$30+1))</f>
        <v>131.02222222222221</v>
      </c>
      <c r="I144" s="416">
        <f t="shared" si="225"/>
        <v>121.14330864197531</v>
      </c>
      <c r="J144" s="416">
        <f t="shared" si="225"/>
        <v>110.85021936899862</v>
      </c>
      <c r="K144" s="416">
        <f t="shared" si="225"/>
        <v>101.43334762091145</v>
      </c>
      <c r="L144" s="416">
        <f t="shared" si="225"/>
        <v>92.81792132676577</v>
      </c>
      <c r="M144" s="416">
        <f t="shared" si="225"/>
        <v>84.935569209254353</v>
      </c>
      <c r="N144" s="416">
        <f t="shared" si="225"/>
        <v>73.837582107111189</v>
      </c>
      <c r="O144" s="416">
        <f t="shared" si="225"/>
        <v>64.012817714795631</v>
      </c>
      <c r="P144" s="416">
        <f t="shared" si="225"/>
        <v>51.41954571260483</v>
      </c>
      <c r="Q144" s="416">
        <f t="shared" si="225"/>
        <v>47.055555770219755</v>
      </c>
      <c r="R144" s="416">
        <f t="shared" si="225"/>
        <v>42.87283970175578</v>
      </c>
      <c r="S144" s="416">
        <f t="shared" si="225"/>
        <v>39.061920617155259</v>
      </c>
      <c r="T144" s="416">
        <f t="shared" si="225"/>
        <v>35.589749895630341</v>
      </c>
      <c r="U144" s="416">
        <f t="shared" si="225"/>
        <v>32.426216571574308</v>
      </c>
      <c r="V144" s="416">
        <f t="shared" si="225"/>
        <v>10.088156266712007</v>
      </c>
      <c r="W144" s="416">
        <f t="shared" si="225"/>
        <v>4.4836250074275581</v>
      </c>
      <c r="X144" s="416">
        <f>X141/((1+$G$29)^(W135-$G$30+1+1))</f>
        <v>31.883555608373751</v>
      </c>
    </row>
    <row r="145" spans="2:17" ht="15" thickBot="1" x14ac:dyDescent="0.4">
      <c r="B145" s="417"/>
      <c r="C145" s="208"/>
      <c r="D145" s="418"/>
      <c r="E145" s="418"/>
      <c r="F145" s="418"/>
      <c r="G145" s="418"/>
      <c r="H145" s="418"/>
      <c r="I145" s="418"/>
      <c r="J145" s="418"/>
      <c r="K145" s="418"/>
      <c r="L145" s="418"/>
      <c r="M145" s="418"/>
    </row>
    <row r="146" spans="2:17" x14ac:dyDescent="0.35">
      <c r="B146" s="114" t="s">
        <v>113</v>
      </c>
      <c r="G146" s="373">
        <f>SUM(H144:W144)</f>
        <v>1043.0505977551143</v>
      </c>
      <c r="H146" s="102"/>
      <c r="I146" s="267"/>
      <c r="J146" s="102"/>
      <c r="K146" s="102"/>
      <c r="L146" s="102"/>
      <c r="M146" s="101"/>
      <c r="N146" s="101"/>
    </row>
    <row r="147" spans="2:17" x14ac:dyDescent="0.35">
      <c r="B147" s="117" t="s">
        <v>136</v>
      </c>
      <c r="G147" s="169">
        <f>X144</f>
        <v>31.883555608373751</v>
      </c>
      <c r="H147" s="102"/>
      <c r="I147" s="374"/>
      <c r="J147" s="102"/>
      <c r="K147" s="102"/>
      <c r="L147" s="102"/>
      <c r="M147" s="101"/>
      <c r="N147" s="101"/>
    </row>
    <row r="148" spans="2:17" ht="15" thickBot="1" x14ac:dyDescent="0.4">
      <c r="B148" s="117" t="s">
        <v>137</v>
      </c>
      <c r="G148" s="169">
        <f>G146+G147</f>
        <v>1074.9341533634881</v>
      </c>
      <c r="H148" s="102"/>
      <c r="I148" s="293"/>
      <c r="J148" s="102"/>
      <c r="K148" s="102"/>
      <c r="L148" s="102"/>
      <c r="M148" s="101"/>
      <c r="N148" s="101"/>
    </row>
    <row r="149" spans="2:17" ht="15" thickBot="1" x14ac:dyDescent="0.4">
      <c r="B149" s="270" t="s">
        <v>152</v>
      </c>
      <c r="G149" s="375">
        <f>G148/$G$33</f>
        <v>23.043038079130611</v>
      </c>
      <c r="H149" s="102"/>
      <c r="I149" s="102"/>
      <c r="J149" s="102"/>
      <c r="K149" s="102"/>
      <c r="L149" s="102"/>
      <c r="M149" s="101"/>
      <c r="N149" s="101"/>
    </row>
    <row r="150" spans="2:17" x14ac:dyDescent="0.35"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</row>
    <row r="151" spans="2:17" x14ac:dyDescent="0.35">
      <c r="B151" s="406" t="s">
        <v>330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</row>
    <row r="152" spans="2:17" x14ac:dyDescent="0.35">
      <c r="B152" s="807" t="str">
        <f>B138</f>
        <v>Net - R&amp;D</v>
      </c>
      <c r="C152" s="101"/>
      <c r="D152" s="101"/>
      <c r="E152" s="810" t="e">
        <f>E138</f>
        <v>#REF!</v>
      </c>
      <c r="F152" s="810"/>
      <c r="G152" s="810"/>
      <c r="H152" s="810">
        <f t="shared" ref="H152:Q152" si="226">H138</f>
        <v>90.1</v>
      </c>
      <c r="I152" s="810">
        <f t="shared" si="226"/>
        <v>94.303000000000011</v>
      </c>
      <c r="J152" s="810">
        <f t="shared" si="226"/>
        <v>97.042090000000002</v>
      </c>
      <c r="K152" s="810">
        <f t="shared" si="226"/>
        <v>99.863352700000007</v>
      </c>
      <c r="L152" s="810">
        <f t="shared" si="226"/>
        <v>102.769253281</v>
      </c>
      <c r="M152" s="810">
        <f t="shared" si="226"/>
        <v>105.76233087943001</v>
      </c>
      <c r="N152" s="810">
        <f t="shared" si="226"/>
        <v>108.84520080581291</v>
      </c>
      <c r="O152" s="810">
        <f t="shared" si="226"/>
        <v>112.0205568299873</v>
      </c>
      <c r="P152" s="810">
        <f t="shared" si="226"/>
        <v>115.29117353488692</v>
      </c>
      <c r="Q152" s="810">
        <f t="shared" si="226"/>
        <v>118.65990874093353</v>
      </c>
    </row>
    <row r="153" spans="2:17" x14ac:dyDescent="0.35">
      <c r="B153" s="347" t="str">
        <f>B140</f>
        <v>Taxes</v>
      </c>
      <c r="C153" s="101"/>
      <c r="D153" s="101"/>
      <c r="E153" s="810" t="e">
        <f>E152*IS!Z33</f>
        <v>#REF!</v>
      </c>
      <c r="F153" s="810"/>
      <c r="G153" s="810"/>
      <c r="H153" s="810">
        <f>H152*IS!AJ33</f>
        <v>0</v>
      </c>
      <c r="I153" s="810">
        <f>I152*IS!AK33</f>
        <v>0</v>
      </c>
      <c r="J153" s="810">
        <f>J152*IS!AL33</f>
        <v>0</v>
      </c>
      <c r="K153" s="810">
        <f>K152*IS!AM33</f>
        <v>0</v>
      </c>
      <c r="L153" s="810">
        <f>L152*IS!AN33</f>
        <v>0</v>
      </c>
      <c r="M153" s="810">
        <f>M152*IS!AO33</f>
        <v>0</v>
      </c>
      <c r="N153" s="810">
        <f>N152*IS!AP33</f>
        <v>5.4422600402906456</v>
      </c>
      <c r="O153" s="810">
        <f>O152*IS!AQ33</f>
        <v>11.202055682998731</v>
      </c>
      <c r="P153" s="810">
        <f>P152*IS!AR33</f>
        <v>24.211146442326253</v>
      </c>
      <c r="Q153" s="810">
        <f>Q152*IS!AS33</f>
        <v>24.918580835596039</v>
      </c>
    </row>
    <row r="154" spans="2:17" x14ac:dyDescent="0.35">
      <c r="B154" s="347" t="s">
        <v>331</v>
      </c>
      <c r="C154" s="101"/>
      <c r="D154" s="101"/>
      <c r="E154" s="810" t="e">
        <f>E152-E153</f>
        <v>#REF!</v>
      </c>
      <c r="F154" s="810"/>
      <c r="G154" s="810"/>
      <c r="H154" s="810">
        <f t="shared" ref="H154:Q154" si="227">H152-H153</f>
        <v>90.1</v>
      </c>
      <c r="I154" s="810">
        <f t="shared" si="227"/>
        <v>94.303000000000011</v>
      </c>
      <c r="J154" s="810">
        <f t="shared" si="227"/>
        <v>97.042090000000002</v>
      </c>
      <c r="K154" s="810">
        <f t="shared" si="227"/>
        <v>99.863352700000007</v>
      </c>
      <c r="L154" s="810">
        <f t="shared" si="227"/>
        <v>102.769253281</v>
      </c>
      <c r="M154" s="810">
        <f t="shared" si="227"/>
        <v>105.76233087943001</v>
      </c>
      <c r="N154" s="810">
        <f t="shared" si="227"/>
        <v>103.40294076552226</v>
      </c>
      <c r="O154" s="810">
        <f t="shared" si="227"/>
        <v>100.81850114698857</v>
      </c>
      <c r="P154" s="810">
        <f t="shared" si="227"/>
        <v>91.08002709256067</v>
      </c>
      <c r="Q154" s="810">
        <f t="shared" si="227"/>
        <v>93.741327905337499</v>
      </c>
    </row>
    <row r="155" spans="2:17" x14ac:dyDescent="0.35">
      <c r="B155" s="808" t="s">
        <v>332</v>
      </c>
      <c r="C155" s="101"/>
      <c r="D155" s="101"/>
      <c r="E155" s="811" t="e">
        <f>E154/((1+$G$29)^(E135-$G$30+1))</f>
        <v>#REF!</v>
      </c>
      <c r="F155" s="811"/>
      <c r="G155" s="811"/>
      <c r="H155" s="811">
        <f t="shared" ref="H155:Q155" si="228">H154/((1+$G$29)^(H135-$G$30+1))</f>
        <v>80.088888888888889</v>
      </c>
      <c r="I155" s="811">
        <f t="shared" si="228"/>
        <v>74.511012345679021</v>
      </c>
      <c r="J155" s="811">
        <f t="shared" si="228"/>
        <v>68.155761426611804</v>
      </c>
      <c r="K155" s="811">
        <f t="shared" si="228"/>
        <v>62.344199460326173</v>
      </c>
      <c r="L155" s="811">
        <f t="shared" si="228"/>
        <v>57.029634566407701</v>
      </c>
      <c r="M155" s="811">
        <f t="shared" si="228"/>
        <v>52.169404441993187</v>
      </c>
      <c r="N155" s="811">
        <f t="shared" si="228"/>
        <v>45.338300129542247</v>
      </c>
      <c r="O155" s="811">
        <f t="shared" si="228"/>
        <v>39.293440504777934</v>
      </c>
      <c r="P155" s="811">
        <f t="shared" si="228"/>
        <v>31.553711405650358</v>
      </c>
      <c r="Q155" s="811">
        <f t="shared" si="228"/>
        <v>28.867280804741441</v>
      </c>
    </row>
    <row r="156" spans="2:17" ht="15" thickBot="1" x14ac:dyDescent="0.4">
      <c r="B156" s="291"/>
      <c r="C156" s="419"/>
      <c r="D156" s="419"/>
      <c r="E156" s="419"/>
      <c r="F156" s="419"/>
      <c r="G156" s="419"/>
      <c r="H156" s="419"/>
      <c r="I156" s="419"/>
      <c r="J156" s="419"/>
      <c r="K156" s="419"/>
      <c r="L156" s="419"/>
      <c r="M156" s="419"/>
      <c r="N156" s="419"/>
      <c r="O156" s="419"/>
      <c r="P156" s="419"/>
      <c r="Q156" s="419"/>
    </row>
    <row r="157" spans="2:17" ht="15" thickBot="1" x14ac:dyDescent="0.4">
      <c r="B157" s="809" t="s">
        <v>333</v>
      </c>
      <c r="C157" s="101"/>
      <c r="D157" s="101"/>
      <c r="G157" s="375">
        <f>SUM(H155:Q155)/$G$33</f>
        <v>11.561917723825301</v>
      </c>
      <c r="H157" s="101"/>
      <c r="I157" s="101"/>
      <c r="J157" s="101"/>
      <c r="K157" s="101"/>
      <c r="L157" s="101"/>
      <c r="M157" s="101"/>
      <c r="N157" s="101"/>
    </row>
    <row r="158" spans="2:17" x14ac:dyDescent="0.35">
      <c r="B158" s="206" t="s">
        <v>334</v>
      </c>
      <c r="C158" s="101"/>
      <c r="D158" s="101"/>
      <c r="G158" s="813">
        <v>0.2</v>
      </c>
      <c r="H158" s="101"/>
      <c r="I158" s="101"/>
      <c r="J158" s="101"/>
      <c r="K158" s="101"/>
      <c r="L158" s="101"/>
      <c r="M158" s="101"/>
      <c r="N158" s="101"/>
    </row>
    <row r="159" spans="2:17" x14ac:dyDescent="0.35">
      <c r="B159" s="291" t="s">
        <v>335</v>
      </c>
      <c r="C159" s="101"/>
      <c r="D159" s="101"/>
      <c r="G159" s="814">
        <f>G157*G158</f>
        <v>2.3123835447650603</v>
      </c>
      <c r="H159" s="101"/>
      <c r="I159" s="101"/>
      <c r="J159" s="101"/>
      <c r="K159" s="101"/>
      <c r="L159" s="101"/>
      <c r="M159" s="101"/>
      <c r="N159" s="101"/>
    </row>
    <row r="160" spans="2:17" x14ac:dyDescent="0.35"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</row>
    <row r="161" spans="2:17" x14ac:dyDescent="0.35">
      <c r="B161" s="406" t="s">
        <v>153</v>
      </c>
      <c r="C161" s="321">
        <f>C135</f>
        <v>2021</v>
      </c>
      <c r="D161" s="321">
        <f t="shared" ref="D161:L161" si="229">D135</f>
        <v>2022</v>
      </c>
      <c r="E161" s="321">
        <f t="shared" si="229"/>
        <v>2023</v>
      </c>
      <c r="F161" s="321">
        <f t="shared" si="229"/>
        <v>2024</v>
      </c>
      <c r="G161" s="321">
        <f t="shared" si="229"/>
        <v>2025</v>
      </c>
      <c r="H161" s="321">
        <f t="shared" si="229"/>
        <v>2026</v>
      </c>
      <c r="I161" s="321">
        <f t="shared" si="229"/>
        <v>2027</v>
      </c>
      <c r="J161" s="321">
        <f t="shared" si="229"/>
        <v>2028</v>
      </c>
      <c r="K161" s="321">
        <f t="shared" si="229"/>
        <v>2029</v>
      </c>
      <c r="L161" s="321">
        <f t="shared" si="229"/>
        <v>2030</v>
      </c>
      <c r="M161" s="321">
        <f t="shared" ref="M161:Q161" si="230">M135</f>
        <v>2031</v>
      </c>
      <c r="N161" s="321">
        <f t="shared" si="230"/>
        <v>2032</v>
      </c>
      <c r="O161" s="321">
        <f t="shared" si="230"/>
        <v>2033</v>
      </c>
      <c r="P161" s="321">
        <f t="shared" si="230"/>
        <v>2034</v>
      </c>
      <c r="Q161" s="321">
        <f t="shared" si="230"/>
        <v>2035</v>
      </c>
    </row>
    <row r="162" spans="2:17" x14ac:dyDescent="0.35">
      <c r="B162" s="291" t="s">
        <v>154</v>
      </c>
      <c r="C162" s="419"/>
      <c r="D162" s="419"/>
      <c r="E162" s="419" t="e">
        <f>CF!#REF!+CF!#REF!</f>
        <v>#REF!</v>
      </c>
      <c r="F162" s="419"/>
      <c r="G162" s="419"/>
      <c r="H162" s="419">
        <f>CF!D9+CF!D15</f>
        <v>0.58499999999999996</v>
      </c>
      <c r="I162" s="419">
        <f>CF!E9+CF!E15</f>
        <v>0.58499999999999996</v>
      </c>
      <c r="J162" s="419">
        <f>CF!F9+CF!F15</f>
        <v>0.58499999999999996</v>
      </c>
      <c r="K162" s="419">
        <f>CF!G9+CF!G15</f>
        <v>0.58499999999999996</v>
      </c>
      <c r="L162" s="419">
        <f>CF!H9+CF!H15</f>
        <v>0.58499999999999996</v>
      </c>
      <c r="M162" s="419">
        <f>CF!I9+CF!I15</f>
        <v>0.58499999999999996</v>
      </c>
      <c r="N162" s="419">
        <f>CF!J9+CF!J15</f>
        <v>0.58499999999999996</v>
      </c>
      <c r="O162" s="419">
        <f>CF!K9+CF!K15</f>
        <v>0.58499999999999996</v>
      </c>
      <c r="P162" s="419">
        <f>CF!L9+CF!L15</f>
        <v>0.58499999999999996</v>
      </c>
      <c r="Q162" s="419">
        <f>CF!M9+CF!M15</f>
        <v>0.58499999999999996</v>
      </c>
    </row>
    <row r="163" spans="2:17" x14ac:dyDescent="0.35">
      <c r="B163" s="301" t="s">
        <v>155</v>
      </c>
      <c r="C163" s="419"/>
      <c r="D163" s="419"/>
      <c r="E163" s="419" t="e">
        <f>CF!#REF!</f>
        <v>#REF!</v>
      </c>
      <c r="F163" s="419"/>
      <c r="G163" s="419"/>
      <c r="H163" s="419">
        <f>CF!D30</f>
        <v>-0.47299999999999998</v>
      </c>
      <c r="I163" s="419">
        <f>CF!E30</f>
        <v>-0.47299999999999998</v>
      </c>
      <c r="J163" s="419">
        <f>CF!F30</f>
        <v>-0.47299999999999998</v>
      </c>
      <c r="K163" s="419">
        <f>CF!G30</f>
        <v>-0.47299999999999998</v>
      </c>
      <c r="L163" s="419">
        <f>CF!H30</f>
        <v>-0.47299999999999998</v>
      </c>
      <c r="M163" s="419">
        <f>CF!I30</f>
        <v>-0.47299999999999998</v>
      </c>
      <c r="N163" s="419">
        <f>CF!J30</f>
        <v>-0.47299999999999998</v>
      </c>
      <c r="O163" s="419">
        <f>CF!K30</f>
        <v>-0.47299999999999998</v>
      </c>
      <c r="P163" s="419">
        <f>CF!L30</f>
        <v>-0.47299999999999998</v>
      </c>
      <c r="Q163" s="419">
        <f>CF!M30</f>
        <v>-0.47299999999999998</v>
      </c>
    </row>
    <row r="164" spans="2:17" x14ac:dyDescent="0.35">
      <c r="B164" s="301" t="s">
        <v>156</v>
      </c>
      <c r="C164" s="419"/>
      <c r="D164" s="419"/>
      <c r="E164" s="419" t="e">
        <f>CF!#REF!</f>
        <v>#REF!</v>
      </c>
      <c r="F164" s="419"/>
      <c r="G164" s="419"/>
      <c r="H164" s="419">
        <f>CF!D16</f>
        <v>2.5109999999999997</v>
      </c>
      <c r="I164" s="419">
        <f>CF!E16</f>
        <v>2.8</v>
      </c>
      <c r="J164" s="419">
        <f>CF!F16</f>
        <v>2.8</v>
      </c>
      <c r="K164" s="419">
        <f>CF!G16</f>
        <v>1.6183603792816579</v>
      </c>
      <c r="L164" s="419">
        <f>CF!H16</f>
        <v>-4.9876895677350719</v>
      </c>
      <c r="M164" s="419">
        <f>CF!I16</f>
        <v>-8.4956972310342032</v>
      </c>
      <c r="N164" s="419">
        <f>CF!J16</f>
        <v>-6.3704331483915597</v>
      </c>
      <c r="O164" s="419">
        <f>CF!K16</f>
        <v>-5.786306558567472</v>
      </c>
      <c r="P164" s="419">
        <f>CF!L16</f>
        <v>-5.0242013645041625</v>
      </c>
      <c r="Q164" s="419">
        <f>CF!M16</f>
        <v>-4.4024916886916374</v>
      </c>
    </row>
    <row r="165" spans="2:17" x14ac:dyDescent="0.35">
      <c r="B165" s="420" t="s">
        <v>157</v>
      </c>
      <c r="C165" s="421"/>
      <c r="D165" s="421"/>
      <c r="E165" s="421" t="e">
        <f t="shared" ref="E165:L165" si="231">SUM(E162:E164)</f>
        <v>#REF!</v>
      </c>
      <c r="F165" s="421"/>
      <c r="G165" s="421"/>
      <c r="H165" s="421">
        <f t="shared" si="231"/>
        <v>2.6229999999999998</v>
      </c>
      <c r="I165" s="421">
        <f t="shared" si="231"/>
        <v>2.9119999999999999</v>
      </c>
      <c r="J165" s="421">
        <f t="shared" si="231"/>
        <v>2.9119999999999999</v>
      </c>
      <c r="K165" s="421">
        <f t="shared" si="231"/>
        <v>1.7303603792816578</v>
      </c>
      <c r="L165" s="421">
        <f t="shared" si="231"/>
        <v>-4.8756895677350718</v>
      </c>
      <c r="M165" s="421">
        <f t="shared" ref="M165:Q165" si="232">SUM(M162:M164)</f>
        <v>-8.3836972310342031</v>
      </c>
      <c r="N165" s="421">
        <f t="shared" si="232"/>
        <v>-6.2584331483915596</v>
      </c>
      <c r="O165" s="421">
        <f t="shared" si="232"/>
        <v>-5.6743065585674719</v>
      </c>
      <c r="P165" s="421">
        <f t="shared" si="232"/>
        <v>-4.9122013645041624</v>
      </c>
      <c r="Q165" s="421">
        <f t="shared" si="232"/>
        <v>-4.2904916886916373</v>
      </c>
    </row>
    <row r="166" spans="2:17" x14ac:dyDescent="0.35">
      <c r="B166" s="422"/>
      <c r="C166" s="423"/>
      <c r="D166" s="423"/>
      <c r="E166" s="423"/>
      <c r="F166" s="423"/>
      <c r="G166" s="423"/>
      <c r="H166" s="423"/>
      <c r="I166" s="423"/>
      <c r="J166" s="423"/>
      <c r="K166" s="423"/>
      <c r="L166" s="423"/>
      <c r="M166" s="423"/>
      <c r="N166" s="423"/>
      <c r="O166" s="423"/>
      <c r="P166" s="423"/>
      <c r="Q166" s="423"/>
    </row>
    <row r="167" spans="2:17" x14ac:dyDescent="0.35"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</row>
    <row r="168" spans="2:17" x14ac:dyDescent="0.35">
      <c r="B168" s="100" t="s">
        <v>158</v>
      </c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</row>
    <row r="169" spans="2:17" x14ac:dyDescent="0.35">
      <c r="B169" s="206" t="str">
        <f>B7</f>
        <v>ML-007</v>
      </c>
      <c r="C169" s="175"/>
      <c r="D169" s="175"/>
      <c r="E169" s="175" t="e">
        <f t="shared" ref="E169:L169" si="233">E42</f>
        <v>#REF!</v>
      </c>
      <c r="F169" s="175"/>
      <c r="G169" s="175"/>
      <c r="H169" s="175">
        <f t="shared" si="233"/>
        <v>-37.950000000000003</v>
      </c>
      <c r="I169" s="175">
        <f t="shared" si="233"/>
        <v>-31.981500000000004</v>
      </c>
      <c r="J169" s="175">
        <f t="shared" si="233"/>
        <v>-59.107248912500005</v>
      </c>
      <c r="K169" s="175">
        <f t="shared" si="233"/>
        <v>-35.656595752207629</v>
      </c>
      <c r="L169" s="175">
        <f t="shared" si="233"/>
        <v>40.998195586257559</v>
      </c>
      <c r="M169" s="175">
        <f t="shared" ref="M169:Q169" si="234">M42</f>
        <v>185.90386758846887</v>
      </c>
      <c r="N169" s="175">
        <f t="shared" si="234"/>
        <v>333.38428083004322</v>
      </c>
      <c r="O169" s="175">
        <f t="shared" si="234"/>
        <v>478.06428528269851</v>
      </c>
      <c r="P169" s="175">
        <f t="shared" si="234"/>
        <v>608.70878058146138</v>
      </c>
      <c r="Q169" s="175">
        <f t="shared" si="234"/>
        <v>727.26166930313013</v>
      </c>
    </row>
    <row r="170" spans="2:17" x14ac:dyDescent="0.35">
      <c r="B170" s="206" t="str">
        <f>B8</f>
        <v>ML-007</v>
      </c>
      <c r="C170" s="175"/>
      <c r="D170" s="175"/>
      <c r="E170" s="175" t="e">
        <f t="shared" ref="E170:L170" si="235">E71</f>
        <v>#REF!</v>
      </c>
      <c r="F170" s="175"/>
      <c r="G170" s="175"/>
      <c r="H170" s="175">
        <f t="shared" si="235"/>
        <v>-24.15</v>
      </c>
      <c r="I170" s="175">
        <f t="shared" si="235"/>
        <v>-31.981500000000004</v>
      </c>
      <c r="J170" s="175">
        <f t="shared" si="235"/>
        <v>-38.25</v>
      </c>
      <c r="K170" s="175">
        <f t="shared" si="235"/>
        <v>-51.4099388725</v>
      </c>
      <c r="L170" s="175">
        <f t="shared" si="235"/>
        <v>-35.426275473615249</v>
      </c>
      <c r="M170" s="175">
        <f t="shared" ref="M170:Q170" si="236">M71</f>
        <v>9.2868248855328019</v>
      </c>
      <c r="N170" s="175">
        <f t="shared" si="236"/>
        <v>150.33644187482651</v>
      </c>
      <c r="O170" s="175">
        <f t="shared" si="236"/>
        <v>272.17309628401756</v>
      </c>
      <c r="P170" s="175">
        <f t="shared" si="236"/>
        <v>378.94459065731394</v>
      </c>
      <c r="Q170" s="175">
        <f t="shared" si="236"/>
        <v>474.03789814079329</v>
      </c>
    </row>
    <row r="171" spans="2:17" x14ac:dyDescent="0.35">
      <c r="B171" s="206" t="str">
        <f>B9</f>
        <v xml:space="preserve">ML-004 </v>
      </c>
      <c r="C171" s="175"/>
      <c r="D171" s="175"/>
      <c r="E171" s="175" t="e">
        <f t="shared" ref="E171:L171" si="237">E98</f>
        <v>#REF!</v>
      </c>
      <c r="F171" s="175"/>
      <c r="G171" s="175"/>
      <c r="H171" s="175">
        <f t="shared" si="237"/>
        <v>-6.8999999999999986</v>
      </c>
      <c r="I171" s="175">
        <f t="shared" si="237"/>
        <v>-7.1070000000000029</v>
      </c>
      <c r="J171" s="175">
        <f t="shared" si="237"/>
        <v>-8.5000000000000036</v>
      </c>
      <c r="K171" s="175">
        <f t="shared" si="237"/>
        <v>-16.249999999999996</v>
      </c>
      <c r="L171" s="175">
        <f t="shared" si="237"/>
        <v>-12.499999999999996</v>
      </c>
      <c r="M171" s="175">
        <f t="shared" ref="M171:Q171" si="238">M98</f>
        <v>-7.2705022819368459</v>
      </c>
      <c r="N171" s="175">
        <f t="shared" si="238"/>
        <v>-0.50177189666792721</v>
      </c>
      <c r="O171" s="175">
        <f t="shared" si="238"/>
        <v>5.3955536043116901</v>
      </c>
      <c r="P171" s="175">
        <f t="shared" si="238"/>
        <v>10.571373788749396</v>
      </c>
      <c r="Q171" s="175">
        <f t="shared" si="238"/>
        <v>15.157002800622765</v>
      </c>
    </row>
    <row r="172" spans="2:17" x14ac:dyDescent="0.35">
      <c r="B172" s="235" t="s">
        <v>78</v>
      </c>
      <c r="C172" s="175"/>
      <c r="D172" s="175"/>
      <c r="E172" s="175">
        <f t="shared" ref="E172:L172" si="239">E120</f>
        <v>0</v>
      </c>
      <c r="F172" s="175"/>
      <c r="G172" s="175"/>
      <c r="H172" s="175">
        <f t="shared" si="239"/>
        <v>0</v>
      </c>
      <c r="I172" s="175">
        <f t="shared" si="239"/>
        <v>0</v>
      </c>
      <c r="J172" s="175">
        <f t="shared" si="239"/>
        <v>0</v>
      </c>
      <c r="K172" s="175">
        <f t="shared" si="239"/>
        <v>0</v>
      </c>
      <c r="L172" s="175">
        <f t="shared" si="239"/>
        <v>0</v>
      </c>
      <c r="M172" s="175">
        <f t="shared" ref="M172:Q172" si="240">M120</f>
        <v>0</v>
      </c>
      <c r="N172" s="175">
        <f t="shared" si="240"/>
        <v>0</v>
      </c>
      <c r="O172" s="175">
        <f t="shared" si="240"/>
        <v>0</v>
      </c>
      <c r="P172" s="175">
        <f t="shared" si="240"/>
        <v>0</v>
      </c>
      <c r="Q172" s="175">
        <f t="shared" si="240"/>
        <v>0</v>
      </c>
    </row>
    <row r="173" spans="2:17" x14ac:dyDescent="0.35">
      <c r="B173" s="420" t="s">
        <v>157</v>
      </c>
      <c r="C173" s="424"/>
      <c r="D173" s="424"/>
      <c r="E173" s="424" t="e">
        <f t="shared" ref="E173:L173" si="241">SUM(E169:E172)</f>
        <v>#REF!</v>
      </c>
      <c r="F173" s="424"/>
      <c r="G173" s="424"/>
      <c r="H173" s="424">
        <f t="shared" si="241"/>
        <v>-69</v>
      </c>
      <c r="I173" s="424">
        <f t="shared" si="241"/>
        <v>-71.070000000000007</v>
      </c>
      <c r="J173" s="424">
        <f t="shared" si="241"/>
        <v>-105.85724891250001</v>
      </c>
      <c r="K173" s="424">
        <f t="shared" si="241"/>
        <v>-103.31653462470763</v>
      </c>
      <c r="L173" s="424">
        <f t="shared" si="241"/>
        <v>-6.9280798873576863</v>
      </c>
      <c r="M173" s="424">
        <f t="shared" ref="M173:Q173" si="242">SUM(M169:M172)</f>
        <v>187.92019019206484</v>
      </c>
      <c r="N173" s="424">
        <f t="shared" si="242"/>
        <v>483.21895080820178</v>
      </c>
      <c r="O173" s="424">
        <f t="shared" si="242"/>
        <v>755.63293517102773</v>
      </c>
      <c r="P173" s="424">
        <f t="shared" si="242"/>
        <v>998.2247450275247</v>
      </c>
      <c r="Q173" s="424">
        <f t="shared" si="242"/>
        <v>1216.4565702445464</v>
      </c>
    </row>
    <row r="174" spans="2:17" x14ac:dyDescent="0.35">
      <c r="B174" s="422" t="s">
        <v>81</v>
      </c>
      <c r="C174" s="425"/>
      <c r="D174" s="425"/>
      <c r="E174" s="425" t="e">
        <f>E173-E139-IS!Z24</f>
        <v>#REF!</v>
      </c>
      <c r="F174" s="689"/>
      <c r="G174" s="689"/>
      <c r="H174" s="689">
        <f>H173-H139-IS!AJ24</f>
        <v>0</v>
      </c>
      <c r="I174" s="689">
        <f>I173-I139-IS!AK24</f>
        <v>0</v>
      </c>
      <c r="J174" s="689">
        <f>J173-J139-IS!AL24</f>
        <v>0</v>
      </c>
      <c r="K174" s="689">
        <f>K173-K139-IS!AM24</f>
        <v>0</v>
      </c>
      <c r="L174" s="689">
        <f>L173-L139-IS!AN24</f>
        <v>0</v>
      </c>
      <c r="M174" s="689">
        <f>M173-M139-IS!AO24</f>
        <v>2.8421709430404007E-14</v>
      </c>
      <c r="N174" s="689">
        <f>N173-N139-IS!AP24</f>
        <v>0</v>
      </c>
      <c r="O174" s="689">
        <f>O173-O139-IS!AQ24</f>
        <v>0</v>
      </c>
      <c r="P174" s="689">
        <f>P173-P139-IS!AR24</f>
        <v>0</v>
      </c>
      <c r="Q174" s="689">
        <f>Q173-Q139-IS!AS24</f>
        <v>0</v>
      </c>
    </row>
    <row r="175" spans="2:17" x14ac:dyDescent="0.35">
      <c r="B175" s="295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</row>
    <row r="176" spans="2:17" x14ac:dyDescent="0.35"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</row>
    <row r="177" spans="2:17" x14ac:dyDescent="0.35">
      <c r="B177" s="100" t="s">
        <v>159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</row>
    <row r="178" spans="2:17" x14ac:dyDescent="0.35">
      <c r="B178" s="206" t="str">
        <f>B7</f>
        <v>ML-007</v>
      </c>
      <c r="C178" s="419"/>
      <c r="D178" s="419"/>
      <c r="E178" s="419" t="e">
        <f t="shared" ref="E178:L178" si="243">E169/E$173*E$165</f>
        <v>#REF!</v>
      </c>
      <c r="F178" s="419"/>
      <c r="G178" s="419"/>
      <c r="H178" s="419">
        <f t="shared" si="243"/>
        <v>1.44265</v>
      </c>
      <c r="I178" s="419">
        <f t="shared" si="243"/>
        <v>1.3104</v>
      </c>
      <c r="J178" s="419">
        <f t="shared" si="243"/>
        <v>1.6259662007225602</v>
      </c>
      <c r="K178" s="419">
        <f t="shared" si="243"/>
        <v>0.59718186226242043</v>
      </c>
      <c r="L178" s="419">
        <f t="shared" si="243"/>
        <v>28.852795834621386</v>
      </c>
      <c r="M178" s="419">
        <f t="shared" ref="M178:Q178" si="244">M169/M$173*M$165</f>
        <v>-8.2937428828007214</v>
      </c>
      <c r="N178" s="419">
        <f t="shared" si="244"/>
        <v>-4.3178423172554288</v>
      </c>
      <c r="O178" s="419">
        <f t="shared" si="244"/>
        <v>-3.5899484830984858</v>
      </c>
      <c r="P178" s="419">
        <f t="shared" si="244"/>
        <v>-2.9954177327826828</v>
      </c>
      <c r="Q178" s="419">
        <f t="shared" si="244"/>
        <v>-2.5650814208860777</v>
      </c>
    </row>
    <row r="179" spans="2:17" x14ac:dyDescent="0.35">
      <c r="B179" s="206" t="str">
        <f>B8</f>
        <v>ML-007</v>
      </c>
      <c r="C179" s="419"/>
      <c r="D179" s="419"/>
      <c r="E179" s="419" t="e">
        <f t="shared" ref="E179:L179" si="245">E170/E$173*E$165</f>
        <v>#REF!</v>
      </c>
      <c r="F179" s="419"/>
      <c r="G179" s="419"/>
      <c r="H179" s="419">
        <f t="shared" si="245"/>
        <v>0.91804999999999981</v>
      </c>
      <c r="I179" s="419">
        <f t="shared" si="245"/>
        <v>1.3104</v>
      </c>
      <c r="J179" s="419">
        <f t="shared" si="245"/>
        <v>1.0522094721360868</v>
      </c>
      <c r="K179" s="419">
        <f t="shared" si="245"/>
        <v>0.86102114873868552</v>
      </c>
      <c r="L179" s="419">
        <f t="shared" si="245"/>
        <v>-24.931514150927551</v>
      </c>
      <c r="M179" s="419">
        <f t="shared" ref="M179:Q179" si="246">M170/M$173*M$165</f>
        <v>-0.41431379990817252</v>
      </c>
      <c r="N179" s="419">
        <f t="shared" si="246"/>
        <v>-1.9470895536423272</v>
      </c>
      <c r="O179" s="419">
        <f t="shared" si="246"/>
        <v>-2.0438410151622937</v>
      </c>
      <c r="P179" s="419">
        <f t="shared" si="246"/>
        <v>-1.8647625643131116</v>
      </c>
      <c r="Q179" s="419">
        <f t="shared" si="246"/>
        <v>-1.6719509038362603</v>
      </c>
    </row>
    <row r="180" spans="2:17" x14ac:dyDescent="0.35">
      <c r="B180" s="206" t="str">
        <f>B9</f>
        <v xml:space="preserve">ML-004 </v>
      </c>
      <c r="C180" s="419"/>
      <c r="D180" s="419"/>
      <c r="E180" s="419" t="e">
        <f t="shared" ref="E180:L180" si="247">E171/E$173*E$165</f>
        <v>#REF!</v>
      </c>
      <c r="F180" s="419"/>
      <c r="G180" s="419"/>
      <c r="H180" s="419">
        <f t="shared" si="247"/>
        <v>0.26229999999999992</v>
      </c>
      <c r="I180" s="419">
        <f t="shared" si="247"/>
        <v>0.29120000000000007</v>
      </c>
      <c r="J180" s="419">
        <f t="shared" si="247"/>
        <v>0.23382432714135276</v>
      </c>
      <c r="K180" s="419">
        <f t="shared" si="247"/>
        <v>0.27215736828055176</v>
      </c>
      <c r="L180" s="419">
        <f t="shared" si="247"/>
        <v>-8.7969712514289053</v>
      </c>
      <c r="M180" s="419">
        <f t="shared" ref="M180:Q180" si="248">M171/M$173*M$165</f>
        <v>0.32435945167469094</v>
      </c>
      <c r="N180" s="419">
        <f t="shared" si="248"/>
        <v>6.4987225061963758E-3</v>
      </c>
      <c r="O180" s="419">
        <f t="shared" si="248"/>
        <v>-4.0517060306693282E-2</v>
      </c>
      <c r="P180" s="419">
        <f t="shared" si="248"/>
        <v>-5.2021067408368503E-2</v>
      </c>
      <c r="Q180" s="419">
        <f t="shared" si="248"/>
        <v>-5.3459363969298589E-2</v>
      </c>
    </row>
    <row r="181" spans="2:17" x14ac:dyDescent="0.35">
      <c r="B181" s="206" t="str">
        <f>B10</f>
        <v>Collaboration</v>
      </c>
      <c r="C181" s="419"/>
      <c r="D181" s="419"/>
      <c r="E181" s="419" t="e">
        <f t="shared" ref="E181:L181" si="249">E172/E$173*E$165</f>
        <v>#REF!</v>
      </c>
      <c r="F181" s="419"/>
      <c r="G181" s="419"/>
      <c r="H181" s="419">
        <f t="shared" si="249"/>
        <v>0</v>
      </c>
      <c r="I181" s="419">
        <f t="shared" si="249"/>
        <v>0</v>
      </c>
      <c r="J181" s="419">
        <f t="shared" si="249"/>
        <v>0</v>
      </c>
      <c r="K181" s="419">
        <f t="shared" si="249"/>
        <v>0</v>
      </c>
      <c r="L181" s="419">
        <f t="shared" si="249"/>
        <v>0</v>
      </c>
      <c r="M181" s="419">
        <f t="shared" ref="M181:Q181" si="250">M172/M$173*M$165</f>
        <v>0</v>
      </c>
      <c r="N181" s="419">
        <f t="shared" si="250"/>
        <v>0</v>
      </c>
      <c r="O181" s="419">
        <f t="shared" si="250"/>
        <v>0</v>
      </c>
      <c r="P181" s="419">
        <f t="shared" si="250"/>
        <v>0</v>
      </c>
      <c r="Q181" s="419">
        <f t="shared" si="250"/>
        <v>0</v>
      </c>
    </row>
    <row r="182" spans="2:17" x14ac:dyDescent="0.35"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</row>
    <row r="183" spans="2:17" x14ac:dyDescent="0.35">
      <c r="B183" s="101"/>
      <c r="C183" s="419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</row>
    <row r="184" spans="2:17" x14ac:dyDescent="0.35">
      <c r="B184" s="422" t="s">
        <v>160</v>
      </c>
      <c r="C184" s="425"/>
      <c r="D184" s="425"/>
      <c r="E184" s="425" t="e">
        <f>E37+E66+E120+E93-IS!Z8</f>
        <v>#REF!</v>
      </c>
      <c r="F184" s="425"/>
      <c r="G184" s="425"/>
      <c r="H184" s="425">
        <f>H37+H66+H120+H93-IS!AJ8</f>
        <v>0</v>
      </c>
      <c r="I184" s="425">
        <f>I37+I66+I120+I93-IS!AK8</f>
        <v>0</v>
      </c>
      <c r="J184" s="425">
        <f>J37+J66+J120+J93-IS!AL8</f>
        <v>0</v>
      </c>
      <c r="K184" s="425">
        <f>K37+K66+K120+K93-IS!AM8</f>
        <v>0</v>
      </c>
      <c r="L184" s="425">
        <f>L37+L66+L120+L93-IS!AN8</f>
        <v>0</v>
      </c>
      <c r="M184" s="425">
        <f>M37+M66+M120+M93-IS!AO8</f>
        <v>0</v>
      </c>
      <c r="N184" s="425">
        <f>N37+N66+N120+N93-IS!AP8</f>
        <v>0</v>
      </c>
      <c r="O184" s="425">
        <f>O37+O66+O120+O93-IS!AQ8</f>
        <v>0</v>
      </c>
      <c r="P184" s="425">
        <f>P37+P66+P120+P93-IS!AR8</f>
        <v>0</v>
      </c>
      <c r="Q184" s="425">
        <f>Q37+Q66+Q120+Q93-IS!AS8</f>
        <v>0</v>
      </c>
    </row>
    <row r="185" spans="2:17" x14ac:dyDescent="0.35">
      <c r="B185" s="422" t="s">
        <v>161</v>
      </c>
      <c r="C185" s="425"/>
      <c r="D185" s="425"/>
      <c r="E185" s="425" t="e">
        <f>E38+E67+E94-IS!Z13</f>
        <v>#REF!</v>
      </c>
      <c r="F185" s="425"/>
      <c r="G185" s="425"/>
      <c r="H185" s="425">
        <f>H38+H67+H94-IS!AJ13</f>
        <v>0</v>
      </c>
      <c r="I185" s="425">
        <f>I38+I67+I94-IS!AK13</f>
        <v>0</v>
      </c>
      <c r="J185" s="425">
        <f>J38+J67+J94-IS!AL13</f>
        <v>0</v>
      </c>
      <c r="K185" s="425">
        <f>K38+K67+K94-IS!AM13</f>
        <v>0</v>
      </c>
      <c r="L185" s="425">
        <f>L38+L67+L94-IS!AN13</f>
        <v>0</v>
      </c>
      <c r="M185" s="425">
        <f>M38+M67+M94-IS!AO13</f>
        <v>0</v>
      </c>
      <c r="N185" s="425">
        <f>N38+N67+N94-IS!AP13</f>
        <v>0</v>
      </c>
      <c r="O185" s="425">
        <f>O38+O67+O94-IS!AQ13</f>
        <v>0</v>
      </c>
      <c r="P185" s="425">
        <f>P38+P67+P94-IS!AR13</f>
        <v>1.4210854715202004E-13</v>
      </c>
      <c r="Q185" s="425">
        <f>Q38+Q67+Q94-IS!AS13</f>
        <v>1.9895196601282805E-13</v>
      </c>
    </row>
    <row r="186" spans="2:17" x14ac:dyDescent="0.35">
      <c r="B186" s="422" t="s">
        <v>162</v>
      </c>
      <c r="C186" s="425"/>
      <c r="D186" s="425"/>
      <c r="E186" s="425" t="e">
        <f>E40+E69+E96+E137-IS!Z16</f>
        <v>#REF!</v>
      </c>
      <c r="F186" s="425"/>
      <c r="G186" s="425"/>
      <c r="H186" s="425">
        <f>H40+H69+H96+H137-IS!AJ16</f>
        <v>0</v>
      </c>
      <c r="I186" s="425">
        <f>I40+I69+I96+I137-IS!AK16</f>
        <v>0</v>
      </c>
      <c r="J186" s="425">
        <f>J40+J69+J96+J137-IS!AL16</f>
        <v>0</v>
      </c>
      <c r="K186" s="425">
        <f>K40+K69+K96+K137-IS!AM16</f>
        <v>0</v>
      </c>
      <c r="L186" s="425">
        <f>L40+L69+L96+L137-IS!AN16</f>
        <v>0</v>
      </c>
      <c r="M186" s="425">
        <f>M40+M69+M96+M137-IS!AO16</f>
        <v>0</v>
      </c>
      <c r="N186" s="425">
        <f>N40+N69+N96+N137-IS!AP16</f>
        <v>0</v>
      </c>
      <c r="O186" s="425">
        <f>O40+O69+O96+O137-IS!AQ16</f>
        <v>0</v>
      </c>
      <c r="P186" s="425">
        <f>P40+P69+P96+P137-IS!AR16</f>
        <v>0</v>
      </c>
      <c r="Q186" s="425">
        <f>Q40+Q69+Q96+Q137-IS!AS16</f>
        <v>0</v>
      </c>
    </row>
    <row r="187" spans="2:17" x14ac:dyDescent="0.35">
      <c r="B187" s="422" t="s">
        <v>163</v>
      </c>
      <c r="C187" s="425"/>
      <c r="D187" s="425"/>
      <c r="E187" s="425" t="e">
        <f>E41+E70+E97+E138-IS!Z18</f>
        <v>#REF!</v>
      </c>
      <c r="F187" s="425"/>
      <c r="G187" s="425"/>
      <c r="H187" s="425">
        <f>H41+H70+H97+H138-IS!AJ18</f>
        <v>0</v>
      </c>
      <c r="I187" s="425">
        <f>I41+I70+I97+I138-IS!AK18</f>
        <v>0</v>
      </c>
      <c r="J187" s="425">
        <f>J41+J70+J97+J138-IS!AL18</f>
        <v>0</v>
      </c>
      <c r="K187" s="425">
        <f>K41+K70+K97+K138-IS!AM18</f>
        <v>0</v>
      </c>
      <c r="L187" s="425">
        <f>L41+L70+L97+L138-IS!AN18</f>
        <v>0</v>
      </c>
      <c r="M187" s="425">
        <f>M41+M70+M97+M138-IS!AO18</f>
        <v>0</v>
      </c>
      <c r="N187" s="425">
        <f>N41+N70+N97+N138-IS!AP18</f>
        <v>0</v>
      </c>
      <c r="O187" s="425">
        <f>O41+O70+O97+O138-IS!AQ18</f>
        <v>0</v>
      </c>
      <c r="P187" s="425">
        <f>P41+P70+P97+P138-IS!AR18</f>
        <v>0</v>
      </c>
      <c r="Q187" s="425">
        <f>Q41+Q70+Q97+Q138-IS!AS18</f>
        <v>0</v>
      </c>
    </row>
    <row r="188" spans="2:17" x14ac:dyDescent="0.35">
      <c r="B188" s="422"/>
      <c r="C188" s="426"/>
      <c r="D188" s="426"/>
      <c r="E188" s="426"/>
      <c r="F188" s="426"/>
      <c r="G188" s="426"/>
      <c r="H188" s="426"/>
      <c r="I188" s="426"/>
      <c r="J188" s="426"/>
      <c r="K188" s="426"/>
      <c r="L188" s="426"/>
      <c r="M188" s="426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8EDE3-26CC-4C22-BE34-384660188F20}">
  <sheetPr>
    <tabColor theme="7" tint="0.59999389629810485"/>
  </sheetPr>
  <dimension ref="B1:AI47"/>
  <sheetViews>
    <sheetView topLeftCell="V31" zoomScaleNormal="100" workbookViewId="0">
      <selection activeCell="AG47" sqref="AG47"/>
    </sheetView>
  </sheetViews>
  <sheetFormatPr defaultColWidth="10.1796875" defaultRowHeight="14.5" x14ac:dyDescent="0.35"/>
  <cols>
    <col min="1" max="1" width="10.1796875" style="433"/>
    <col min="2" max="2" width="21.81640625" style="433" customWidth="1"/>
    <col min="3" max="3" width="18.81640625" style="434" customWidth="1"/>
    <col min="4" max="4" width="11.54296875" style="434" customWidth="1"/>
    <col min="5" max="5" width="15.81640625" style="434" customWidth="1"/>
    <col min="6" max="6" width="14.453125" style="434" customWidth="1"/>
    <col min="7" max="7" width="10.453125" style="433" customWidth="1"/>
    <col min="8" max="8" width="12.1796875" style="433" customWidth="1"/>
    <col min="9" max="9" width="10.54296875" style="433" customWidth="1"/>
    <col min="10" max="10" width="7.81640625" style="433" customWidth="1"/>
    <col min="11" max="11" width="14.1796875" style="433" bestFit="1" customWidth="1"/>
    <col min="12" max="12" width="11.1796875" style="433" customWidth="1"/>
    <col min="13" max="13" width="10.1796875" style="433"/>
    <col min="14" max="14" width="5" style="433" customWidth="1"/>
    <col min="15" max="15" width="10.1796875" style="433"/>
    <col min="16" max="16" width="12.453125" style="433" bestFit="1" customWidth="1"/>
    <col min="17" max="16384" width="10.1796875" style="433"/>
  </cols>
  <sheetData>
    <row r="1" spans="2:12" x14ac:dyDescent="0.35">
      <c r="B1" s="432" t="s">
        <v>169</v>
      </c>
      <c r="C1" s="432" t="s">
        <v>170</v>
      </c>
      <c r="D1" s="432" t="s">
        <v>171</v>
      </c>
      <c r="E1" s="432" t="s">
        <v>172</v>
      </c>
      <c r="F1" s="432"/>
      <c r="G1" s="432" t="s">
        <v>173</v>
      </c>
      <c r="H1" s="432" t="s">
        <v>174</v>
      </c>
      <c r="I1" s="432"/>
      <c r="J1" s="432" t="s">
        <v>175</v>
      </c>
      <c r="K1" s="432" t="s">
        <v>176</v>
      </c>
      <c r="L1" s="432" t="s">
        <v>177</v>
      </c>
    </row>
    <row r="2" spans="2:12" ht="15" thickBot="1" x14ac:dyDescent="0.4"/>
    <row r="3" spans="2:12" ht="15.75" customHeight="1" thickBot="1" x14ac:dyDescent="0.4">
      <c r="B3" s="435"/>
      <c r="C3" s="436"/>
      <c r="D3" s="436"/>
      <c r="E3" s="436"/>
      <c r="F3" s="436"/>
      <c r="G3" s="437" t="s">
        <v>178</v>
      </c>
      <c r="H3" s="438"/>
      <c r="I3" s="439"/>
      <c r="J3" s="440"/>
      <c r="K3" s="1065" t="s">
        <v>179</v>
      </c>
      <c r="L3" s="1066"/>
    </row>
    <row r="4" spans="2:12" ht="51" customHeight="1" thickBot="1" x14ac:dyDescent="0.4">
      <c r="B4" s="441" t="s">
        <v>180</v>
      </c>
      <c r="C4" s="442" t="s">
        <v>108</v>
      </c>
      <c r="D4" s="442" t="s">
        <v>109</v>
      </c>
      <c r="E4" s="711" t="s">
        <v>110</v>
      </c>
      <c r="F4" s="442" t="s">
        <v>111</v>
      </c>
      <c r="G4" s="443" t="s">
        <v>181</v>
      </c>
      <c r="H4" s="444" t="s">
        <v>182</v>
      </c>
      <c r="I4" s="445" t="s">
        <v>183</v>
      </c>
      <c r="J4" s="444" t="s">
        <v>184</v>
      </c>
      <c r="K4" s="443" t="s">
        <v>185</v>
      </c>
      <c r="L4" s="445" t="s">
        <v>183</v>
      </c>
    </row>
    <row r="5" spans="2:12" x14ac:dyDescent="0.35">
      <c r="B5" s="446" t="s">
        <v>186</v>
      </c>
      <c r="C5" s="454"/>
      <c r="D5" s="447"/>
      <c r="E5" s="448"/>
      <c r="F5" s="448"/>
      <c r="G5" s="449"/>
      <c r="H5" s="450"/>
      <c r="I5" s="453"/>
      <c r="J5" s="451"/>
      <c r="K5" s="449"/>
      <c r="L5" s="452"/>
    </row>
    <row r="6" spans="2:12" ht="18.75" customHeight="1" x14ac:dyDescent="0.35">
      <c r="B6" s="455" t="str">
        <f>SOTP!B7</f>
        <v>ML-007</v>
      </c>
      <c r="C6" s="498" t="str">
        <f>SOTP!G7</f>
        <v>Schizophrenia</v>
      </c>
      <c r="D6" s="456" t="str">
        <f>SOTP!H7</f>
        <v>US</v>
      </c>
      <c r="E6" s="457" t="str">
        <f>SOTP!I7</f>
        <v>Phase 2</v>
      </c>
      <c r="F6" s="458">
        <f>SOTP!J7</f>
        <v>2029</v>
      </c>
      <c r="G6" s="459">
        <f>SOTP!K7</f>
        <v>1545.7080953422176</v>
      </c>
      <c r="H6" s="460">
        <f>SOTP!L7</f>
        <v>2606.8066940509316</v>
      </c>
      <c r="I6" s="461">
        <f>SOTP!M7</f>
        <v>29.162251933763361</v>
      </c>
      <c r="J6" s="462">
        <f>SOTP!N7</f>
        <v>0.55000000000000004</v>
      </c>
      <c r="K6" s="459">
        <f>SOTP!Q7</f>
        <v>748.21407084948294</v>
      </c>
      <c r="L6" s="461">
        <f>SOTP!R7</f>
        <v>16.03923856356985</v>
      </c>
    </row>
    <row r="7" spans="2:12" ht="18.75" customHeight="1" x14ac:dyDescent="0.35">
      <c r="B7" s="455" t="str">
        <f>SOTP!B8</f>
        <v>ML-007</v>
      </c>
      <c r="C7" s="498" t="str">
        <f>SOTP!G8</f>
        <v>AD Psychosis</v>
      </c>
      <c r="D7" s="456" t="str">
        <f>SOTP!H8</f>
        <v>US</v>
      </c>
      <c r="E7" s="457" t="str">
        <f>SOTP!I8</f>
        <v>Phase 2</v>
      </c>
      <c r="F7" s="458">
        <f>SOTP!J8</f>
        <v>2030</v>
      </c>
      <c r="G7" s="459">
        <f>SOTP!K8</f>
        <v>2393.5535392596021</v>
      </c>
      <c r="H7" s="460">
        <f>SOTP!L8</f>
        <v>3270.6507255716942</v>
      </c>
      <c r="I7" s="461">
        <f>SOTP!M8</f>
        <v>36.588651035819439</v>
      </c>
      <c r="J7" s="462">
        <f>SOTP!N8</f>
        <v>0.25</v>
      </c>
      <c r="K7" s="459">
        <f>SOTP!Q8</f>
        <v>426.70578515774184</v>
      </c>
      <c r="L7" s="461">
        <f>SOTP!R8</f>
        <v>9.1471627589548596</v>
      </c>
    </row>
    <row r="8" spans="2:12" ht="18.75" customHeight="1" x14ac:dyDescent="0.35">
      <c r="B8" s="455" t="str">
        <f>SOTP!B9</f>
        <v xml:space="preserve">ML-004 </v>
      </c>
      <c r="C8" s="498" t="str">
        <f>SOTP!G9</f>
        <v>ASD</v>
      </c>
      <c r="D8" s="456" t="str">
        <f>SOTP!H9</f>
        <v>US</v>
      </c>
      <c r="E8" s="457" t="str">
        <f>SOTP!I9</f>
        <v>Phase 2</v>
      </c>
      <c r="F8" s="458">
        <f>SOTP!J9</f>
        <v>2031</v>
      </c>
      <c r="G8" s="459">
        <f>SOTP!K9</f>
        <v>27.19675978445704</v>
      </c>
      <c r="H8" s="460">
        <f>SOTP!L9</f>
        <v>-64.933077896871083</v>
      </c>
      <c r="I8" s="461">
        <f>SOTP!M9</f>
        <v>-0.72640398721725796</v>
      </c>
      <c r="J8" s="462">
        <f>SOTP!N9</f>
        <v>0.05</v>
      </c>
      <c r="K8" s="459">
        <f>SOTP!Q9</f>
        <v>-1.6943001446203081</v>
      </c>
      <c r="L8" s="461">
        <f>SOTP!R9</f>
        <v>-3.63201993608629E-2</v>
      </c>
    </row>
    <row r="9" spans="2:12" ht="18.75" hidden="1" customHeight="1" x14ac:dyDescent="0.35">
      <c r="B9" s="455" t="str">
        <f>SOTP!B10</f>
        <v>Collaboration</v>
      </c>
      <c r="C9" s="454"/>
      <c r="D9" s="456" t="str">
        <f>SOTP!H10</f>
        <v>EU</v>
      </c>
      <c r="E9" s="457"/>
      <c r="F9" s="458"/>
      <c r="G9" s="459">
        <f>SOTP!K10</f>
        <v>0</v>
      </c>
      <c r="H9" s="460" t="e">
        <f>SOTP!L10</f>
        <v>#DIV/0!</v>
      </c>
      <c r="I9" s="461" t="e">
        <f>SOTP!M10</f>
        <v>#DIV/0!</v>
      </c>
      <c r="J9" s="462">
        <f>SOTP!N10</f>
        <v>0</v>
      </c>
      <c r="K9" s="459">
        <f>SOTP!Q10</f>
        <v>0</v>
      </c>
      <c r="L9" s="461">
        <f>SOTP!R10</f>
        <v>0</v>
      </c>
    </row>
    <row r="10" spans="2:12" x14ac:dyDescent="0.35">
      <c r="B10" s="463" t="s">
        <v>157</v>
      </c>
      <c r="C10" s="454"/>
      <c r="D10" s="464"/>
      <c r="E10" s="465"/>
      <c r="F10" s="465"/>
      <c r="G10" s="449">
        <f>SUM(G6:G9)</f>
        <v>3966.4583943862763</v>
      </c>
      <c r="H10" s="450">
        <f>SUM(H6:H8)</f>
        <v>5812.5243417257543</v>
      </c>
      <c r="I10" s="453">
        <f>SUM(I6:I8)</f>
        <v>65.024498982365543</v>
      </c>
      <c r="J10" s="466"/>
      <c r="K10" s="449">
        <f>SUM(K6:K9)</f>
        <v>1173.2255558626046</v>
      </c>
      <c r="L10" s="453">
        <f>SUM(L6:L9)</f>
        <v>25.150081123163847</v>
      </c>
    </row>
    <row r="11" spans="2:12" ht="6" customHeight="1" x14ac:dyDescent="0.35">
      <c r="B11" s="467"/>
      <c r="C11" s="454"/>
      <c r="D11" s="448"/>
      <c r="E11" s="448"/>
      <c r="F11" s="448"/>
      <c r="G11" s="467"/>
      <c r="H11" s="468"/>
      <c r="I11" s="469"/>
      <c r="J11" s="470"/>
      <c r="K11" s="471"/>
      <c r="L11" s="453"/>
    </row>
    <row r="12" spans="2:12" x14ac:dyDescent="0.35">
      <c r="B12" s="446" t="s">
        <v>118</v>
      </c>
      <c r="C12" s="447"/>
      <c r="D12" s="447"/>
      <c r="E12" s="447"/>
      <c r="F12" s="447"/>
      <c r="G12" s="472"/>
      <c r="H12" s="468"/>
      <c r="I12" s="469"/>
      <c r="J12" s="470"/>
      <c r="K12" s="471"/>
      <c r="L12" s="453"/>
    </row>
    <row r="13" spans="2:12" x14ac:dyDescent="0.35">
      <c r="B13" s="473" t="s">
        <v>339</v>
      </c>
      <c r="C13" s="474"/>
      <c r="D13" s="464"/>
      <c r="E13" s="464"/>
      <c r="F13" s="464"/>
      <c r="G13" s="475"/>
      <c r="H13" s="450">
        <f>SOTP!L12</f>
        <v>107.87032679492377</v>
      </c>
      <c r="I13" s="453">
        <f>SOTP!M12</f>
        <v>2.3123835447650603</v>
      </c>
      <c r="J13" s="476"/>
      <c r="K13" s="449">
        <f>H13</f>
        <v>107.87032679492377</v>
      </c>
      <c r="L13" s="453">
        <f>I13</f>
        <v>2.3123835447650603</v>
      </c>
    </row>
    <row r="14" spans="2:12" ht="15" thickBot="1" x14ac:dyDescent="0.4">
      <c r="B14" s="477" t="s">
        <v>121</v>
      </c>
      <c r="C14" s="478"/>
      <c r="D14" s="479"/>
      <c r="E14" s="479"/>
      <c r="F14" s="479"/>
      <c r="G14" s="475"/>
      <c r="H14" s="450">
        <f>SOTP!L13</f>
        <v>453.096</v>
      </c>
      <c r="I14" s="453">
        <f>SOTP!M13</f>
        <v>9.7128818066042477</v>
      </c>
      <c r="J14" s="476"/>
      <c r="K14" s="449">
        <f>H14</f>
        <v>453.096</v>
      </c>
      <c r="L14" s="453">
        <f>I14</f>
        <v>9.7128818066042477</v>
      </c>
    </row>
    <row r="15" spans="2:12" ht="15" thickBot="1" x14ac:dyDescent="0.4">
      <c r="B15" s="480" t="s">
        <v>187</v>
      </c>
      <c r="C15" s="481"/>
      <c r="D15" s="481"/>
      <c r="E15" s="481"/>
      <c r="F15" s="481"/>
      <c r="G15" s="482"/>
      <c r="H15" s="483">
        <f>SUM(H10,H13,H14)</f>
        <v>6373.4906685206788</v>
      </c>
      <c r="I15" s="484">
        <f>SUM(I10,I13,I14)</f>
        <v>77.049764333734842</v>
      </c>
      <c r="J15" s="485"/>
      <c r="K15" s="486">
        <f>SUM(K10,K13,K14)</f>
        <v>1734.1918826575284</v>
      </c>
      <c r="L15" s="487">
        <f>SUM(L10,L13,L14)</f>
        <v>37.175346474533157</v>
      </c>
    </row>
    <row r="16" spans="2:12" x14ac:dyDescent="0.35">
      <c r="B16" s="488" t="s">
        <v>188</v>
      </c>
      <c r="C16" s="488"/>
      <c r="D16" s="488"/>
      <c r="E16" s="488"/>
      <c r="F16" s="488"/>
      <c r="G16" s="489"/>
      <c r="H16" s="490"/>
      <c r="I16" s="490"/>
      <c r="J16" s="490"/>
      <c r="K16" s="490"/>
      <c r="L16" s="490"/>
    </row>
    <row r="17" spans="2:22" x14ac:dyDescent="0.35">
      <c r="B17" s="488"/>
      <c r="C17" s="488"/>
      <c r="D17" s="488"/>
      <c r="E17" s="488"/>
      <c r="F17" s="488"/>
      <c r="G17" s="489"/>
      <c r="H17" s="490"/>
      <c r="I17" s="490"/>
      <c r="J17" s="490"/>
      <c r="K17" s="490"/>
      <c r="L17" s="490"/>
    </row>
    <row r="18" spans="2:22" x14ac:dyDescent="0.35">
      <c r="B18" s="488"/>
      <c r="C18" s="488"/>
      <c r="D18" s="488"/>
      <c r="E18" s="488"/>
      <c r="F18" s="488"/>
      <c r="G18" s="489"/>
      <c r="H18" s="490"/>
      <c r="I18" s="490"/>
      <c r="J18" s="490"/>
      <c r="K18" s="490"/>
      <c r="L18" s="490"/>
      <c r="R18" s="491" t="str">
        <f>CONCATENATE(B6," - ",C6)</f>
        <v>ML-007 - Schizophrenia</v>
      </c>
      <c r="S18" s="491" t="str">
        <f>CONCATENATE(B7," - ",C7)</f>
        <v>ML-007 - AD Psychosis</v>
      </c>
      <c r="T18" s="491" t="str">
        <f>B13</f>
        <v>Platform Value</v>
      </c>
      <c r="U18" s="499" t="str">
        <f>B14</f>
        <v>Net Cash</v>
      </c>
      <c r="V18" s="491" t="s">
        <v>189</v>
      </c>
    </row>
    <row r="19" spans="2:22" x14ac:dyDescent="0.35">
      <c r="B19" s="488"/>
      <c r="C19" s="488"/>
      <c r="D19" s="488"/>
      <c r="E19" s="488"/>
      <c r="F19" s="488"/>
      <c r="G19" s="489"/>
      <c r="H19" s="490"/>
      <c r="I19" s="490"/>
      <c r="J19" s="490"/>
      <c r="K19" s="490"/>
      <c r="L19" s="490"/>
      <c r="Q19" s="491" t="s">
        <v>190</v>
      </c>
      <c r="R19" s="500"/>
      <c r="S19" s="500">
        <f>R20</f>
        <v>16.03923856356985</v>
      </c>
      <c r="T19" s="500">
        <f>S19+S20</f>
        <v>25.186401322524709</v>
      </c>
      <c r="U19" s="500">
        <f>T19+T20</f>
        <v>27.498784867289771</v>
      </c>
      <c r="V19" s="500"/>
    </row>
    <row r="20" spans="2:22" x14ac:dyDescent="0.35">
      <c r="B20" s="488"/>
      <c r="C20" s="488"/>
      <c r="D20" s="488"/>
      <c r="E20" s="488"/>
      <c r="F20" s="488"/>
      <c r="G20" s="489"/>
      <c r="H20" s="490"/>
      <c r="I20" s="490"/>
      <c r="J20" s="490"/>
      <c r="K20" s="490"/>
      <c r="L20" s="490"/>
      <c r="Q20" s="491" t="s">
        <v>191</v>
      </c>
      <c r="R20" s="500">
        <f>L6</f>
        <v>16.03923856356985</v>
      </c>
      <c r="S20" s="500">
        <f>L7</f>
        <v>9.1471627589548596</v>
      </c>
      <c r="T20" s="500">
        <f>L13</f>
        <v>2.3123835447650603</v>
      </c>
      <c r="U20" s="500">
        <f>L14</f>
        <v>9.7128818066042477</v>
      </c>
      <c r="V20" s="500">
        <f>U19+U20</f>
        <v>37.211666673894015</v>
      </c>
    </row>
    <row r="21" spans="2:22" x14ac:dyDescent="0.35">
      <c r="B21" s="488"/>
      <c r="C21" s="488"/>
      <c r="D21" s="488"/>
      <c r="E21" s="488"/>
      <c r="F21" s="488"/>
      <c r="G21" s="489"/>
      <c r="H21" s="490"/>
      <c r="I21" s="490"/>
      <c r="J21" s="490"/>
      <c r="K21" s="490"/>
      <c r="L21" s="490"/>
    </row>
    <row r="22" spans="2:22" x14ac:dyDescent="0.35">
      <c r="B22" s="488"/>
      <c r="C22" s="488"/>
      <c r="D22" s="488"/>
      <c r="E22" s="488"/>
      <c r="F22" s="488"/>
      <c r="G22" s="489"/>
      <c r="H22" s="490"/>
      <c r="I22" s="490"/>
      <c r="J22" s="490"/>
      <c r="K22" s="490"/>
      <c r="L22" s="490"/>
    </row>
    <row r="23" spans="2:22" x14ac:dyDescent="0.35">
      <c r="B23" s="488"/>
      <c r="C23" s="488"/>
      <c r="D23" s="488"/>
      <c r="E23" s="488"/>
      <c r="F23" s="488"/>
      <c r="G23" s="489"/>
      <c r="H23" s="490"/>
      <c r="I23" s="490"/>
      <c r="J23" s="490"/>
      <c r="K23" s="490"/>
      <c r="L23" s="490"/>
    </row>
    <row r="24" spans="2:22" x14ac:dyDescent="0.35">
      <c r="B24" s="488"/>
      <c r="C24" s="488"/>
      <c r="D24" s="488"/>
      <c r="E24" s="488"/>
      <c r="F24" s="488"/>
      <c r="G24" s="489"/>
      <c r="H24" s="490"/>
      <c r="I24" s="490"/>
      <c r="J24" s="490"/>
      <c r="K24" s="490"/>
      <c r="L24" s="490"/>
    </row>
    <row r="25" spans="2:22" x14ac:dyDescent="0.35">
      <c r="B25" s="488"/>
      <c r="C25" s="488"/>
      <c r="D25" s="488"/>
      <c r="E25" s="488"/>
      <c r="F25" s="488"/>
      <c r="G25" s="489"/>
      <c r="H25" s="490"/>
      <c r="I25" s="490"/>
      <c r="J25" s="490"/>
      <c r="K25" s="490"/>
      <c r="L25" s="490"/>
    </row>
    <row r="26" spans="2:22" x14ac:dyDescent="0.35">
      <c r="B26" s="488"/>
      <c r="C26" s="488"/>
      <c r="D26" s="488"/>
      <c r="E26" s="488"/>
      <c r="F26" s="488"/>
      <c r="G26" s="489"/>
      <c r="H26" s="490"/>
      <c r="I26" s="490"/>
      <c r="J26" s="490"/>
      <c r="K26" s="490"/>
      <c r="L26" s="490"/>
    </row>
    <row r="27" spans="2:22" ht="18.5" x14ac:dyDescent="0.45">
      <c r="B27" s="1064"/>
      <c r="C27" s="1064"/>
      <c r="D27" s="1064"/>
      <c r="E27" s="1064"/>
      <c r="F27" s="1064"/>
      <c r="G27" s="1064"/>
      <c r="H27" s="1064"/>
      <c r="I27" s="1064"/>
      <c r="J27" s="1064"/>
      <c r="K27" s="1064"/>
      <c r="L27" s="1064"/>
    </row>
    <row r="37" spans="31:35" x14ac:dyDescent="0.35">
      <c r="AF37" s="492"/>
      <c r="AG37" s="493"/>
      <c r="AH37" s="492"/>
      <c r="AI37" s="494"/>
    </row>
    <row r="43" spans="31:35" x14ac:dyDescent="0.35">
      <c r="AF43" s="491"/>
    </row>
    <row r="44" spans="31:35" x14ac:dyDescent="0.35">
      <c r="AE44" s="499" t="s">
        <v>393</v>
      </c>
      <c r="AF44" s="495" t="s">
        <v>192</v>
      </c>
      <c r="AG44" s="495" t="s">
        <v>193</v>
      </c>
      <c r="AH44" s="491" t="s">
        <v>194</v>
      </c>
    </row>
    <row r="45" spans="31:35" x14ac:dyDescent="0.35">
      <c r="AF45" s="1061">
        <f ca="1">TODAY()</f>
        <v>46119</v>
      </c>
      <c r="AG45" s="1061">
        <f ca="1">TODAY()</f>
        <v>46119</v>
      </c>
      <c r="AH45" s="491"/>
    </row>
    <row r="46" spans="31:35" x14ac:dyDescent="0.35">
      <c r="AF46" s="496">
        <f>_xll.FDS(AE44,"FREF_MARKET_VALUE_COMPANY(0,,,,,0)")</f>
        <v>898.377005038172</v>
      </c>
      <c r="AG46" s="496">
        <v>-450</v>
      </c>
      <c r="AH46" s="497">
        <f>AF46+AG46</f>
        <v>448.377005038172</v>
      </c>
    </row>
    <row r="47" spans="31:35" x14ac:dyDescent="0.35">
      <c r="AF47" s="497">
        <v>6.7465579815327699</v>
      </c>
      <c r="AG47" s="497">
        <v>-2.3405823031586754</v>
      </c>
      <c r="AH47" s="497">
        <v>4.4059756783740944</v>
      </c>
    </row>
  </sheetData>
  <mergeCells count="2">
    <mergeCell ref="B27:L27"/>
    <mergeCell ref="K3:L3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102A-D272-40D8-9459-DEF7B0F9101D}">
  <dimension ref="B1:AB33"/>
  <sheetViews>
    <sheetView zoomScale="85" zoomScaleNormal="85" workbookViewId="0">
      <selection activeCell="H40" sqref="H40"/>
    </sheetView>
  </sheetViews>
  <sheetFormatPr defaultColWidth="12.7265625" defaultRowHeight="12.75" customHeight="1" x14ac:dyDescent="0.35"/>
  <cols>
    <col min="1" max="1" width="9.1796875" customWidth="1"/>
    <col min="2" max="2" width="11.453125" customWidth="1"/>
    <col min="3" max="3" width="52.54296875" customWidth="1"/>
    <col min="4" max="4" width="7.7265625" customWidth="1"/>
  </cols>
  <sheetData>
    <row r="1" spans="2:28" ht="21.75" customHeight="1" x14ac:dyDescent="0.35">
      <c r="E1" s="1067" t="str">
        <f>HYPERLINK("#Revenue_RV!Notes","See the Notes for this Sheet")</f>
        <v>See the Notes for this Sheet</v>
      </c>
      <c r="F1" s="1067"/>
      <c r="G1" s="1067"/>
    </row>
    <row r="2" spans="2:28" ht="12.75" customHeight="1" x14ac:dyDescent="0.35">
      <c r="B2" s="759" t="s">
        <v>289</v>
      </c>
      <c r="C2" s="760" t="str">
        <f>_xll.VADetail("Name",$C$3)</f>
        <v>MapLight Therapeutics, Inc.</v>
      </c>
    </row>
    <row r="3" spans="2:28" ht="12.75" customHeight="1" x14ac:dyDescent="0.35">
      <c r="B3" s="759" t="s">
        <v>196</v>
      </c>
      <c r="C3" s="760" t="s">
        <v>435</v>
      </c>
    </row>
    <row r="4" spans="2:28" ht="12.75" customHeight="1" x14ac:dyDescent="0.35">
      <c r="B4" s="759" t="s">
        <v>290</v>
      </c>
      <c r="C4" s="760" t="s">
        <v>291</v>
      </c>
    </row>
    <row r="5" spans="2:28" ht="12.75" customHeight="1" x14ac:dyDescent="0.35">
      <c r="B5" s="759" t="s">
        <v>292</v>
      </c>
      <c r="C5" s="760" t="s">
        <v>293</v>
      </c>
    </row>
    <row r="6" spans="2:28" ht="12.75" customHeight="1" x14ac:dyDescent="0.35">
      <c r="B6" s="759" t="s">
        <v>294</v>
      </c>
      <c r="C6" s="760" t="s">
        <v>434</v>
      </c>
    </row>
    <row r="7" spans="2:28" ht="12.75" customHeight="1" x14ac:dyDescent="0.35">
      <c r="B7" s="759" t="s">
        <v>295</v>
      </c>
      <c r="C7" s="760">
        <v>46063</v>
      </c>
    </row>
    <row r="8" spans="2:28" ht="12.75" customHeight="1" x14ac:dyDescent="0.35">
      <c r="E8" s="761" t="s">
        <v>352</v>
      </c>
      <c r="F8" s="761" t="s">
        <v>353</v>
      </c>
      <c r="G8" s="761" t="s">
        <v>354</v>
      </c>
      <c r="H8" s="761" t="s">
        <v>355</v>
      </c>
      <c r="I8" s="761" t="s">
        <v>296</v>
      </c>
      <c r="J8" s="761" t="s">
        <v>433</v>
      </c>
      <c r="K8" s="761" t="s">
        <v>432</v>
      </c>
      <c r="L8" s="761" t="s">
        <v>431</v>
      </c>
      <c r="M8" s="761" t="s">
        <v>430</v>
      </c>
      <c r="N8" s="761" t="s">
        <v>297</v>
      </c>
      <c r="O8" s="761" t="s">
        <v>375</v>
      </c>
      <c r="P8" s="761" t="s">
        <v>376</v>
      </c>
      <c r="Q8" s="761" t="s">
        <v>377</v>
      </c>
      <c r="R8" s="761" t="s">
        <v>378</v>
      </c>
      <c r="S8" s="761" t="s">
        <v>298</v>
      </c>
      <c r="T8" s="761" t="s">
        <v>299</v>
      </c>
      <c r="U8" s="761" t="s">
        <v>300</v>
      </c>
      <c r="V8" s="761" t="s">
        <v>301</v>
      </c>
      <c r="W8" s="761" t="s">
        <v>302</v>
      </c>
      <c r="X8" s="761" t="s">
        <v>303</v>
      </c>
      <c r="Y8" s="761" t="s">
        <v>304</v>
      </c>
      <c r="Z8" s="761" t="s">
        <v>305</v>
      </c>
      <c r="AA8" s="761" t="s">
        <v>306</v>
      </c>
      <c r="AB8" s="761" t="s">
        <v>307</v>
      </c>
    </row>
    <row r="9" spans="2:28" ht="12.75" customHeight="1" x14ac:dyDescent="0.35">
      <c r="E9" s="761" t="str">
        <f>_xll.VADetail("ActualOrEstimate",$C$3,"Consensus",E$8)</f>
        <v>A</v>
      </c>
      <c r="F9" s="761" t="str">
        <f>_xll.VADetail("ActualOrEstimate",$C$3,"Consensus",F$8)</f>
        <v>A</v>
      </c>
      <c r="G9" s="761" t="str">
        <f>_xll.VADetail("ActualOrEstimate",$C$3,"Consensus",G$8)</f>
        <v>A</v>
      </c>
      <c r="H9" s="761" t="str">
        <f>_xll.VADetail("ActualOrEstimate",$C$3,"Consensus",H$8)</f>
        <v>A</v>
      </c>
      <c r="I9" s="761" t="str">
        <f>_xll.VADetail("ActualOrEstimate",$C$3,"Consensus",I$8)</f>
        <v>A</v>
      </c>
      <c r="J9" s="761" t="str">
        <f>_xll.VADetail("ActualOrEstimate",$C$3,"Consensus",J$8)</f>
        <v>A</v>
      </c>
      <c r="K9" s="761" t="str">
        <f>_xll.VADetail("ActualOrEstimate",$C$3,"Consensus",K$8)</f>
        <v>A</v>
      </c>
      <c r="L9" s="761" t="str">
        <f>_xll.VADetail("ActualOrEstimate",$C$3,"Consensus",L$8)</f>
        <v>A</v>
      </c>
      <c r="M9" s="761" t="str">
        <f>_xll.VADetail("ActualOrEstimate",$C$3,"Consensus",M$8)</f>
        <v>A</v>
      </c>
      <c r="N9" s="761" t="str">
        <f>_xll.VADetail("ActualOrEstimate",$C$3,"Consensus",N$8)</f>
        <v>A</v>
      </c>
      <c r="O9" s="761" t="str">
        <f>_xll.VADetail("ActualOrEstimate",$C$3,"Consensus",O$8)</f>
        <v>E</v>
      </c>
      <c r="P9" s="761" t="str">
        <f>_xll.VADetail("ActualOrEstimate",$C$3,"Consensus",P$8)</f>
        <v>E</v>
      </c>
      <c r="Q9" s="761" t="str">
        <f>_xll.VADetail("ActualOrEstimate",$C$3,"Consensus",Q$8)</f>
        <v>E</v>
      </c>
      <c r="R9" s="761" t="str">
        <f>_xll.VADetail("ActualOrEstimate",$C$3,"Consensus",R$8)</f>
        <v>E</v>
      </c>
      <c r="S9" s="761" t="str">
        <f>_xll.VADetail("ActualOrEstimate",$C$3,"Consensus",S$8)</f>
        <v>E</v>
      </c>
      <c r="T9" s="761" t="str">
        <f>_xll.VADetail("ActualOrEstimate",$C$3,"Consensus",T$8)</f>
        <v>E</v>
      </c>
      <c r="U9" s="761" t="str">
        <f>_xll.VADetail("ActualOrEstimate",$C$3,"Consensus",U$8)</f>
        <v>E</v>
      </c>
      <c r="V9" s="761" t="str">
        <f>_xll.VADetail("ActualOrEstimate",$C$3,"Consensus",V$8)</f>
        <v>E</v>
      </c>
      <c r="W9" s="761" t="str">
        <f>_xll.VADetail("ActualOrEstimate",$C$3,"Consensus",W$8)</f>
        <v>E</v>
      </c>
      <c r="X9" s="761" t="str">
        <f>_xll.VADetail("ActualOrEstimate",$C$3,"Consensus",X$8)</f>
        <v>E</v>
      </c>
      <c r="Y9" s="761" t="str">
        <f>_xll.VADetail("ActualOrEstimate",$C$3,"Consensus",Y$8)</f>
        <v>E</v>
      </c>
      <c r="Z9" s="761" t="str">
        <f>_xll.VADetail("ActualOrEstimate",$C$3,"Consensus",Z$8)</f>
        <v>E</v>
      </c>
      <c r="AA9" s="761" t="str">
        <f>_xll.VADetail("ActualOrEstimate",$C$3,"Consensus",AA$8)</f>
        <v>E</v>
      </c>
      <c r="AB9" s="761" t="str">
        <f>_xll.VADetail("ActualOrEstimate",$C$3,"Consensus",AB$8)</f>
        <v>E</v>
      </c>
    </row>
    <row r="10" spans="2:28" ht="12.75" customHeight="1" x14ac:dyDescent="0.35">
      <c r="B10" s="761" t="s">
        <v>308</v>
      </c>
      <c r="C10" s="761" t="s">
        <v>309</v>
      </c>
      <c r="D10" s="761" t="s">
        <v>310</v>
      </c>
      <c r="E10" s="761" t="str">
        <f t="shared" ref="E10:AB10" si="0">IF(E$9="A","VA Actuals","Consensus")</f>
        <v>VA Actuals</v>
      </c>
      <c r="F10" s="761" t="str">
        <f t="shared" si="0"/>
        <v>VA Actuals</v>
      </c>
      <c r="G10" s="761" t="str">
        <f t="shared" si="0"/>
        <v>VA Actuals</v>
      </c>
      <c r="H10" s="761" t="str">
        <f t="shared" si="0"/>
        <v>VA Actuals</v>
      </c>
      <c r="I10" s="761" t="str">
        <f t="shared" si="0"/>
        <v>VA Actuals</v>
      </c>
      <c r="J10" s="761" t="str">
        <f t="shared" si="0"/>
        <v>VA Actuals</v>
      </c>
      <c r="K10" s="761" t="str">
        <f t="shared" si="0"/>
        <v>VA Actuals</v>
      </c>
      <c r="L10" s="761" t="str">
        <f t="shared" si="0"/>
        <v>VA Actuals</v>
      </c>
      <c r="M10" s="761" t="str">
        <f t="shared" si="0"/>
        <v>VA Actuals</v>
      </c>
      <c r="N10" s="761" t="str">
        <f t="shared" si="0"/>
        <v>VA Actuals</v>
      </c>
      <c r="O10" s="761" t="str">
        <f t="shared" si="0"/>
        <v>Consensus</v>
      </c>
      <c r="P10" s="761" t="str">
        <f t="shared" si="0"/>
        <v>Consensus</v>
      </c>
      <c r="Q10" s="761" t="str">
        <f t="shared" si="0"/>
        <v>Consensus</v>
      </c>
      <c r="R10" s="761" t="str">
        <f t="shared" si="0"/>
        <v>Consensus</v>
      </c>
      <c r="S10" s="761" t="str">
        <f t="shared" si="0"/>
        <v>Consensus</v>
      </c>
      <c r="T10" s="761" t="str">
        <f t="shared" si="0"/>
        <v>Consensus</v>
      </c>
      <c r="U10" s="761" t="str">
        <f t="shared" si="0"/>
        <v>Consensus</v>
      </c>
      <c r="V10" s="761" t="str">
        <f t="shared" si="0"/>
        <v>Consensus</v>
      </c>
      <c r="W10" s="761" t="str">
        <f t="shared" si="0"/>
        <v>Consensus</v>
      </c>
      <c r="X10" s="761" t="str">
        <f t="shared" si="0"/>
        <v>Consensus</v>
      </c>
      <c r="Y10" s="761" t="str">
        <f t="shared" si="0"/>
        <v>Consensus</v>
      </c>
      <c r="Z10" s="761" t="str">
        <f t="shared" si="0"/>
        <v>Consensus</v>
      </c>
      <c r="AA10" s="761" t="str">
        <f t="shared" si="0"/>
        <v>Consensus</v>
      </c>
      <c r="AB10" s="761" t="str">
        <f t="shared" si="0"/>
        <v>Consensus</v>
      </c>
    </row>
    <row r="11" spans="2:28" ht="12.75" customHeight="1" x14ac:dyDescent="0.35">
      <c r="B11" s="762" t="s">
        <v>175</v>
      </c>
      <c r="C11" s="763" t="s">
        <v>112</v>
      </c>
      <c r="D11" s="762" t="s">
        <v>311</v>
      </c>
      <c r="E11" s="764" t="s">
        <v>311</v>
      </c>
      <c r="F11" s="764" t="s">
        <v>311</v>
      </c>
      <c r="G11" s="764" t="s">
        <v>311</v>
      </c>
      <c r="H11" s="764" t="s">
        <v>311</v>
      </c>
      <c r="I11" s="764" t="s">
        <v>311</v>
      </c>
      <c r="J11" s="764" t="s">
        <v>311</v>
      </c>
      <c r="K11" s="764" t="s">
        <v>311</v>
      </c>
      <c r="L11" s="764" t="s">
        <v>311</v>
      </c>
      <c r="M11" s="764" t="s">
        <v>311</v>
      </c>
      <c r="N11" s="764" t="s">
        <v>311</v>
      </c>
      <c r="O11" s="764" t="s">
        <v>311</v>
      </c>
      <c r="P11" s="764" t="s">
        <v>311</v>
      </c>
      <c r="Q11" s="764" t="s">
        <v>311</v>
      </c>
      <c r="R11" s="764" t="s">
        <v>311</v>
      </c>
      <c r="S11" s="764" t="s">
        <v>311</v>
      </c>
      <c r="T11" s="764" t="s">
        <v>311</v>
      </c>
      <c r="U11" s="764" t="s">
        <v>311</v>
      </c>
      <c r="V11" s="764" t="s">
        <v>311</v>
      </c>
      <c r="W11" s="764" t="s">
        <v>311</v>
      </c>
      <c r="X11" s="764" t="s">
        <v>311</v>
      </c>
      <c r="Y11" s="764" t="s">
        <v>311</v>
      </c>
      <c r="Z11" s="764" t="s">
        <v>311</v>
      </c>
      <c r="AA11" s="764" t="s">
        <v>311</v>
      </c>
      <c r="AB11" s="764" t="s">
        <v>311</v>
      </c>
    </row>
    <row r="12" spans="2:28" ht="12.75" customHeight="1" x14ac:dyDescent="0.35">
      <c r="B12" s="762" t="s">
        <v>175</v>
      </c>
      <c r="C12" s="763" t="s">
        <v>429</v>
      </c>
      <c r="D12" s="762" t="s">
        <v>311</v>
      </c>
      <c r="E12" s="764" t="s">
        <v>311</v>
      </c>
      <c r="F12" s="764" t="s">
        <v>311</v>
      </c>
      <c r="G12" s="764" t="s">
        <v>311</v>
      </c>
      <c r="H12" s="764" t="s">
        <v>311</v>
      </c>
      <c r="I12" s="764" t="s">
        <v>311</v>
      </c>
      <c r="J12" s="764" t="s">
        <v>311</v>
      </c>
      <c r="K12" s="764" t="s">
        <v>311</v>
      </c>
      <c r="L12" s="764" t="s">
        <v>311</v>
      </c>
      <c r="M12" s="764" t="s">
        <v>311</v>
      </c>
      <c r="N12" s="764" t="s">
        <v>311</v>
      </c>
      <c r="O12" s="764" t="s">
        <v>311</v>
      </c>
      <c r="P12" s="764" t="s">
        <v>311</v>
      </c>
      <c r="Q12" s="764" t="s">
        <v>311</v>
      </c>
      <c r="R12" s="764" t="s">
        <v>311</v>
      </c>
      <c r="S12" s="764" t="s">
        <v>311</v>
      </c>
      <c r="T12" s="764" t="s">
        <v>311</v>
      </c>
      <c r="U12" s="764" t="s">
        <v>311</v>
      </c>
      <c r="V12" s="764" t="s">
        <v>311</v>
      </c>
      <c r="W12" s="764" t="s">
        <v>311</v>
      </c>
      <c r="X12" s="764" t="s">
        <v>311</v>
      </c>
      <c r="Y12" s="764" t="s">
        <v>311</v>
      </c>
      <c r="Z12" s="764" t="s">
        <v>311</v>
      </c>
      <c r="AA12" s="764" t="s">
        <v>311</v>
      </c>
      <c r="AB12" s="764" t="s">
        <v>311</v>
      </c>
    </row>
    <row r="13" spans="2:28" ht="12.75" customHeight="1" x14ac:dyDescent="0.35">
      <c r="B13" s="762" t="s">
        <v>428</v>
      </c>
      <c r="C13" s="769" t="s">
        <v>427</v>
      </c>
      <c r="D13" s="762" t="s">
        <v>313</v>
      </c>
      <c r="E13" s="764" t="str">
        <f>_xll.VAData($C$3,E$8,$C13,E$10,$C$5,$C$4,$C$7)</f>
        <v>-</v>
      </c>
      <c r="F13" s="764" t="str">
        <f>_xll.VAData($C$3,F$8,$C13,F$10,$C$5,$C$4,$C$7)</f>
        <v>-</v>
      </c>
      <c r="G13" s="764" t="str">
        <f>_xll.VAData($C$3,G$8,$C13,G$10,$C$5,$C$4,$C$7)</f>
        <v>-</v>
      </c>
      <c r="H13" s="764" t="str">
        <f>_xll.VAData($C$3,H$8,$C13,H$10,$C$5,$C$4,$C$7)</f>
        <v>-</v>
      </c>
      <c r="I13" s="764" t="str">
        <f>_xll.VAData($C$3,I$8,$C13,I$10,$C$5,$C$4,$C$7)</f>
        <v>-</v>
      </c>
      <c r="J13" s="764" t="str">
        <f>_xll.VAData($C$3,J$8,$C13,J$10,$C$5,$C$4,$C$7)</f>
        <v>-</v>
      </c>
      <c r="K13" s="764" t="str">
        <f>_xll.VAData($C$3,K$8,$C13,K$10,$C$5,$C$4,$C$7)</f>
        <v>-</v>
      </c>
      <c r="L13" s="764">
        <f>_xll.VAData($C$3,L$8,$C13,L$10,$C$5,$C$4,$C$7)</f>
        <v>0</v>
      </c>
      <c r="M13" s="764" t="str">
        <f>_xll.VAData($C$3,M$8,$C13,M$10,$C$5,$C$4,$C$7)</f>
        <v>-</v>
      </c>
      <c r="N13" s="764" t="str">
        <f>_xll.VAData($C$3,N$8,$C13,N$10,$C$5,$C$4,$C$7)</f>
        <v>-</v>
      </c>
      <c r="O13" s="764">
        <f>_xll.VAData($C$3,O$8,$C13,O$10,$C$5,$C$4,$C$7)</f>
        <v>0</v>
      </c>
      <c r="P13" s="764">
        <f>_xll.VAData($C$3,P$8,$C13,P$10,$C$5,$C$4,$C$7)</f>
        <v>0</v>
      </c>
      <c r="Q13" s="764">
        <f>_xll.VAData($C$3,Q$8,$C13,Q$10,$C$5,$C$4,$C$7)</f>
        <v>0</v>
      </c>
      <c r="R13" s="764">
        <f>_xll.VAData($C$3,R$8,$C13,R$10,$C$5,$C$4,$C$7)</f>
        <v>0</v>
      </c>
      <c r="S13" s="764">
        <f>_xll.VAData($C$3,S$8,$C13,S$10,$C$5,$C$4,$C$7)</f>
        <v>0</v>
      </c>
      <c r="T13" s="764">
        <f>_xll.VAData($C$3,T$8,$C13,T$10,$C$5,$C$4,$C$7)</f>
        <v>0</v>
      </c>
      <c r="U13" s="764">
        <f>_xll.VAData($C$3,U$8,$C13,U$10,$C$5,$C$4,$C$7)</f>
        <v>0</v>
      </c>
      <c r="V13" s="764">
        <f>_xll.VAData($C$3,V$8,$C13,V$10,$C$5,$C$4,$C$7)</f>
        <v>29.32648012880825</v>
      </c>
      <c r="W13" s="764">
        <f>_xll.VAData($C$3,W$8,$C13,W$10,$C$5,$C$4,$C$7)</f>
        <v>114.0846211723788</v>
      </c>
      <c r="X13" s="764">
        <f>_xll.VAData($C$3,X$8,$C13,X$10,$C$5,$C$4,$C$7)</f>
        <v>275.15584389152878</v>
      </c>
      <c r="Y13" s="764">
        <f>_xll.VAData($C$3,Y$8,$C13,Y$10,$C$5,$C$4,$C$7)</f>
        <v>522.19664026329394</v>
      </c>
      <c r="Z13" s="764">
        <f>_xll.VAData($C$3,Z$8,$C13,Z$10,$C$5,$C$4,$C$7)</f>
        <v>824.05351774014298</v>
      </c>
      <c r="AA13" s="764">
        <f>_xll.VAData($C$3,AA$8,$C13,AA$10,$C$5,$C$4,$C$7)</f>
        <v>1168.0175452202727</v>
      </c>
      <c r="AB13" s="764">
        <f>_xll.VAData($C$3,AB$8,$C13,AB$10,$C$5,$C$4,$C$7)</f>
        <v>1509.7700868711261</v>
      </c>
    </row>
    <row r="14" spans="2:28" ht="12.75" customHeight="1" x14ac:dyDescent="0.35">
      <c r="B14" s="762" t="s">
        <v>426</v>
      </c>
      <c r="C14" s="765" t="s">
        <v>425</v>
      </c>
      <c r="D14" s="762" t="s">
        <v>313</v>
      </c>
      <c r="E14" s="764" t="str">
        <f>_xll.VAData($C$3,E$8,$C14,E$10,$C$5,$C$4,$C$7)</f>
        <v>-</v>
      </c>
      <c r="F14" s="764" t="str">
        <f>_xll.VAData($C$3,F$8,$C14,F$10,$C$5,$C$4,$C$7)</f>
        <v>-</v>
      </c>
      <c r="G14" s="764" t="str">
        <f>_xll.VAData($C$3,G$8,$C14,G$10,$C$5,$C$4,$C$7)</f>
        <v>-</v>
      </c>
      <c r="H14" s="764" t="str">
        <f>_xll.VAData($C$3,H$8,$C14,H$10,$C$5,$C$4,$C$7)</f>
        <v>-</v>
      </c>
      <c r="I14" s="764" t="str">
        <f>_xll.VAData($C$3,I$8,$C14,I$10,$C$5,$C$4,$C$7)</f>
        <v>-</v>
      </c>
      <c r="J14" s="764" t="str">
        <f>_xll.VAData($C$3,J$8,$C14,J$10,$C$5,$C$4,$C$7)</f>
        <v>-</v>
      </c>
      <c r="K14" s="764" t="str">
        <f>_xll.VAData($C$3,K$8,$C14,K$10,$C$5,$C$4,$C$7)</f>
        <v>-</v>
      </c>
      <c r="L14" s="764">
        <f>_xll.VAData($C$3,L$8,$C14,L$10,$C$5,$C$4,$C$7)</f>
        <v>0</v>
      </c>
      <c r="M14" s="764" t="str">
        <f>_xll.VAData($C$3,M$8,$C14,M$10,$C$5,$C$4,$C$7)</f>
        <v>-</v>
      </c>
      <c r="N14" s="764" t="str">
        <f>_xll.VAData($C$3,N$8,$C14,N$10,$C$5,$C$4,$C$7)</f>
        <v>-</v>
      </c>
      <c r="O14" s="764" t="str">
        <f>_xll.VAData($C$3,O$8,$C14,O$10,$C$5,$C$4,$C$7)</f>
        <v>-</v>
      </c>
      <c r="P14" s="764" t="str">
        <f>_xll.VAData($C$3,P$8,$C14,P$10,$C$5,$C$4,$C$7)</f>
        <v>-</v>
      </c>
      <c r="Q14" s="764" t="str">
        <f>_xll.VAData($C$3,Q$8,$C14,Q$10,$C$5,$C$4,$C$7)</f>
        <v>-</v>
      </c>
      <c r="R14" s="764" t="str">
        <f>_xll.VAData($C$3,R$8,$C14,R$10,$C$5,$C$4,$C$7)</f>
        <v>-</v>
      </c>
      <c r="S14" s="764">
        <f>_xll.VAData($C$3,S$8,$C14,S$10,$C$5,$C$4,$C$7)</f>
        <v>0</v>
      </c>
      <c r="T14" s="764">
        <f>_xll.VAData($C$3,T$8,$C14,T$10,$C$5,$C$4,$C$7)</f>
        <v>0</v>
      </c>
      <c r="U14" s="764">
        <f>_xll.VAData($C$3,U$8,$C14,U$10,$C$5,$C$4,$C$7)</f>
        <v>0</v>
      </c>
      <c r="V14" s="764">
        <f>_xll.VAData($C$3,V$8,$C14,V$10,$C$5,$C$4,$C$7)</f>
        <v>17.595888077285025</v>
      </c>
      <c r="W14" s="764">
        <f>_xll.VAData($C$3,W$8,$C14,W$10,$C$5,$C$4,$C$7)</f>
        <v>65.038297314285273</v>
      </c>
      <c r="X14" s="764">
        <f>_xll.VAData($C$3,X$8,$C14,X$10,$C$5,$C$4,$C$7)</f>
        <v>182.01857114198782</v>
      </c>
      <c r="Y14" s="764">
        <f>_xll.VAData($C$3,Y$8,$C14,Y$10,$C$5,$C$4,$C$7)</f>
        <v>303.99642080742575</v>
      </c>
      <c r="Z14" s="764">
        <f>_xll.VAData($C$3,Z$8,$C14,Z$10,$C$5,$C$4,$C$7)</f>
        <v>445.62785263147748</v>
      </c>
      <c r="AA14" s="764">
        <f>_xll.VAData($C$3,AA$8,$C14,AA$10,$C$5,$C$4,$C$7)</f>
        <v>610.24137981742695</v>
      </c>
      <c r="AB14" s="764">
        <f>_xll.VAData($C$3,AB$8,$C14,AB$10,$C$5,$C$4,$C$7)</f>
        <v>775.64771912204105</v>
      </c>
    </row>
    <row r="15" spans="2:28" ht="12.75" customHeight="1" x14ac:dyDescent="0.35">
      <c r="B15" s="762" t="s">
        <v>175</v>
      </c>
      <c r="C15" s="762" t="s">
        <v>410</v>
      </c>
      <c r="D15" s="762" t="s">
        <v>311</v>
      </c>
      <c r="E15" s="764" t="s">
        <v>311</v>
      </c>
      <c r="F15" s="764" t="s">
        <v>311</v>
      </c>
      <c r="G15" s="764" t="s">
        <v>311</v>
      </c>
      <c r="H15" s="764" t="s">
        <v>311</v>
      </c>
      <c r="I15" s="764" t="s">
        <v>311</v>
      </c>
      <c r="J15" s="764" t="s">
        <v>311</v>
      </c>
      <c r="K15" s="764" t="s">
        <v>311</v>
      </c>
      <c r="L15" s="764" t="s">
        <v>311</v>
      </c>
      <c r="M15" s="764" t="s">
        <v>311</v>
      </c>
      <c r="N15" s="764" t="s">
        <v>311</v>
      </c>
      <c r="O15" s="764" t="s">
        <v>311</v>
      </c>
      <c r="P15" s="764" t="s">
        <v>311</v>
      </c>
      <c r="Q15" s="764" t="s">
        <v>311</v>
      </c>
      <c r="R15" s="764" t="s">
        <v>311</v>
      </c>
      <c r="S15" s="764" t="s">
        <v>311</v>
      </c>
      <c r="T15" s="764" t="s">
        <v>311</v>
      </c>
      <c r="U15" s="764" t="s">
        <v>311</v>
      </c>
      <c r="V15" s="764" t="s">
        <v>311</v>
      </c>
      <c r="W15" s="764" t="s">
        <v>311</v>
      </c>
      <c r="X15" s="764" t="s">
        <v>311</v>
      </c>
      <c r="Y15" s="764" t="s">
        <v>311</v>
      </c>
      <c r="Z15" s="764" t="s">
        <v>311</v>
      </c>
      <c r="AA15" s="764" t="s">
        <v>311</v>
      </c>
      <c r="AB15" s="764" t="s">
        <v>311</v>
      </c>
    </row>
    <row r="16" spans="2:28" ht="12.75" customHeight="1" x14ac:dyDescent="0.35">
      <c r="B16" s="762" t="s">
        <v>175</v>
      </c>
      <c r="C16" s="763" t="s">
        <v>424</v>
      </c>
      <c r="D16" s="762" t="s">
        <v>311</v>
      </c>
      <c r="E16" s="764" t="s">
        <v>311</v>
      </c>
      <c r="F16" s="764" t="s">
        <v>311</v>
      </c>
      <c r="G16" s="764" t="s">
        <v>311</v>
      </c>
      <c r="H16" s="764" t="s">
        <v>311</v>
      </c>
      <c r="I16" s="764" t="s">
        <v>311</v>
      </c>
      <c r="J16" s="764" t="s">
        <v>311</v>
      </c>
      <c r="K16" s="764" t="s">
        <v>311</v>
      </c>
      <c r="L16" s="764" t="s">
        <v>311</v>
      </c>
      <c r="M16" s="764" t="s">
        <v>311</v>
      </c>
      <c r="N16" s="764" t="s">
        <v>311</v>
      </c>
      <c r="O16" s="764" t="s">
        <v>311</v>
      </c>
      <c r="P16" s="764" t="s">
        <v>311</v>
      </c>
      <c r="Q16" s="764" t="s">
        <v>311</v>
      </c>
      <c r="R16" s="764" t="s">
        <v>311</v>
      </c>
      <c r="S16" s="764" t="s">
        <v>311</v>
      </c>
      <c r="T16" s="764" t="s">
        <v>311</v>
      </c>
      <c r="U16" s="764" t="s">
        <v>311</v>
      </c>
      <c r="V16" s="764" t="s">
        <v>311</v>
      </c>
      <c r="W16" s="764" t="s">
        <v>311</v>
      </c>
      <c r="X16" s="764" t="s">
        <v>311</v>
      </c>
      <c r="Y16" s="764" t="s">
        <v>311</v>
      </c>
      <c r="Z16" s="764" t="s">
        <v>311</v>
      </c>
      <c r="AA16" s="764" t="s">
        <v>311</v>
      </c>
      <c r="AB16" s="764" t="s">
        <v>311</v>
      </c>
    </row>
    <row r="17" spans="2:28" ht="12.75" customHeight="1" x14ac:dyDescent="0.35">
      <c r="B17" s="762" t="s">
        <v>423</v>
      </c>
      <c r="C17" s="769" t="s">
        <v>422</v>
      </c>
      <c r="D17" s="762" t="s">
        <v>313</v>
      </c>
      <c r="E17" s="764" t="str">
        <f>_xll.VAData($C$3,E$8,$C17,E$10,$C$5,$C$4,$C$7)</f>
        <v>-</v>
      </c>
      <c r="F17" s="764" t="str">
        <f>_xll.VAData($C$3,F$8,$C17,F$10,$C$5,$C$4,$C$7)</f>
        <v>-</v>
      </c>
      <c r="G17" s="764" t="str">
        <f>_xll.VAData($C$3,G$8,$C17,G$10,$C$5,$C$4,$C$7)</f>
        <v>-</v>
      </c>
      <c r="H17" s="764" t="str">
        <f>_xll.VAData($C$3,H$8,$C17,H$10,$C$5,$C$4,$C$7)</f>
        <v>-</v>
      </c>
      <c r="I17" s="764" t="str">
        <f>_xll.VAData($C$3,I$8,$C17,I$10,$C$5,$C$4,$C$7)</f>
        <v>-</v>
      </c>
      <c r="J17" s="764" t="str">
        <f>_xll.VAData($C$3,J$8,$C17,J$10,$C$5,$C$4,$C$7)</f>
        <v>-</v>
      </c>
      <c r="K17" s="764" t="str">
        <f>_xll.VAData($C$3,K$8,$C17,K$10,$C$5,$C$4,$C$7)</f>
        <v>-</v>
      </c>
      <c r="L17" s="764">
        <f>_xll.VAData($C$3,L$8,$C17,L$10,$C$5,$C$4,$C$7)</f>
        <v>0</v>
      </c>
      <c r="M17" s="764" t="str">
        <f>_xll.VAData($C$3,M$8,$C17,M$10,$C$5,$C$4,$C$7)</f>
        <v>-</v>
      </c>
      <c r="N17" s="764" t="str">
        <f>_xll.VAData($C$3,N$8,$C17,N$10,$C$5,$C$4,$C$7)</f>
        <v>-</v>
      </c>
      <c r="O17" s="764" t="str">
        <f>_xll.VAData($C$3,O$8,$C17,O$10,$C$5,$C$4,$C$7)</f>
        <v>-</v>
      </c>
      <c r="P17" s="764" t="str">
        <f>_xll.VAData($C$3,P$8,$C17,P$10,$C$5,$C$4,$C$7)</f>
        <v>-</v>
      </c>
      <c r="Q17" s="764" t="str">
        <f>_xll.VAData($C$3,Q$8,$C17,Q$10,$C$5,$C$4,$C$7)</f>
        <v>-</v>
      </c>
      <c r="R17" s="764" t="str">
        <f>_xll.VAData($C$3,R$8,$C17,R$10,$C$5,$C$4,$C$7)</f>
        <v>-</v>
      </c>
      <c r="S17" s="764">
        <f>_xll.VAData($C$3,S$8,$C17,S$10,$C$5,$C$4,$C$7)</f>
        <v>0</v>
      </c>
      <c r="T17" s="764">
        <f>_xll.VAData($C$3,T$8,$C17,T$10,$C$5,$C$4,$C$7)</f>
        <v>0</v>
      </c>
      <c r="U17" s="764">
        <f>_xll.VAData($C$3,U$8,$C17,U$10,$C$5,$C$4,$C$7)</f>
        <v>0</v>
      </c>
      <c r="V17" s="764">
        <f>_xll.VAData($C$3,V$8,$C17,V$10,$C$5,$C$4,$C$7)</f>
        <v>0</v>
      </c>
      <c r="W17" s="764">
        <f>_xll.VAData($C$3,W$8,$C17,W$10,$C$5,$C$4,$C$7)</f>
        <v>0</v>
      </c>
      <c r="X17" s="764">
        <f>_xll.VAData($C$3,X$8,$C17,X$10,$C$5,$C$4,$C$7)</f>
        <v>58.574737890771253</v>
      </c>
      <c r="Y17" s="764">
        <f>_xll.VAData($C$3,Y$8,$C17,Y$10,$C$5,$C$4,$C$7)</f>
        <v>169.99611565237433</v>
      </c>
      <c r="Z17" s="764">
        <f>_xll.VAData($C$3,Z$8,$C17,Z$10,$C$5,$C$4,$C$7)</f>
        <v>314.31080371065252</v>
      </c>
      <c r="AA17" s="764">
        <f>_xll.VAData($C$3,AA$8,$C17,AA$10,$C$5,$C$4,$C$7)</f>
        <v>425.40166897636794</v>
      </c>
      <c r="AB17" s="764">
        <f>_xll.VAData($C$3,AB$8,$C17,AB$10,$C$5,$C$4,$C$7)</f>
        <v>537.19591480918405</v>
      </c>
    </row>
    <row r="18" spans="2:28" ht="12.75" customHeight="1" x14ac:dyDescent="0.35">
      <c r="B18" s="762" t="s">
        <v>421</v>
      </c>
      <c r="C18" s="769" t="s">
        <v>420</v>
      </c>
      <c r="D18" s="762" t="s">
        <v>312</v>
      </c>
      <c r="E18" s="764" t="str">
        <f>_xll.VAData($C$3,E$8,$C18,E$10,$C$5,$C$4,$C$7)</f>
        <v>-</v>
      </c>
      <c r="F18" s="764" t="str">
        <f>_xll.VAData($C$3,F$8,$C18,F$10,$C$5,$C$4,$C$7)</f>
        <v>-</v>
      </c>
      <c r="G18" s="764" t="str">
        <f>_xll.VAData($C$3,G$8,$C18,G$10,$C$5,$C$4,$C$7)</f>
        <v>-</v>
      </c>
      <c r="H18" s="764" t="str">
        <f>_xll.VAData($C$3,H$8,$C18,H$10,$C$5,$C$4,$C$7)</f>
        <v>-</v>
      </c>
      <c r="I18" s="764" t="str">
        <f>_xll.VAData($C$3,I$8,$C18,I$10,$C$5,$C$4,$C$7)</f>
        <v>-</v>
      </c>
      <c r="J18" s="764" t="str">
        <f>_xll.VAData($C$3,J$8,$C18,J$10,$C$5,$C$4,$C$7)</f>
        <v>-</v>
      </c>
      <c r="K18" s="764" t="str">
        <f>_xll.VAData($C$3,K$8,$C18,K$10,$C$5,$C$4,$C$7)</f>
        <v>-</v>
      </c>
      <c r="L18" s="764" t="str">
        <f>_xll.VAData($C$3,L$8,$C18,L$10,$C$5,$C$4,$C$7)</f>
        <v>-</v>
      </c>
      <c r="M18" s="764" t="str">
        <f>_xll.VAData($C$3,M$8,$C18,M$10,$C$5,$C$4,$C$7)</f>
        <v>-</v>
      </c>
      <c r="N18" s="764" t="str">
        <f>_xll.VAData($C$3,N$8,$C18,N$10,$C$5,$C$4,$C$7)</f>
        <v>-</v>
      </c>
      <c r="O18" s="764">
        <f>_xll.VAData($C$3,O$8,$C18,O$10,$C$5,$C$4,$C$7)</f>
        <v>13.75</v>
      </c>
      <c r="P18" s="764">
        <f>_xll.VAData($C$3,P$8,$C18,P$10,$C$5,$C$4,$C$7)</f>
        <v>13.75</v>
      </c>
      <c r="Q18" s="764">
        <f>_xll.VAData($C$3,Q$8,$C18,Q$10,$C$5,$C$4,$C$7)</f>
        <v>13.75</v>
      </c>
      <c r="R18" s="764">
        <f>_xll.VAData($C$3,R$8,$C18,R$10,$C$5,$C$4,$C$7)</f>
        <v>13.75</v>
      </c>
      <c r="S18" s="764">
        <f>_xll.VAData($C$3,S$8,$C18,S$10,$C$5,$C$4,$C$7)</f>
        <v>13.75</v>
      </c>
      <c r="T18" s="764">
        <f>_xll.VAData($C$3,T$8,$C18,T$10,$C$5,$C$4,$C$7)</f>
        <v>13.75</v>
      </c>
      <c r="U18" s="764">
        <f>_xll.VAData($C$3,U$8,$C18,U$10,$C$5,$C$4,$C$7)</f>
        <v>13.75</v>
      </c>
      <c r="V18" s="764">
        <f>_xll.VAData($C$3,V$8,$C18,V$10,$C$5,$C$4,$C$7)</f>
        <v>13.75</v>
      </c>
      <c r="W18" s="764">
        <f>_xll.VAData($C$3,W$8,$C18,W$10,$C$5,$C$4,$C$7)</f>
        <v>13.75</v>
      </c>
      <c r="X18" s="764">
        <f>_xll.VAData($C$3,X$8,$C18,X$10,$C$5,$C$4,$C$7)</f>
        <v>13.75</v>
      </c>
      <c r="Y18" s="764">
        <f>_xll.VAData($C$3,Y$8,$C18,Y$10,$C$5,$C$4,$C$7)</f>
        <v>13.75</v>
      </c>
      <c r="Z18" s="764">
        <f>_xll.VAData($C$3,Z$8,$C18,Z$10,$C$5,$C$4,$C$7)</f>
        <v>13.75</v>
      </c>
      <c r="AA18" s="764">
        <f>_xll.VAData($C$3,AA$8,$C18,AA$10,$C$5,$C$4,$C$7)</f>
        <v>13.75</v>
      </c>
      <c r="AB18" s="764">
        <f>_xll.VAData($C$3,AB$8,$C18,AB$10,$C$5,$C$4,$C$7)</f>
        <v>13.75</v>
      </c>
    </row>
    <row r="19" spans="2:28" ht="12.75" customHeight="1" x14ac:dyDescent="0.35">
      <c r="B19" s="762" t="s">
        <v>419</v>
      </c>
      <c r="C19" s="765" t="s">
        <v>418</v>
      </c>
      <c r="D19" s="762" t="s">
        <v>313</v>
      </c>
      <c r="E19" s="764" t="str">
        <f>_xll.VAData($C$3,E$8,$C19,E$10,$C$5,$C$4,$C$7)</f>
        <v>-</v>
      </c>
      <c r="F19" s="764" t="str">
        <f>_xll.VAData($C$3,F$8,$C19,F$10,$C$5,$C$4,$C$7)</f>
        <v>-</v>
      </c>
      <c r="G19" s="764" t="str">
        <f>_xll.VAData($C$3,G$8,$C19,G$10,$C$5,$C$4,$C$7)</f>
        <v>-</v>
      </c>
      <c r="H19" s="764" t="str">
        <f>_xll.VAData($C$3,H$8,$C19,H$10,$C$5,$C$4,$C$7)</f>
        <v>-</v>
      </c>
      <c r="I19" s="764" t="str">
        <f>_xll.VAData($C$3,I$8,$C19,I$10,$C$5,$C$4,$C$7)</f>
        <v>-</v>
      </c>
      <c r="J19" s="764" t="str">
        <f>_xll.VAData($C$3,J$8,$C19,J$10,$C$5,$C$4,$C$7)</f>
        <v>-</v>
      </c>
      <c r="K19" s="764" t="str">
        <f>_xll.VAData($C$3,K$8,$C19,K$10,$C$5,$C$4,$C$7)</f>
        <v>-</v>
      </c>
      <c r="L19" s="764">
        <f>_xll.VAData($C$3,L$8,$C19,L$10,$C$5,$C$4,$C$7)</f>
        <v>0</v>
      </c>
      <c r="M19" s="764" t="str">
        <f>_xll.VAData($C$3,M$8,$C19,M$10,$C$5,$C$4,$C$7)</f>
        <v>-</v>
      </c>
      <c r="N19" s="764" t="str">
        <f>_xll.VAData($C$3,N$8,$C19,N$10,$C$5,$C$4,$C$7)</f>
        <v>-</v>
      </c>
      <c r="O19" s="764" t="str">
        <f>_xll.VAData($C$3,O$8,$C19,O$10,$C$5,$C$4,$C$7)</f>
        <v>-</v>
      </c>
      <c r="P19" s="764" t="str">
        <f>_xll.VAData($C$3,P$8,$C19,P$10,$C$5,$C$4,$C$7)</f>
        <v>-</v>
      </c>
      <c r="Q19" s="764" t="str">
        <f>_xll.VAData($C$3,Q$8,$C19,Q$10,$C$5,$C$4,$C$7)</f>
        <v>-</v>
      </c>
      <c r="R19" s="764" t="str">
        <f>_xll.VAData($C$3,R$8,$C19,R$10,$C$5,$C$4,$C$7)</f>
        <v>-</v>
      </c>
      <c r="S19" s="764">
        <f>_xll.VAData($C$3,S$8,$C19,S$10,$C$5,$C$4,$C$7)</f>
        <v>0</v>
      </c>
      <c r="T19" s="764">
        <f>_xll.VAData($C$3,T$8,$C19,T$10,$C$5,$C$4,$C$7)</f>
        <v>0</v>
      </c>
      <c r="U19" s="764">
        <f>_xll.VAData($C$3,U$8,$C19,U$10,$C$5,$C$4,$C$7)</f>
        <v>0</v>
      </c>
      <c r="V19" s="764">
        <f>_xll.VAData($C$3,V$8,$C19,V$10,$C$5,$C$4,$C$7)</f>
        <v>0</v>
      </c>
      <c r="W19" s="764">
        <f>_xll.VAData($C$3,W$8,$C19,W$10,$C$5,$C$4,$C$7)</f>
        <v>0</v>
      </c>
      <c r="X19" s="764">
        <f>_xll.VAData($C$3,X$8,$C19,X$10,$C$5,$C$4,$C$7)</f>
        <v>11.587327784296733</v>
      </c>
      <c r="Y19" s="764">
        <f>_xll.VAData($C$3,Y$8,$C19,Y$10,$C$5,$C$4,$C$7)</f>
        <v>24.220120852945332</v>
      </c>
      <c r="Z19" s="764">
        <f>_xll.VAData($C$3,Z$8,$C19,Z$10,$C$5,$C$4,$C$7)</f>
        <v>38.412155944554335</v>
      </c>
      <c r="AA19" s="764">
        <f>_xll.VAData($C$3,AA$8,$C19,AA$10,$C$5,$C$4,$C$7)</f>
        <v>52.677094065768337</v>
      </c>
      <c r="AB19" s="764">
        <f>_xll.VAData($C$3,AB$8,$C19,AB$10,$C$5,$C$4,$C$7)</f>
        <v>67.195105058834002</v>
      </c>
    </row>
    <row r="20" spans="2:28" ht="12.75" customHeight="1" x14ac:dyDescent="0.35">
      <c r="B20" s="762" t="s">
        <v>175</v>
      </c>
      <c r="C20" s="762" t="s">
        <v>410</v>
      </c>
      <c r="D20" s="762" t="s">
        <v>311</v>
      </c>
      <c r="E20" s="764" t="s">
        <v>311</v>
      </c>
      <c r="F20" s="764" t="s">
        <v>311</v>
      </c>
      <c r="G20" s="764" t="s">
        <v>311</v>
      </c>
      <c r="H20" s="764" t="s">
        <v>311</v>
      </c>
      <c r="I20" s="764" t="s">
        <v>311</v>
      </c>
      <c r="J20" s="764" t="s">
        <v>311</v>
      </c>
      <c r="K20" s="764" t="s">
        <v>311</v>
      </c>
      <c r="L20" s="764" t="s">
        <v>311</v>
      </c>
      <c r="M20" s="764" t="s">
        <v>311</v>
      </c>
      <c r="N20" s="764" t="s">
        <v>311</v>
      </c>
      <c r="O20" s="764" t="s">
        <v>311</v>
      </c>
      <c r="P20" s="764" t="s">
        <v>311</v>
      </c>
      <c r="Q20" s="764" t="s">
        <v>311</v>
      </c>
      <c r="R20" s="764" t="s">
        <v>311</v>
      </c>
      <c r="S20" s="764" t="s">
        <v>311</v>
      </c>
      <c r="T20" s="764" t="s">
        <v>311</v>
      </c>
      <c r="U20" s="764" t="s">
        <v>311</v>
      </c>
      <c r="V20" s="764" t="s">
        <v>311</v>
      </c>
      <c r="W20" s="764" t="s">
        <v>311</v>
      </c>
      <c r="X20" s="764" t="s">
        <v>311</v>
      </c>
      <c r="Y20" s="764" t="s">
        <v>311</v>
      </c>
      <c r="Z20" s="764" t="s">
        <v>311</v>
      </c>
      <c r="AA20" s="764" t="s">
        <v>311</v>
      </c>
      <c r="AB20" s="764" t="s">
        <v>311</v>
      </c>
    </row>
    <row r="21" spans="2:28" ht="12.75" customHeight="1" x14ac:dyDescent="0.35">
      <c r="B21" s="762" t="s">
        <v>417</v>
      </c>
      <c r="C21" s="766" t="s">
        <v>416</v>
      </c>
      <c r="D21" s="762" t="s">
        <v>313</v>
      </c>
      <c r="E21" s="764" t="str">
        <f>_xll.VAData($C$3,E$8,$C21,E$10,$C$5,$C$4,$C$7)</f>
        <v>-</v>
      </c>
      <c r="F21" s="764" t="str">
        <f>_xll.VAData($C$3,F$8,$C21,F$10,$C$5,$C$4,$C$7)</f>
        <v>-</v>
      </c>
      <c r="G21" s="764" t="str">
        <f>_xll.VAData($C$3,G$8,$C21,G$10,$C$5,$C$4,$C$7)</f>
        <v>-</v>
      </c>
      <c r="H21" s="764" t="str">
        <f>_xll.VAData($C$3,H$8,$C21,H$10,$C$5,$C$4,$C$7)</f>
        <v>-</v>
      </c>
      <c r="I21" s="764">
        <f>_xll.VAData($C$3,I$8,$C21,I$10,$C$5,$C$4,$C$7)</f>
        <v>0</v>
      </c>
      <c r="J21" s="764" t="str">
        <f>_xll.VAData($C$3,J$8,$C21,J$10,$C$5,$C$4,$C$7)</f>
        <v>-</v>
      </c>
      <c r="K21" s="764" t="str">
        <f>_xll.VAData($C$3,K$8,$C21,K$10,$C$5,$C$4,$C$7)</f>
        <v>-</v>
      </c>
      <c r="L21" s="764">
        <f>_xll.VAData($C$3,L$8,$C21,L$10,$C$5,$C$4,$C$7)</f>
        <v>0</v>
      </c>
      <c r="M21" s="764" t="str">
        <f>_xll.VAData($C$3,M$8,$C21,M$10,$C$5,$C$4,$C$7)</f>
        <v>-</v>
      </c>
      <c r="N21" s="764" t="str">
        <f>_xll.VAData($C$3,N$8,$C21,N$10,$C$5,$C$4,$C$7)</f>
        <v>-</v>
      </c>
      <c r="O21" s="764">
        <f>_xll.VAData($C$3,O$8,$C21,O$10,$C$5,$C$4,$C$7)</f>
        <v>0</v>
      </c>
      <c r="P21" s="764">
        <f>_xll.VAData($C$3,P$8,$C21,P$10,$C$5,$C$4,$C$7)</f>
        <v>0</v>
      </c>
      <c r="Q21" s="764">
        <f>_xll.VAData($C$3,Q$8,$C21,Q$10,$C$5,$C$4,$C$7)</f>
        <v>0</v>
      </c>
      <c r="R21" s="764">
        <f>_xll.VAData($C$3,R$8,$C21,R$10,$C$5,$C$4,$C$7)</f>
        <v>0</v>
      </c>
      <c r="S21" s="764">
        <f>_xll.VAData($C$3,S$8,$C21,S$10,$C$5,$C$4,$C$7)</f>
        <v>0</v>
      </c>
      <c r="T21" s="764">
        <f>_xll.VAData($C$3,T$8,$C21,T$10,$C$5,$C$4,$C$7)</f>
        <v>0</v>
      </c>
      <c r="U21" s="764">
        <f>_xll.VAData($C$3,U$8,$C21,U$10,$C$5,$C$4,$C$7)</f>
        <v>0</v>
      </c>
      <c r="V21" s="764">
        <f>_xll.VAData($C$3,V$8,$C21,V$10,$C$5,$C$4,$C$7)</f>
        <v>29.32648012880825</v>
      </c>
      <c r="W21" s="764">
        <f>_xll.VAData($C$3,W$8,$C21,W$10,$C$5,$C$4,$C$7)</f>
        <v>114.0846211723788</v>
      </c>
      <c r="X21" s="764">
        <f>_xll.VAData($C$3,X$8,$C21,X$10,$C$5,$C$4,$C$7)</f>
        <v>333.73058178230002</v>
      </c>
      <c r="Y21" s="764">
        <f>_xll.VAData($C$3,Y$8,$C21,Y$10,$C$5,$C$4,$C$7)</f>
        <v>692.19275591566804</v>
      </c>
      <c r="Z21" s="764">
        <f>_xll.VAData($C$3,Z$8,$C21,Z$10,$C$5,$C$4,$C$7)</f>
        <v>1138.3643214507949</v>
      </c>
      <c r="AA21" s="764">
        <f>_xll.VAData($C$3,AA$8,$C21,AA$10,$C$5,$C$4,$C$7)</f>
        <v>1593.4192141966403</v>
      </c>
      <c r="AB21" s="764">
        <f>_xll.VAData($C$3,AB$8,$C21,AB$10,$C$5,$C$4,$C$7)</f>
        <v>2046.9660016803109</v>
      </c>
    </row>
    <row r="22" spans="2:28" ht="12.75" customHeight="1" x14ac:dyDescent="0.35">
      <c r="B22" s="762" t="s">
        <v>415</v>
      </c>
      <c r="C22" s="768" t="s">
        <v>186</v>
      </c>
      <c r="D22" s="762" t="s">
        <v>313</v>
      </c>
      <c r="E22" s="764" t="str">
        <f>_xll.VAData($C$3,E$8,$C22,E$10,$C$5,$C$4,$C$7)</f>
        <v>-</v>
      </c>
      <c r="F22" s="764" t="str">
        <f>_xll.VAData($C$3,F$8,$C22,F$10,$C$5,$C$4,$C$7)</f>
        <v>-</v>
      </c>
      <c r="G22" s="764" t="str">
        <f>_xll.VAData($C$3,G$8,$C22,G$10,$C$5,$C$4,$C$7)</f>
        <v>-</v>
      </c>
      <c r="H22" s="764" t="str">
        <f>_xll.VAData($C$3,H$8,$C22,H$10,$C$5,$C$4,$C$7)</f>
        <v>-</v>
      </c>
      <c r="I22" s="764" t="str">
        <f>_xll.VAData($C$3,I$8,$C22,I$10,$C$5,$C$4,$C$7)</f>
        <v>-</v>
      </c>
      <c r="J22" s="764" t="str">
        <f>_xll.VAData($C$3,J$8,$C22,J$10,$C$5,$C$4,$C$7)</f>
        <v>-</v>
      </c>
      <c r="K22" s="764" t="str">
        <f>_xll.VAData($C$3,K$8,$C22,K$10,$C$5,$C$4,$C$7)</f>
        <v>-</v>
      </c>
      <c r="L22" s="764">
        <f>_xll.VAData($C$3,L$8,$C22,L$10,$C$5,$C$4,$C$7)</f>
        <v>0</v>
      </c>
      <c r="M22" s="764" t="str">
        <f>_xll.VAData($C$3,M$8,$C22,M$10,$C$5,$C$4,$C$7)</f>
        <v>-</v>
      </c>
      <c r="N22" s="764" t="str">
        <f>_xll.VAData($C$3,N$8,$C22,N$10,$C$5,$C$4,$C$7)</f>
        <v>-</v>
      </c>
      <c r="O22" s="764" t="str">
        <f>_xll.VAData($C$3,O$8,$C22,O$10,$C$5,$C$4,$C$7)</f>
        <v>-</v>
      </c>
      <c r="P22" s="764" t="str">
        <f>_xll.VAData($C$3,P$8,$C22,P$10,$C$5,$C$4,$C$7)</f>
        <v>-</v>
      </c>
      <c r="Q22" s="764" t="str">
        <f>_xll.VAData($C$3,Q$8,$C22,Q$10,$C$5,$C$4,$C$7)</f>
        <v>-</v>
      </c>
      <c r="R22" s="764" t="str">
        <f>_xll.VAData($C$3,R$8,$C22,R$10,$C$5,$C$4,$C$7)</f>
        <v>-</v>
      </c>
      <c r="S22" s="764">
        <f>_xll.VAData($C$3,S$8,$C22,S$10,$C$5,$C$4,$C$7)</f>
        <v>0</v>
      </c>
      <c r="T22" s="764">
        <f>_xll.VAData($C$3,T$8,$C22,T$10,$C$5,$C$4,$C$7)</f>
        <v>0</v>
      </c>
      <c r="U22" s="764">
        <f>_xll.VAData($C$3,U$8,$C22,U$10,$C$5,$C$4,$C$7)</f>
        <v>0</v>
      </c>
      <c r="V22" s="764">
        <f>_xll.VAData($C$3,V$8,$C22,V$10,$C$5,$C$4,$C$7)</f>
        <v>17.595888077285025</v>
      </c>
      <c r="W22" s="764">
        <f>_xll.VAData($C$3,W$8,$C22,W$10,$C$5,$C$4,$C$7)</f>
        <v>65.038297314285273</v>
      </c>
      <c r="X22" s="764">
        <f>_xll.VAData($C$3,X$8,$C22,X$10,$C$5,$C$4,$C$7)</f>
        <v>193.60589892628457</v>
      </c>
      <c r="Y22" s="764">
        <f>_xll.VAData($C$3,Y$8,$C22,Y$10,$C$5,$C$4,$C$7)</f>
        <v>328.21654166037109</v>
      </c>
      <c r="Z22" s="764">
        <f>_xll.VAData($C$3,Z$8,$C22,Z$10,$C$5,$C$4,$C$7)</f>
        <v>484.04000857603165</v>
      </c>
      <c r="AA22" s="764">
        <f>_xll.VAData($C$3,AA$8,$C22,AA$10,$C$5,$C$4,$C$7)</f>
        <v>662.91847388319536</v>
      </c>
      <c r="AB22" s="764">
        <f>_xll.VAData($C$3,AB$8,$C22,AB$10,$C$5,$C$4,$C$7)</f>
        <v>842.84282418087469</v>
      </c>
    </row>
    <row r="23" spans="2:28" ht="12.75" customHeight="1" x14ac:dyDescent="0.35">
      <c r="B23" s="762" t="s">
        <v>175</v>
      </c>
      <c r="C23" s="762" t="s">
        <v>410</v>
      </c>
      <c r="D23" s="762" t="s">
        <v>311</v>
      </c>
      <c r="E23" s="764" t="s">
        <v>311</v>
      </c>
      <c r="F23" s="764" t="s">
        <v>311</v>
      </c>
      <c r="G23" s="764" t="s">
        <v>311</v>
      </c>
      <c r="H23" s="764" t="s">
        <v>311</v>
      </c>
      <c r="I23" s="764" t="s">
        <v>311</v>
      </c>
      <c r="J23" s="764" t="s">
        <v>311</v>
      </c>
      <c r="K23" s="764" t="s">
        <v>311</v>
      </c>
      <c r="L23" s="764" t="s">
        <v>311</v>
      </c>
      <c r="M23" s="764" t="s">
        <v>311</v>
      </c>
      <c r="N23" s="764" t="s">
        <v>311</v>
      </c>
      <c r="O23" s="764" t="s">
        <v>311</v>
      </c>
      <c r="P23" s="764" t="s">
        <v>311</v>
      </c>
      <c r="Q23" s="764" t="s">
        <v>311</v>
      </c>
      <c r="R23" s="764" t="s">
        <v>311</v>
      </c>
      <c r="S23" s="764" t="s">
        <v>311</v>
      </c>
      <c r="T23" s="764" t="s">
        <v>311</v>
      </c>
      <c r="U23" s="764" t="s">
        <v>311</v>
      </c>
      <c r="V23" s="764" t="s">
        <v>311</v>
      </c>
      <c r="W23" s="764" t="s">
        <v>311</v>
      </c>
      <c r="X23" s="764" t="s">
        <v>311</v>
      </c>
      <c r="Y23" s="764" t="s">
        <v>311</v>
      </c>
      <c r="Z23" s="764" t="s">
        <v>311</v>
      </c>
      <c r="AA23" s="764" t="s">
        <v>311</v>
      </c>
      <c r="AB23" s="764" t="s">
        <v>311</v>
      </c>
    </row>
    <row r="24" spans="2:28" ht="12.75" customHeight="1" x14ac:dyDescent="0.35">
      <c r="B24" s="762" t="s">
        <v>414</v>
      </c>
      <c r="C24" s="762" t="s">
        <v>413</v>
      </c>
      <c r="D24" s="762" t="s">
        <v>313</v>
      </c>
      <c r="E24" s="764" t="str">
        <f>_xll.VAData($C$3,E$8,$C24,E$10,$C$5,$C$4,$C$7)</f>
        <v>-</v>
      </c>
      <c r="F24" s="764" t="str">
        <f>_xll.VAData($C$3,F$8,$C24,F$10,$C$5,$C$4,$C$7)</f>
        <v>-</v>
      </c>
      <c r="G24" s="764" t="str">
        <f>_xll.VAData($C$3,G$8,$C24,G$10,$C$5,$C$4,$C$7)</f>
        <v>-</v>
      </c>
      <c r="H24" s="764" t="str">
        <f>_xll.VAData($C$3,H$8,$C24,H$10,$C$5,$C$4,$C$7)</f>
        <v>-</v>
      </c>
      <c r="I24" s="764">
        <f>_xll.VAData($C$3,I$8,$C24,I$10,$C$5,$C$4,$C$7)</f>
        <v>0</v>
      </c>
      <c r="J24" s="764" t="str">
        <f>_xll.VAData($C$3,J$8,$C24,J$10,$C$5,$C$4,$C$7)</f>
        <v>-</v>
      </c>
      <c r="K24" s="764" t="str">
        <f>_xll.VAData($C$3,K$8,$C24,K$10,$C$5,$C$4,$C$7)</f>
        <v>-</v>
      </c>
      <c r="L24" s="764">
        <f>_xll.VAData($C$3,L$8,$C24,L$10,$C$5,$C$4,$C$7)</f>
        <v>0</v>
      </c>
      <c r="M24" s="764" t="str">
        <f>_xll.VAData($C$3,M$8,$C24,M$10,$C$5,$C$4,$C$7)</f>
        <v>-</v>
      </c>
      <c r="N24" s="764" t="str">
        <f>_xll.VAData($C$3,N$8,$C24,N$10,$C$5,$C$4,$C$7)</f>
        <v>-</v>
      </c>
      <c r="O24" s="764">
        <f>_xll.VAData($C$3,O$8,$C24,O$10,$C$5,$C$4,$C$7)</f>
        <v>0</v>
      </c>
      <c r="P24" s="764">
        <f>_xll.VAData($C$3,P$8,$C24,P$10,$C$5,$C$4,$C$7)</f>
        <v>0</v>
      </c>
      <c r="Q24" s="764">
        <f>_xll.VAData($C$3,Q$8,$C24,Q$10,$C$5,$C$4,$C$7)</f>
        <v>0</v>
      </c>
      <c r="R24" s="764">
        <f>_xll.VAData($C$3,R$8,$C24,R$10,$C$5,$C$4,$C$7)</f>
        <v>0</v>
      </c>
      <c r="S24" s="764">
        <f>_xll.VAData($C$3,S$8,$C24,S$10,$C$5,$C$4,$C$7)</f>
        <v>0</v>
      </c>
      <c r="T24" s="764">
        <f>_xll.VAData($C$3,T$8,$C24,T$10,$C$5,$C$4,$C$7)</f>
        <v>0</v>
      </c>
      <c r="U24" s="764">
        <f>_xll.VAData($C$3,U$8,$C24,U$10,$C$5,$C$4,$C$7)</f>
        <v>0</v>
      </c>
      <c r="V24" s="764">
        <f>_xll.VAData($C$3,V$8,$C24,V$10,$C$5,$C$4,$C$7)</f>
        <v>29.32648012880825</v>
      </c>
      <c r="W24" s="764">
        <f>_xll.VAData($C$3,W$8,$C24,W$10,$C$5,$C$4,$C$7)</f>
        <v>114.0846211723788</v>
      </c>
      <c r="X24" s="764">
        <f>_xll.VAData($C$3,X$8,$C24,X$10,$C$5,$C$4,$C$7)</f>
        <v>333.73058178230002</v>
      </c>
      <c r="Y24" s="764">
        <f>_xll.VAData($C$3,Y$8,$C24,Y$10,$C$5,$C$4,$C$7)</f>
        <v>692.19275591566804</v>
      </c>
      <c r="Z24" s="764">
        <f>_xll.VAData($C$3,Z$8,$C24,Z$10,$C$5,$C$4,$C$7)</f>
        <v>1138.3643214507949</v>
      </c>
      <c r="AA24" s="764">
        <f>_xll.VAData($C$3,AA$8,$C24,AA$10,$C$5,$C$4,$C$7)</f>
        <v>1593.4192141966403</v>
      </c>
      <c r="AB24" s="764">
        <f>_xll.VAData($C$3,AB$8,$C24,AB$10,$C$5,$C$4,$C$7)</f>
        <v>2046.9660016803109</v>
      </c>
    </row>
    <row r="25" spans="2:28" ht="12.75" customHeight="1" x14ac:dyDescent="0.35">
      <c r="B25" s="762" t="s">
        <v>412</v>
      </c>
      <c r="C25" s="762" t="s">
        <v>411</v>
      </c>
      <c r="D25" s="762" t="s">
        <v>313</v>
      </c>
      <c r="E25" s="764" t="str">
        <f>_xll.VAData($C$3,E$8,$C25,E$10,$C$5,$C$4,$C$7)</f>
        <v>-</v>
      </c>
      <c r="F25" s="764" t="str">
        <f>_xll.VAData($C$3,F$8,$C25,F$10,$C$5,$C$4,$C$7)</f>
        <v>-</v>
      </c>
      <c r="G25" s="764" t="str">
        <f>_xll.VAData($C$3,G$8,$C25,G$10,$C$5,$C$4,$C$7)</f>
        <v>-</v>
      </c>
      <c r="H25" s="764" t="str">
        <f>_xll.VAData($C$3,H$8,$C25,H$10,$C$5,$C$4,$C$7)</f>
        <v>-</v>
      </c>
      <c r="I25" s="764" t="str">
        <f>_xll.VAData($C$3,I$8,$C25,I$10,$C$5,$C$4,$C$7)</f>
        <v>-</v>
      </c>
      <c r="J25" s="764" t="str">
        <f>_xll.VAData($C$3,J$8,$C25,J$10,$C$5,$C$4,$C$7)</f>
        <v>-</v>
      </c>
      <c r="K25" s="764" t="str">
        <f>_xll.VAData($C$3,K$8,$C25,K$10,$C$5,$C$4,$C$7)</f>
        <v>-</v>
      </c>
      <c r="L25" s="764">
        <f>_xll.VAData($C$3,L$8,$C25,L$10,$C$5,$C$4,$C$7)</f>
        <v>0</v>
      </c>
      <c r="M25" s="764" t="str">
        <f>_xll.VAData($C$3,M$8,$C25,M$10,$C$5,$C$4,$C$7)</f>
        <v>-</v>
      </c>
      <c r="N25" s="764" t="str">
        <f>_xll.VAData($C$3,N$8,$C25,N$10,$C$5,$C$4,$C$7)</f>
        <v>-</v>
      </c>
      <c r="O25" s="764" t="str">
        <f>_xll.VAData($C$3,O$8,$C25,O$10,$C$5,$C$4,$C$7)</f>
        <v>-</v>
      </c>
      <c r="P25" s="764" t="str">
        <f>_xll.VAData($C$3,P$8,$C25,P$10,$C$5,$C$4,$C$7)</f>
        <v>-</v>
      </c>
      <c r="Q25" s="764" t="str">
        <f>_xll.VAData($C$3,Q$8,$C25,Q$10,$C$5,$C$4,$C$7)</f>
        <v>-</v>
      </c>
      <c r="R25" s="764" t="str">
        <f>_xll.VAData($C$3,R$8,$C25,R$10,$C$5,$C$4,$C$7)</f>
        <v>-</v>
      </c>
      <c r="S25" s="764">
        <f>_xll.VAData($C$3,S$8,$C25,S$10,$C$5,$C$4,$C$7)</f>
        <v>0</v>
      </c>
      <c r="T25" s="764">
        <f>_xll.VAData($C$3,T$8,$C25,T$10,$C$5,$C$4,$C$7)</f>
        <v>0</v>
      </c>
      <c r="U25" s="764">
        <f>_xll.VAData($C$3,U$8,$C25,U$10,$C$5,$C$4,$C$7)</f>
        <v>0</v>
      </c>
      <c r="V25" s="764">
        <f>_xll.VAData($C$3,V$8,$C25,V$10,$C$5,$C$4,$C$7)</f>
        <v>17.595888077285025</v>
      </c>
      <c r="W25" s="764">
        <f>_xll.VAData($C$3,W$8,$C25,W$10,$C$5,$C$4,$C$7)</f>
        <v>65.038297314285273</v>
      </c>
      <c r="X25" s="764">
        <f>_xll.VAData($C$3,X$8,$C25,X$10,$C$5,$C$4,$C$7)</f>
        <v>193.60589892628457</v>
      </c>
      <c r="Y25" s="764">
        <f>_xll.VAData($C$3,Y$8,$C25,Y$10,$C$5,$C$4,$C$7)</f>
        <v>328.21654166037109</v>
      </c>
      <c r="Z25" s="764">
        <f>_xll.VAData($C$3,Z$8,$C25,Z$10,$C$5,$C$4,$C$7)</f>
        <v>484.04000857603165</v>
      </c>
      <c r="AA25" s="764">
        <f>_xll.VAData($C$3,AA$8,$C25,AA$10,$C$5,$C$4,$C$7)</f>
        <v>662.91847388319536</v>
      </c>
      <c r="AB25" s="764">
        <f>_xll.VAData($C$3,AB$8,$C25,AB$10,$C$5,$C$4,$C$7)</f>
        <v>842.84282418087469</v>
      </c>
    </row>
    <row r="26" spans="2:28" ht="12.75" customHeight="1" x14ac:dyDescent="0.35">
      <c r="B26" s="762" t="s">
        <v>175</v>
      </c>
      <c r="C26" s="762" t="s">
        <v>410</v>
      </c>
      <c r="D26" s="762" t="s">
        <v>311</v>
      </c>
      <c r="E26" s="764" t="s">
        <v>311</v>
      </c>
      <c r="F26" s="764" t="s">
        <v>311</v>
      </c>
      <c r="G26" s="764" t="s">
        <v>311</v>
      </c>
      <c r="H26" s="764" t="s">
        <v>311</v>
      </c>
      <c r="I26" s="764" t="s">
        <v>311</v>
      </c>
      <c r="J26" s="764" t="s">
        <v>311</v>
      </c>
      <c r="K26" s="764" t="s">
        <v>311</v>
      </c>
      <c r="L26" s="764" t="s">
        <v>311</v>
      </c>
      <c r="M26" s="764" t="s">
        <v>311</v>
      </c>
      <c r="N26" s="764" t="s">
        <v>311</v>
      </c>
      <c r="O26" s="764" t="s">
        <v>311</v>
      </c>
      <c r="P26" s="764" t="s">
        <v>311</v>
      </c>
      <c r="Q26" s="764" t="s">
        <v>311</v>
      </c>
      <c r="R26" s="764" t="s">
        <v>311</v>
      </c>
      <c r="S26" s="764" t="s">
        <v>311</v>
      </c>
      <c r="T26" s="764" t="s">
        <v>311</v>
      </c>
      <c r="U26" s="764" t="s">
        <v>311</v>
      </c>
      <c r="V26" s="764" t="s">
        <v>311</v>
      </c>
      <c r="W26" s="764" t="s">
        <v>311</v>
      </c>
      <c r="X26" s="764" t="s">
        <v>311</v>
      </c>
      <c r="Y26" s="764" t="s">
        <v>311</v>
      </c>
      <c r="Z26" s="764" t="s">
        <v>311</v>
      </c>
      <c r="AA26" s="764" t="s">
        <v>311</v>
      </c>
      <c r="AB26" s="764" t="s">
        <v>311</v>
      </c>
    </row>
    <row r="27" spans="2:28" ht="12.75" customHeight="1" x14ac:dyDescent="0.35">
      <c r="B27" s="762" t="s">
        <v>409</v>
      </c>
      <c r="C27" s="762" t="s">
        <v>314</v>
      </c>
      <c r="D27" s="762" t="s">
        <v>313</v>
      </c>
      <c r="E27" s="764">
        <f>_xll.VAData($C$3,E$8,$C27,E$10,$C$5,$C$4,$C$7)</f>
        <v>0</v>
      </c>
      <c r="F27" s="764">
        <f>_xll.VAData($C$3,F$8,$C27,F$10,$C$5,$C$4,$C$7)</f>
        <v>0</v>
      </c>
      <c r="G27" s="764">
        <f>_xll.VAData($C$3,G$8,$C27,G$10,$C$5,$C$4,$C$7)</f>
        <v>0</v>
      </c>
      <c r="H27" s="764">
        <f>_xll.VAData($C$3,H$8,$C27,H$10,$C$5,$C$4,$C$7)</f>
        <v>0</v>
      </c>
      <c r="I27" s="764">
        <f>_xll.VAData($C$3,I$8,$C27,I$10,$C$5,$C$4,$C$7)</f>
        <v>0</v>
      </c>
      <c r="J27" s="764">
        <f>_xll.VAData($C$3,J$8,$C27,J$10,$C$5,$C$4,$C$7)</f>
        <v>0</v>
      </c>
      <c r="K27" s="764">
        <f>_xll.VAData($C$3,K$8,$C27,K$10,$C$5,$C$4,$C$7)</f>
        <v>0</v>
      </c>
      <c r="L27" s="764">
        <f>_xll.VAData($C$3,L$8,$C27,L$10,$C$5,$C$4,$C$7)</f>
        <v>0</v>
      </c>
      <c r="M27" s="764" t="str">
        <f>_xll.VAData($C$3,M$8,$C27,M$10,$C$5,$C$4,$C$7)</f>
        <v>-</v>
      </c>
      <c r="N27" s="764" t="str">
        <f>_xll.VAData($C$3,N$8,$C27,N$10,$C$5,$C$4,$C$7)</f>
        <v>-</v>
      </c>
      <c r="O27" s="764">
        <f>_xll.VAData($C$3,O$8,$C27,O$10,$C$5,$C$4,$C$7)</f>
        <v>0</v>
      </c>
      <c r="P27" s="764">
        <f>_xll.VAData($C$3,P$8,$C27,P$10,$C$5,$C$4,$C$7)</f>
        <v>0</v>
      </c>
      <c r="Q27" s="764">
        <f>_xll.VAData($C$3,Q$8,$C27,Q$10,$C$5,$C$4,$C$7)</f>
        <v>0</v>
      </c>
      <c r="R27" s="764">
        <f>_xll.VAData($C$3,R$8,$C27,R$10,$C$5,$C$4,$C$7)</f>
        <v>0</v>
      </c>
      <c r="S27" s="764">
        <f>_xll.VAData($C$3,S$8,$C27,S$10,$C$5,$C$4,$C$7)</f>
        <v>0</v>
      </c>
      <c r="T27" s="764">
        <f>_xll.VAData($C$3,T$8,$C27,T$10,$C$5,$C$4,$C$7)</f>
        <v>0</v>
      </c>
      <c r="U27" s="764">
        <f>_xll.VAData($C$3,U$8,$C27,U$10,$C$5,$C$4,$C$7)</f>
        <v>0</v>
      </c>
      <c r="V27" s="764">
        <f>_xll.VAData($C$3,V$8,$C27,V$10,$C$5,$C$4,$C$7)</f>
        <v>17.595888077285025</v>
      </c>
      <c r="W27" s="764">
        <f>_xll.VAData($C$3,W$8,$C27,W$10,$C$5,$C$4,$C$7)</f>
        <v>75.100797314285245</v>
      </c>
      <c r="X27" s="764">
        <f>_xll.VAData($C$3,X$8,$C27,X$10,$C$5,$C$4,$C$7)</f>
        <v>259.33112349965717</v>
      </c>
      <c r="Y27" s="764">
        <f>_xll.VAData($C$3,Y$8,$C27,Y$10,$C$5,$C$4,$C$7)</f>
        <v>515.18784602390144</v>
      </c>
      <c r="Z27" s="764">
        <f>_xll.VAData($C$3,Z$8,$C27,Z$10,$C$5,$C$4,$C$7)</f>
        <v>809.33261599484467</v>
      </c>
      <c r="AA27" s="764">
        <f>_xll.VAData($C$3,AA$8,$C27,AA$10,$C$5,$C$4,$C$7)</f>
        <v>1099.1268929162477</v>
      </c>
      <c r="AB27" s="764">
        <f>_xll.VAData($C$3,AB$8,$C27,AB$10,$C$5,$C$4,$C$7)</f>
        <v>1392.2423561430139</v>
      </c>
    </row>
    <row r="28" spans="2:28" s="767" customFormat="1" ht="5.15" customHeight="1" x14ac:dyDescent="0.35">
      <c r="B28" s="767" t="s">
        <v>175</v>
      </c>
      <c r="C28" s="767" t="s">
        <v>311</v>
      </c>
      <c r="D28" s="767" t="s">
        <v>311</v>
      </c>
      <c r="E28" s="767" t="s">
        <v>311</v>
      </c>
      <c r="F28" s="767" t="s">
        <v>311</v>
      </c>
      <c r="G28" s="767" t="s">
        <v>311</v>
      </c>
      <c r="H28" s="767" t="s">
        <v>311</v>
      </c>
      <c r="I28" s="767" t="s">
        <v>311</v>
      </c>
      <c r="J28" s="767" t="s">
        <v>311</v>
      </c>
      <c r="K28" s="767" t="s">
        <v>311</v>
      </c>
      <c r="L28" s="767" t="s">
        <v>311</v>
      </c>
      <c r="M28" s="767" t="s">
        <v>311</v>
      </c>
      <c r="N28" s="767" t="s">
        <v>311</v>
      </c>
      <c r="O28" s="767" t="s">
        <v>311</v>
      </c>
      <c r="P28" s="767" t="s">
        <v>311</v>
      </c>
      <c r="Q28" s="767" t="s">
        <v>311</v>
      </c>
      <c r="R28" s="767" t="s">
        <v>311</v>
      </c>
      <c r="S28" s="767" t="s">
        <v>311</v>
      </c>
      <c r="T28" s="767" t="s">
        <v>311</v>
      </c>
      <c r="U28" s="767" t="s">
        <v>311</v>
      </c>
      <c r="V28" s="767" t="s">
        <v>311</v>
      </c>
      <c r="W28" s="767" t="s">
        <v>311</v>
      </c>
      <c r="X28" s="767" t="s">
        <v>311</v>
      </c>
      <c r="Y28" s="767" t="s">
        <v>311</v>
      </c>
      <c r="Z28" s="767" t="s">
        <v>311</v>
      </c>
      <c r="AA28" s="767" t="s">
        <v>311</v>
      </c>
      <c r="AB28" s="767" t="s">
        <v>311</v>
      </c>
    </row>
    <row r="30" spans="2:28" ht="12.75" customHeight="1" x14ac:dyDescent="0.35">
      <c r="C30" s="770" t="s">
        <v>316</v>
      </c>
    </row>
    <row r="31" spans="2:28" ht="12.75" customHeight="1" x14ac:dyDescent="0.35">
      <c r="C31" s="770" t="s">
        <v>408</v>
      </c>
    </row>
    <row r="32" spans="2:28" ht="12.75" customHeight="1" x14ac:dyDescent="0.35">
      <c r="C32" s="770" t="s">
        <v>317</v>
      </c>
    </row>
    <row r="33" spans="3:3" ht="12.75" customHeight="1" x14ac:dyDescent="0.35">
      <c r="C33" s="770" t="s">
        <v>407</v>
      </c>
    </row>
  </sheetData>
  <mergeCells count="1">
    <mergeCell ref="E1:G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78C9-059F-4590-88D6-5B527C41A4D1}">
  <sheetPr>
    <tabColor theme="7" tint="0.59999389629810485"/>
  </sheetPr>
  <dimension ref="A3"/>
  <sheetViews>
    <sheetView workbookViewId="0">
      <selection activeCell="L14" sqref="L14"/>
    </sheetView>
  </sheetViews>
  <sheetFormatPr defaultRowHeight="14.5" x14ac:dyDescent="0.35"/>
  <sheetData>
    <row r="3" spans="1:1" x14ac:dyDescent="0.35">
      <c r="A3" t="s">
        <v>361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B29-DEF0-4EFA-AFDC-9F7BB46AE294}">
  <dimension ref="A3:X45"/>
  <sheetViews>
    <sheetView zoomScale="64" zoomScaleNormal="64" workbookViewId="0">
      <selection activeCell="F62" sqref="F62"/>
    </sheetView>
  </sheetViews>
  <sheetFormatPr defaultRowHeight="14.5" x14ac:dyDescent="0.35"/>
  <cols>
    <col min="1" max="1" width="28.54296875" customWidth="1"/>
    <col min="11" max="11" width="16.7265625" customWidth="1"/>
  </cols>
  <sheetData>
    <row r="3" spans="1:24" x14ac:dyDescent="0.35">
      <c r="A3" s="939" t="s">
        <v>395</v>
      </c>
      <c r="B3" s="69"/>
      <c r="C3" s="69"/>
      <c r="D3" s="69"/>
      <c r="E3" s="69"/>
      <c r="F3" s="69"/>
      <c r="G3" s="69"/>
      <c r="H3" s="69"/>
      <c r="K3" s="939" t="s">
        <v>395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</row>
    <row r="4" spans="1:24" x14ac:dyDescent="0.35">
      <c r="A4" s="501" t="s">
        <v>195</v>
      </c>
      <c r="B4" s="69"/>
      <c r="C4" s="69"/>
      <c r="D4" s="69"/>
      <c r="E4" s="69"/>
      <c r="F4" s="69"/>
      <c r="G4" s="69"/>
      <c r="H4" s="69"/>
      <c r="K4" s="501" t="s">
        <v>195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 spans="1:24" x14ac:dyDescent="0.35">
      <c r="A5" s="502" t="s">
        <v>196</v>
      </c>
      <c r="B5" s="502" t="s">
        <v>395</v>
      </c>
      <c r="C5" s="69"/>
      <c r="D5" s="69"/>
      <c r="E5" s="69"/>
      <c r="F5" s="69"/>
      <c r="G5" s="69"/>
      <c r="H5" s="69"/>
      <c r="K5" s="502" t="s">
        <v>196</v>
      </c>
      <c r="L5" s="502" t="s">
        <v>395</v>
      </c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</row>
    <row r="6" spans="1:24" x14ac:dyDescent="0.35">
      <c r="A6" s="964"/>
      <c r="B6" s="964" t="str">
        <f t="array" ref="B6:H6">_xll.FDSRC("-",$B$5,"PROPER(CONVERT_DATE(FE_TIMESERIES_PERIOD(,2024,2030,FY,'DISPLAY=YYYYMMDD'),""MMM 'YY""))")</f>
        <v>Dec '24</v>
      </c>
      <c r="C6" s="964" t="str">
        <v>Dec '25</v>
      </c>
      <c r="D6" s="964" t="str">
        <v>Dec '26</v>
      </c>
      <c r="E6" s="964" t="str">
        <v>Dec '27</v>
      </c>
      <c r="F6" s="964" t="str">
        <v>Dec '28</v>
      </c>
      <c r="G6" s="964" t="str">
        <v>Dec '29</v>
      </c>
      <c r="H6" s="964" t="str">
        <v>Dec '30</v>
      </c>
      <c r="K6" s="503"/>
      <c r="L6" s="503" t="str">
        <f t="array" ref="L6:M6">_xll.FDSRC("-",$L$5,"PROPER(CONVERT_DATE(FE_TIMESERIES_PERIOD(,2023,2024,FY,'DISPLAY=YYYYMMDD'),""MMM 'YY""))")</f>
        <v>Dec '23</v>
      </c>
      <c r="M6" s="503" t="str">
        <v>Dec '24</v>
      </c>
      <c r="N6" s="503" t="str">
        <f t="array" ref="N6:Q6">_xll.FDSRC("-",$L$5,"PROPER(CONVERT_DATE(FE_TIMESERIES_PERIOD(,2025/1F,2025/4F,FQ,'DISPLAY=YYYYMMDD'),""MMM 'YY""))")</f>
        <v>Mar '25</v>
      </c>
      <c r="O6" s="503" t="str">
        <v>Jun '25</v>
      </c>
      <c r="P6" s="503" t="str">
        <v>Sep '25</v>
      </c>
      <c r="Q6" s="503" t="str">
        <v>Dec '25</v>
      </c>
      <c r="R6" s="503" t="str">
        <f>_xll.FDSRC("-",$L$5,"PROPER(CONVERT_DATE(FE_TIMESERIES_PERIOD(,2025,2025,FY,'DISPLAY=YYYYMMDD'),""MMM 'YY""))")</f>
        <v>Dec '25</v>
      </c>
      <c r="S6" s="503" t="str">
        <f t="array" ref="S6:V6">_xll.FDSRC("-",$L$5,"PROPER(CONVERT_DATE(FE_TIMESERIES_PERIOD(,2026/1F,2026/4F,FQ,'DISPLAY=YYYYMMDD'),""MMM 'YY""))")</f>
        <v>Mar '26</v>
      </c>
      <c r="T6" s="503" t="str">
        <v>Jun '26</v>
      </c>
      <c r="U6" s="503" t="str">
        <v>Sep '26</v>
      </c>
      <c r="V6" s="503" t="str">
        <v>Dec '26</v>
      </c>
      <c r="W6" s="503" t="str">
        <f t="array" ref="W6:X6">_xll.FDSRC("-",$L$5,"PROPER(CONVERT_DATE(FE_TIMESERIES_PERIOD(,2026,2027,FY,'DISPLAY=YYYYMMDD'),""MMM 'YY""))")</f>
        <v>Dec '26</v>
      </c>
      <c r="X6" s="503" t="str">
        <v>Dec '27</v>
      </c>
    </row>
    <row r="7" spans="1:24" x14ac:dyDescent="0.35">
      <c r="A7" s="963" t="s">
        <v>197</v>
      </c>
      <c r="B7" s="505" t="str">
        <f t="array" ref="B7:H7">_xll.FDSRC("-",$B$5,"FE_TIMESERIES(EPS,MEAN,2024,2030,FY,'BKRACTMED=1,WIN=0,UNITS=AUTO,DATE=NOW')")</f>
        <v>-</v>
      </c>
      <c r="C7" s="505">
        <v>-18.559999999999999</v>
      </c>
      <c r="D7" s="505">
        <v>-3.9460000000000002</v>
      </c>
      <c r="E7" s="505">
        <v>-4.0999999999999996</v>
      </c>
      <c r="F7" s="505">
        <v>-4.7699999999999996</v>
      </c>
      <c r="G7" s="505">
        <v>-4.5599999999999996</v>
      </c>
      <c r="H7" s="505">
        <v>-4.67</v>
      </c>
      <c r="K7" s="964"/>
      <c r="L7" s="964" t="str">
        <f t="array" ref="L7:M7">_xll.FDSRC("-",$L$5,"FE_TIMESERIES_PERIOD(,2023,2024,FY,'')")</f>
        <v>2023</v>
      </c>
      <c r="M7" s="964" t="str">
        <v>2024</v>
      </c>
      <c r="N7" s="964" t="str">
        <f t="array" ref="N7:Q7">_xll.FDSRC("-",$L$5,"FE_TIMESERIES_PERIOD(,2025/1F,2025/4F,FQ,'')")</f>
        <v>2025/1F</v>
      </c>
      <c r="O7" s="964" t="str">
        <v>2025/2F</v>
      </c>
      <c r="P7" s="964" t="str">
        <v>2025/3F</v>
      </c>
      <c r="Q7" s="964" t="str">
        <v>2025/4F</v>
      </c>
      <c r="R7" s="964" t="str">
        <f>_xll.FDSRC("-",$L$5,"FE_TIMESERIES_PERIOD(,2025,2025,FY,'')")</f>
        <v>2025</v>
      </c>
      <c r="S7" s="964" t="str">
        <f t="array" ref="S7:V7">_xll.FDSRC("-",$L$5,"FE_TIMESERIES_PERIOD(,2026/1F,2026/4F,FQ,'')")</f>
        <v>2026/1F</v>
      </c>
      <c r="T7" s="964" t="str">
        <v>2026/2F</v>
      </c>
      <c r="U7" s="964" t="str">
        <v>2026/3F</v>
      </c>
      <c r="V7" s="964" t="str">
        <v>2026/4F</v>
      </c>
      <c r="W7" s="964" t="str">
        <f t="array" ref="W7:X7">_xll.FDSRC("-",$L$5,"FE_TIMESERIES_PERIOD(,2026,2027,FY,'')")</f>
        <v>2026</v>
      </c>
      <c r="X7" s="964" t="str">
        <v>2027</v>
      </c>
    </row>
    <row r="8" spans="1:24" x14ac:dyDescent="0.35">
      <c r="A8" s="962" t="s">
        <v>394</v>
      </c>
      <c r="B8" s="504" t="str">
        <f t="array" ref="B8:H8">_xll.FDSRC("-",$B$5,"FE_TIMESERIES(EAG,MEAN,2024,2030,FY,'BKRACTMED=1,WIN=0,UNITS=AUTO,DATE=NOW')")</f>
        <v>-</v>
      </c>
      <c r="C8" s="504">
        <v>-18.625</v>
      </c>
      <c r="D8" s="504">
        <v>-4.0866666</v>
      </c>
      <c r="E8" s="504">
        <v>-4.7350000000000003</v>
      </c>
      <c r="F8" s="504">
        <v>-5.17</v>
      </c>
      <c r="G8" s="504">
        <v>-4.9950000000000001</v>
      </c>
      <c r="H8" s="504">
        <v>-4.79</v>
      </c>
      <c r="K8" s="962" t="s">
        <v>197</v>
      </c>
      <c r="L8" s="504" t="str">
        <f t="array" ref="L8:M8">_xll.FDSRC("-",$L$5,"FE_TIMESERIES(EPS,MEAN,2023,2024,FY,'BKRACTMED=1,WIN=0,UNITS=AUTO,DATE=NOW')")</f>
        <v>-</v>
      </c>
      <c r="M8" s="504" t="str">
        <v>-</v>
      </c>
      <c r="N8" s="504" t="str">
        <f t="array" ref="N8:Q8">_xll.FDSRC("-",$L$5,"FE_TIMESERIES(EPS,MEAN,2025/1F,2025/4F,FQ,'BKRACTMED=1,WIN=0,UNITS=AUTO,DATE=NOW')")</f>
        <v>-</v>
      </c>
      <c r="O8" s="504">
        <v>-1.1399999999999999</v>
      </c>
      <c r="P8" s="504">
        <v>-37.18</v>
      </c>
      <c r="Q8" s="504">
        <v>-2.4700000000000002</v>
      </c>
      <c r="R8" s="504">
        <f>_xll.FDSRC("-",$L$5,"FE_TIMESERIES(EPS,MEAN,2025,2025,FY,'BKRACTMED=1,WIN=0,UNITS=AUTO,DATE=NOW')")</f>
        <v>-18.559999999999999</v>
      </c>
      <c r="S8" s="504">
        <f t="array" ref="S8:V8">_xll.FDSRC("-",$L$5,"FE_TIMESERIES(EPS,MEAN,2026/1F,2026/4F,FQ,'BKRACTMED=1,WIN=0,UNITS=AUTO,DATE=NOW')")</f>
        <v>-0.94799999999999995</v>
      </c>
      <c r="T8" s="504">
        <v>-0.99</v>
      </c>
      <c r="U8" s="504">
        <v>-0.98</v>
      </c>
      <c r="V8" s="504">
        <v>-1.028</v>
      </c>
      <c r="W8" s="504">
        <f t="array" ref="W8:X8">_xll.FDSRC("-",$L$5,"FE_TIMESERIES(EPS,MEAN,2026,2027,FY,'BKRACTMED=1,WIN=0,UNITS=AUTO,DATE=NOW')")</f>
        <v>-3.9460000000000002</v>
      </c>
      <c r="X8" s="504">
        <v>-4.0999999999999996</v>
      </c>
    </row>
    <row r="9" spans="1:24" x14ac:dyDescent="0.35">
      <c r="K9" s="963" t="s">
        <v>394</v>
      </c>
      <c r="L9" s="505" t="str">
        <f t="array" ref="L9:M9">_xll.FDSRC("-",$L$5,"FE_TIMESERIES(EAG,MEAN,2023,2024,FY,'BKRACTMED=1,WIN=0,UNITS=AUTO,DATE=NOW')")</f>
        <v>-</v>
      </c>
      <c r="M9" s="505" t="str">
        <v>-</v>
      </c>
      <c r="N9" s="505" t="str">
        <f t="array" ref="N9:Q9">_xll.FDSRC("-",$L$5,"FE_TIMESERIES(EAG,MEAN,2025/1F,2025/4F,FQ,'BKRACTMED=1,WIN=0,UNITS=AUTO,DATE=NOW')")</f>
        <v>-</v>
      </c>
      <c r="O9" s="505" t="str">
        <v>-</v>
      </c>
      <c r="P9" s="505">
        <v>-37.18</v>
      </c>
      <c r="Q9" s="505">
        <v>-2.4700000000000002</v>
      </c>
      <c r="R9" s="505">
        <f>_xll.FDSRC("-",$L$5,"FE_TIMESERIES(EAG,MEAN,2025,2025,FY,'BKRACTMED=1,WIN=0,UNITS=AUTO,DATE=NOW')")</f>
        <v>-18.625</v>
      </c>
      <c r="S9" s="505">
        <f t="array" ref="S9:V9">_xll.FDSRC("-",$L$5,"FE_TIMESERIES(EAG,MEAN,2026/1F,2026/4F,FQ,'BKRACTMED=1,WIN=0,UNITS=AUTO,DATE=NOW')")</f>
        <v>-1.0066667</v>
      </c>
      <c r="T9" s="505">
        <v>-1.05</v>
      </c>
      <c r="U9" s="505">
        <v>-0.98666670000000001</v>
      </c>
      <c r="V9" s="505">
        <v>-1.0466666</v>
      </c>
      <c r="W9" s="505">
        <f t="array" ref="W9:X9">_xll.FDSRC("-",$L$5,"FE_TIMESERIES(EAG,MEAN,2026,2027,FY,'BKRACTMED=1,WIN=0,UNITS=AUTO,DATE=NOW')")</f>
        <v>-4.0866666</v>
      </c>
      <c r="X9" s="505">
        <v>-4.7350000000000003</v>
      </c>
    </row>
    <row r="11" spans="1:24" x14ac:dyDescent="0.35">
      <c r="A11" s="939" t="s">
        <v>395</v>
      </c>
      <c r="B11" s="69"/>
      <c r="C11" s="69"/>
      <c r="D11" s="69"/>
      <c r="E11" s="69"/>
      <c r="F11" s="69"/>
      <c r="G11" s="69"/>
      <c r="H11" s="69"/>
    </row>
    <row r="12" spans="1:24" x14ac:dyDescent="0.35">
      <c r="A12" s="501" t="s">
        <v>198</v>
      </c>
      <c r="B12" s="69"/>
      <c r="C12" s="69"/>
      <c r="D12" s="69"/>
      <c r="E12" s="69"/>
      <c r="F12" s="69"/>
      <c r="G12" s="69"/>
      <c r="H12" s="69"/>
      <c r="K12" s="939" t="s">
        <v>395</v>
      </c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 spans="1:24" x14ac:dyDescent="0.35">
      <c r="A13" s="502" t="s">
        <v>196</v>
      </c>
      <c r="B13" s="502" t="s">
        <v>395</v>
      </c>
      <c r="C13" s="69"/>
      <c r="D13" s="69"/>
      <c r="E13" s="69"/>
      <c r="F13" s="69"/>
      <c r="G13" s="69"/>
      <c r="H13" s="69"/>
      <c r="K13" s="501" t="s">
        <v>198</v>
      </c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 spans="1:24" x14ac:dyDescent="0.35">
      <c r="A14" s="964"/>
      <c r="B14" s="964" t="str">
        <f t="array" ref="B14:H14">_xll.FDSRC("-",$B$13,"PROPER(CONVERT_DATE(FE_TIMESERIES_PERIOD(,2024,2030,FY,'DISPLAY=YYYYMMDD'),""MMM 'YY""))")</f>
        <v>Dec '24</v>
      </c>
      <c r="C14" s="964" t="str">
        <v>Dec '25</v>
      </c>
      <c r="D14" s="964" t="str">
        <v>Dec '26</v>
      </c>
      <c r="E14" s="964" t="str">
        <v>Dec '27</v>
      </c>
      <c r="F14" s="964" t="str">
        <v>Dec '28</v>
      </c>
      <c r="G14" s="964" t="str">
        <v>Dec '29</v>
      </c>
      <c r="H14" s="964" t="str">
        <v>Dec '30</v>
      </c>
      <c r="K14" s="502" t="s">
        <v>196</v>
      </c>
      <c r="L14" s="502" t="s">
        <v>395</v>
      </c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</row>
    <row r="15" spans="1:24" x14ac:dyDescent="0.35">
      <c r="A15" s="963" t="s">
        <v>101</v>
      </c>
      <c r="B15" s="505" t="str">
        <f t="array" ref="B15:H15">_xll.FDSRC("-",$B$13,"FE_TIMESERIES(SALES,MEAN,2024,2030,FY,'BKRACTMED=1,WIN=0,UNITS=AUTO,DATE=NOW')")</f>
        <v>-</v>
      </c>
      <c r="C15" s="505">
        <v>0</v>
      </c>
      <c r="D15" s="505">
        <v>0</v>
      </c>
      <c r="E15" s="505">
        <v>0</v>
      </c>
      <c r="F15" s="505">
        <v>0</v>
      </c>
      <c r="G15" s="505">
        <v>0</v>
      </c>
      <c r="H15" s="505">
        <v>49.1</v>
      </c>
      <c r="K15" s="503"/>
      <c r="L15" s="503" t="str">
        <f t="array" ref="L15:M15">_xll.FDSRC("-",$L$14,"PROPER(CONVERT_DATE(FE_TIMESERIES_PERIOD(,2023,2024,FY,'DISPLAY=YYYYMMDD'),""MMM 'YY""))")</f>
        <v>Dec '23</v>
      </c>
      <c r="M15" s="503" t="str">
        <v>Dec '24</v>
      </c>
      <c r="N15" s="503" t="str">
        <f t="array" ref="N15:Q15">_xll.FDSRC("-",$L$14,"PROPER(CONVERT_DATE(FE_TIMESERIES_PERIOD(,2025/1F,2025/4F,FQ,'DISPLAY=YYYYMMDD'),""MMM 'YY""))")</f>
        <v>Mar '25</v>
      </c>
      <c r="O15" s="503" t="str">
        <v>Jun '25</v>
      </c>
      <c r="P15" s="503" t="str">
        <v>Sep '25</v>
      </c>
      <c r="Q15" s="503" t="str">
        <v>Dec '25</v>
      </c>
      <c r="R15" s="503" t="str">
        <f>_xll.FDSRC("-",$L$14,"PROPER(CONVERT_DATE(FE_TIMESERIES_PERIOD(,2025,2025,FY,'DISPLAY=YYYYMMDD'),""MMM 'YY""))")</f>
        <v>Dec '25</v>
      </c>
      <c r="S15" s="503" t="str">
        <f t="array" ref="S15:V15">_xll.FDSRC("-",$L$14,"PROPER(CONVERT_DATE(FE_TIMESERIES_PERIOD(,2026/1F,2026/4F,FQ,'DISPLAY=YYYYMMDD'),""MMM 'YY""))")</f>
        <v>Mar '26</v>
      </c>
      <c r="T15" s="503" t="str">
        <v>Jun '26</v>
      </c>
      <c r="U15" s="503" t="str">
        <v>Sep '26</v>
      </c>
      <c r="V15" s="503" t="str">
        <v>Dec '26</v>
      </c>
      <c r="W15" s="503" t="str">
        <f t="array" ref="W15:X15">_xll.FDSRC("-",$L$14,"PROPER(CONVERT_DATE(FE_TIMESERIES_PERIOD(,2026,2027,FY,'DISPLAY=YYYYMMDD'),""MMM 'YY""))")</f>
        <v>Dec '26</v>
      </c>
      <c r="X15" s="503" t="str">
        <v>Dec '27</v>
      </c>
    </row>
    <row r="16" spans="1:24" x14ac:dyDescent="0.35">
      <c r="A16" s="962" t="s">
        <v>199</v>
      </c>
      <c r="B16" s="504" t="str">
        <f t="array" ref="B16:H16">_xll.FDSRC("-",$B$13,"FE_TIMESERIES(COS,MEAN,2024,2030,FY,'BKRACTMED=1,WIN=0,UNITS=AUTO,DATE=NOW')")</f>
        <v>-</v>
      </c>
      <c r="C16" s="504">
        <v>0</v>
      </c>
      <c r="D16" s="504">
        <v>0</v>
      </c>
      <c r="E16" s="504">
        <v>0</v>
      </c>
      <c r="F16" s="504">
        <v>0</v>
      </c>
      <c r="G16" s="504">
        <v>0</v>
      </c>
      <c r="H16" s="504">
        <v>2.5499999999999998</v>
      </c>
      <c r="K16" s="964"/>
      <c r="L16" s="964" t="str">
        <f t="array" ref="L16:M16">_xll.FDSRC("-",$L$14,"FE_TIMESERIES_PERIOD(,2023,2024,FY,'')")</f>
        <v>2023</v>
      </c>
      <c r="M16" s="964" t="str">
        <v>2024</v>
      </c>
      <c r="N16" s="964" t="str">
        <f t="array" ref="N16:Q16">_xll.FDSRC("-",$L$14,"FE_TIMESERIES_PERIOD(,2025/1F,2025/4F,FQ,'')")</f>
        <v>2025/1F</v>
      </c>
      <c r="O16" s="964" t="str">
        <v>2025/2F</v>
      </c>
      <c r="P16" s="964" t="str">
        <v>2025/3F</v>
      </c>
      <c r="Q16" s="964" t="str">
        <v>2025/4F</v>
      </c>
      <c r="R16" s="964" t="str">
        <f>_xll.FDSRC("-",$L$14,"FE_TIMESERIES_PERIOD(,2025,2025,FY,'')")</f>
        <v>2025</v>
      </c>
      <c r="S16" s="964" t="str">
        <f t="array" ref="S16:V16">_xll.FDSRC("-",$L$14,"FE_TIMESERIES_PERIOD(,2026/1F,2026/4F,FQ,'')")</f>
        <v>2026/1F</v>
      </c>
      <c r="T16" s="964" t="str">
        <v>2026/2F</v>
      </c>
      <c r="U16" s="964" t="str">
        <v>2026/3F</v>
      </c>
      <c r="V16" s="964" t="str">
        <v>2026/4F</v>
      </c>
      <c r="W16" s="964" t="str">
        <f t="array" ref="W16:X16">_xll.FDSRC("-",$L$14,"FE_TIMESERIES_PERIOD(,2026,2027,FY,'')")</f>
        <v>2026</v>
      </c>
      <c r="X16" s="964" t="str">
        <v>2027</v>
      </c>
    </row>
    <row r="17" spans="1:24" x14ac:dyDescent="0.35">
      <c r="A17" s="963" t="s">
        <v>200</v>
      </c>
      <c r="B17" s="505" t="str">
        <f t="array" ref="B17:H17">_xll.FDSRC("-",$B$13,"FE_TIMESERIES(GROSSINCOME,MEAN,2024,2030,FY,'BKRACTMED=1,WIN=0,UNITS=AUTO,DATE=NOW')")</f>
        <v>-</v>
      </c>
      <c r="C17" s="505">
        <v>0</v>
      </c>
      <c r="D17" s="505">
        <v>0</v>
      </c>
      <c r="E17" s="505">
        <v>0</v>
      </c>
      <c r="F17" s="505">
        <v>0</v>
      </c>
      <c r="G17" s="505">
        <v>0</v>
      </c>
      <c r="H17" s="505">
        <v>53.65</v>
      </c>
      <c r="K17" s="962" t="s">
        <v>101</v>
      </c>
      <c r="L17" s="504" t="str">
        <f t="array" ref="L17:M17">_xll.FDSRC("-",$L$14,"FE_TIMESERIES(SALES,MEAN,2023,2024,FY,'BKRACTMED=1,WIN=0,UNITS=AUTO,DATE=NOW')")</f>
        <v>-</v>
      </c>
      <c r="M17" s="504" t="str">
        <v>-</v>
      </c>
      <c r="N17" s="504" t="str">
        <f t="array" ref="N17:Q17">_xll.FDSRC("-",$L$14,"FE_TIMESERIES(SALES,MEAN,2025/1F,2025/4F,FQ,'BKRACTMED=1,WIN=0,UNITS=AUTO,DATE=NOW')")</f>
        <v>-</v>
      </c>
      <c r="O17" s="504">
        <v>0</v>
      </c>
      <c r="P17" s="504">
        <v>0</v>
      </c>
      <c r="Q17" s="504">
        <v>0</v>
      </c>
      <c r="R17" s="504">
        <f>_xll.FDSRC("-",$L$14,"FE_TIMESERIES(SALES,MEAN,2025,2025,FY,'BKRACTMED=1,WIN=0,UNITS=AUTO,DATE=NOW')")</f>
        <v>0</v>
      </c>
      <c r="S17" s="504">
        <f t="array" ref="S17:V17">_xll.FDSRC("-",$L$14,"FE_TIMESERIES(SALES,MEAN,2026/1F,2026/4F,FQ,'BKRACTMED=1,WIN=0,UNITS=AUTO,DATE=NOW')")</f>
        <v>0</v>
      </c>
      <c r="T17" s="504">
        <v>0</v>
      </c>
      <c r="U17" s="504">
        <v>0</v>
      </c>
      <c r="V17" s="504">
        <v>0</v>
      </c>
      <c r="W17" s="504">
        <f t="array" ref="W17:X17">_xll.FDSRC("-",$L$14,"FE_TIMESERIES(SALES,MEAN,2026,2027,FY,'BKRACTMED=1,WIN=0,UNITS=AUTO,DATE=NOW')")</f>
        <v>0</v>
      </c>
      <c r="X17" s="504">
        <v>0</v>
      </c>
    </row>
    <row r="18" spans="1:24" x14ac:dyDescent="0.35">
      <c r="A18" s="962" t="s">
        <v>203</v>
      </c>
      <c r="B18" s="504" t="str">
        <f t="array" ref="B18:H18">_xll.FDSRC("-",$B$13,"FE_TIMESERIES(SGA,MEAN,2024,2030,FY,'BKRACTMED=1,WIN=0,UNITS=AUTO,DATE=NOW')")</f>
        <v>-</v>
      </c>
      <c r="C18" s="504">
        <v>30.7</v>
      </c>
      <c r="D18" s="504">
        <v>37.433334000000002</v>
      </c>
      <c r="E18" s="504">
        <v>42.1</v>
      </c>
      <c r="F18" s="504">
        <v>47.8</v>
      </c>
      <c r="G18" s="504">
        <v>50.7</v>
      </c>
      <c r="H18" s="504">
        <v>196.6</v>
      </c>
      <c r="K18" s="963" t="s">
        <v>199</v>
      </c>
      <c r="L18" s="505" t="str">
        <f t="array" ref="L18:M18">_xll.FDSRC("-",$L$14,"FE_TIMESERIES(COS,MEAN,2023,2024,FY,'BKRACTMED=1,WIN=0,UNITS=AUTO,DATE=NOW')")</f>
        <v>-</v>
      </c>
      <c r="M18" s="505" t="str">
        <v>-</v>
      </c>
      <c r="N18" s="505" t="str">
        <f t="array" ref="N18:Q18">_xll.FDSRC("-",$L$14,"FE_TIMESERIES(COS,MEAN,2025/1F,2025/4F,FQ,'BKRACTMED=1,WIN=0,UNITS=AUTO,DATE=NOW')")</f>
        <v>-</v>
      </c>
      <c r="O18" s="505">
        <v>0</v>
      </c>
      <c r="P18" s="505">
        <v>0</v>
      </c>
      <c r="Q18" s="505">
        <v>0</v>
      </c>
      <c r="R18" s="505">
        <f>_xll.FDSRC("-",$L$14,"FE_TIMESERIES(COS,MEAN,2025,2025,FY,'BKRACTMED=1,WIN=0,UNITS=AUTO,DATE=NOW')")</f>
        <v>0</v>
      </c>
      <c r="S18" s="505">
        <f t="array" ref="S18:V18">_xll.FDSRC("-",$L$14,"FE_TIMESERIES(COS,MEAN,2026/1F,2026/4F,FQ,'BKRACTMED=1,WIN=0,UNITS=AUTO,DATE=NOW')")</f>
        <v>0</v>
      </c>
      <c r="T18" s="505">
        <v>0</v>
      </c>
      <c r="U18" s="505">
        <v>0</v>
      </c>
      <c r="V18" s="505">
        <v>0</v>
      </c>
      <c r="W18" s="505">
        <f t="array" ref="W18:X18">_xll.FDSRC("-",$L$14,"FE_TIMESERIES(COS,MEAN,2026,2027,FY,'BKRACTMED=1,WIN=0,UNITS=AUTO,DATE=NOW')")</f>
        <v>0</v>
      </c>
      <c r="X18" s="505">
        <v>0</v>
      </c>
    </row>
    <row r="19" spans="1:24" x14ac:dyDescent="0.35">
      <c r="A19" s="963" t="s">
        <v>204</v>
      </c>
      <c r="B19" s="505" t="str">
        <f t="array" ref="B19:H19">_xll.FDSRC("-",$B$13,"FE_TIMESERIES(RD_EXP,MEAN,2024,2030,FY,'BKRACTMED=1,WIN=0,UNITS=AUTO,DATE=NOW')")</f>
        <v>-</v>
      </c>
      <c r="C19" s="505">
        <v>138.30000000000001</v>
      </c>
      <c r="D19" s="505">
        <v>150.66667000000001</v>
      </c>
      <c r="E19" s="505">
        <v>175</v>
      </c>
      <c r="F19" s="505">
        <v>212.5</v>
      </c>
      <c r="G19" s="505">
        <v>207.5</v>
      </c>
      <c r="H19" s="505">
        <v>147.5</v>
      </c>
      <c r="K19" s="962" t="s">
        <v>200</v>
      </c>
      <c r="L19" s="504" t="str">
        <f t="array" ref="L19:M19">_xll.FDSRC("-",$L$14,"FE_TIMESERIES(GROSSINCOME,MEAN,2023,2024,FY,'BKRACTMED=1,WIN=0,UNITS=AUTO,DATE=NOW')")</f>
        <v>-</v>
      </c>
      <c r="M19" s="504" t="str">
        <v>-</v>
      </c>
      <c r="N19" s="504" t="str">
        <f t="array" ref="N19:Q19">_xll.FDSRC("-",$L$14,"FE_TIMESERIES(GROSSINCOME,MEAN,2025/1F,2025/4F,FQ,'BKRACTMED=1,WIN=0,UNITS=AUTO,DATE=NOW')")</f>
        <v>-</v>
      </c>
      <c r="O19" s="504">
        <v>0</v>
      </c>
      <c r="P19" s="504">
        <v>0</v>
      </c>
      <c r="Q19" s="504">
        <v>0</v>
      </c>
      <c r="R19" s="504">
        <f>_xll.FDSRC("-",$L$14,"FE_TIMESERIES(GROSSINCOME,MEAN,2025,2025,FY,'BKRACTMED=1,WIN=0,UNITS=AUTO,DATE=NOW')")</f>
        <v>0</v>
      </c>
      <c r="S19" s="504">
        <f t="array" ref="S19:V19">_xll.FDSRC("-",$L$14,"FE_TIMESERIES(GROSSINCOME,MEAN,2026/1F,2026/4F,FQ,'BKRACTMED=1,WIN=0,UNITS=AUTO,DATE=NOW')")</f>
        <v>0</v>
      </c>
      <c r="T19" s="504">
        <v>0</v>
      </c>
      <c r="U19" s="504">
        <v>0</v>
      </c>
      <c r="V19" s="504">
        <v>0</v>
      </c>
      <c r="W19" s="504">
        <f t="array" ref="W19:X19">_xll.FDSRC("-",$L$14,"FE_TIMESERIES(GROSSINCOME,MEAN,2026,2027,FY,'BKRACTMED=1,WIN=0,UNITS=AUTO,DATE=NOW')")</f>
        <v>0</v>
      </c>
      <c r="X19" s="504">
        <v>0</v>
      </c>
    </row>
    <row r="20" spans="1:24" x14ac:dyDescent="0.35">
      <c r="A20" s="962" t="s">
        <v>201</v>
      </c>
      <c r="B20" s="504" t="str">
        <f t="array" ref="B20:H20">_xll.FDSRC("-",$B$13,"FE_TIMESERIES(EBITDA,MEAN,2024,2030,FY,'BKRACTMED=1,WIN=0,UNITS=AUTO,DATE=NOW')")</f>
        <v>-</v>
      </c>
      <c r="C20" s="504">
        <v>-169.55250000000001</v>
      </c>
      <c r="D20" s="504">
        <v>-210.85167000000001</v>
      </c>
      <c r="E20" s="504">
        <v>-227.40496999999999</v>
      </c>
      <c r="F20" s="504">
        <v>-298.04680000000002</v>
      </c>
      <c r="G20" s="504">
        <v>-264</v>
      </c>
      <c r="H20" s="504">
        <v>-245.1</v>
      </c>
      <c r="K20" s="963" t="s">
        <v>203</v>
      </c>
      <c r="L20" s="505" t="str">
        <f t="array" ref="L20:M20">_xll.FDSRC("-",$L$14,"FE_TIMESERIES(SGA,MEAN,2023,2024,FY,'BKRACTMED=1,WIN=0,UNITS=AUTO,DATE=NOW')")</f>
        <v>-</v>
      </c>
      <c r="M20" s="505" t="str">
        <v>-</v>
      </c>
      <c r="N20" s="505" t="str">
        <f t="array" ref="N20:Q20">_xll.FDSRC("-",$L$14,"FE_TIMESERIES(SGA,MEAN,2025/1F,2025/4F,FQ,'BKRACTMED=1,WIN=0,UNITS=AUTO,DATE=NOW')")</f>
        <v>-</v>
      </c>
      <c r="O20" s="505">
        <v>4.0999999999999996</v>
      </c>
      <c r="P20" s="505">
        <v>4.4000000000000004</v>
      </c>
      <c r="Q20" s="505">
        <v>18.8</v>
      </c>
      <c r="R20" s="505">
        <f>_xll.FDSRC("-",$L$14,"FE_TIMESERIES(SGA,MEAN,2025,2025,FY,'BKRACTMED=1,WIN=0,UNITS=AUTO,DATE=NOW')")</f>
        <v>30.7</v>
      </c>
      <c r="S20" s="505">
        <f t="array" ref="S20:V20">_xll.FDSRC("-",$L$14,"FE_TIMESERIES(SGA,MEAN,2026/1F,2026/4F,FQ,'BKRACTMED=1,WIN=0,UNITS=AUTO,DATE=NOW')")</f>
        <v>8.5</v>
      </c>
      <c r="T20" s="505">
        <v>9.033334</v>
      </c>
      <c r="U20" s="505">
        <v>9.7333339999999993</v>
      </c>
      <c r="V20" s="505">
        <v>10.166667</v>
      </c>
      <c r="W20" s="505">
        <f t="array" ref="W20:X20">_xll.FDSRC("-",$L$14,"FE_TIMESERIES(SGA,MEAN,2026,2027,FY,'BKRACTMED=1,WIN=0,UNITS=AUTO,DATE=NOW')")</f>
        <v>37.433334000000002</v>
      </c>
      <c r="X20" s="505">
        <v>42.1</v>
      </c>
    </row>
    <row r="21" spans="1:24" x14ac:dyDescent="0.35">
      <c r="A21" s="963" t="s">
        <v>205</v>
      </c>
      <c r="B21" s="505" t="str">
        <f t="array" ref="B21:H21">_xll.FDSRC("-",$B$13,"FE_TIMESERIES(DEPR_AMORT,MEAN,2024,2030,FY,'BKRACTMED=1,WIN=0,UNITS=AUTO,DATE=NOW')")</f>
        <v>-</v>
      </c>
      <c r="C21" s="505">
        <v>0.6</v>
      </c>
      <c r="D21" s="505">
        <v>1.3</v>
      </c>
      <c r="E21" s="505">
        <v>0.55000000000000004</v>
      </c>
      <c r="F21" s="505">
        <v>0.8</v>
      </c>
      <c r="G21" s="505">
        <v>0.8</v>
      </c>
      <c r="H21" s="505">
        <v>0.8</v>
      </c>
      <c r="K21" s="962" t="s">
        <v>204</v>
      </c>
      <c r="L21" s="504" t="str">
        <f t="array" ref="L21:M21">_xll.FDSRC("-",$L$14,"FE_TIMESERIES(RD_EXP,MEAN,2023,2024,FY,'BKRACTMED=1,WIN=0,UNITS=AUTO,DATE=NOW')")</f>
        <v>-</v>
      </c>
      <c r="M21" s="504" t="str">
        <v>-</v>
      </c>
      <c r="N21" s="504" t="str">
        <f t="array" ref="N21:Q21">_xll.FDSRC("-",$L$14,"FE_TIMESERIES(RD_EXP,MEAN,2025/1F,2025/4F,FQ,'BKRACTMED=1,WIN=0,UNITS=AUTO,DATE=NOW')")</f>
        <v>-</v>
      </c>
      <c r="O21" s="504">
        <v>24.6</v>
      </c>
      <c r="P21" s="504">
        <v>27.1</v>
      </c>
      <c r="Q21" s="504">
        <v>64.599999999999994</v>
      </c>
      <c r="R21" s="504">
        <f>_xll.FDSRC("-",$L$14,"FE_TIMESERIES(RD_EXP,MEAN,2025,2025,FY,'BKRACTMED=1,WIN=0,UNITS=AUTO,DATE=NOW')")</f>
        <v>138.30000000000001</v>
      </c>
      <c r="S21" s="504">
        <f t="array" ref="S21:V21">_xll.FDSRC("-",$L$14,"FE_TIMESERIES(RD_EXP,MEAN,2026/1F,2026/4F,FQ,'BKRACTMED=1,WIN=0,UNITS=AUTO,DATE=NOW')")</f>
        <v>35.1</v>
      </c>
      <c r="T21" s="504">
        <v>36.766666000000001</v>
      </c>
      <c r="U21" s="504">
        <v>38.1</v>
      </c>
      <c r="V21" s="504">
        <v>40.766666000000001</v>
      </c>
      <c r="W21" s="504">
        <f t="array" ref="W21:X21">_xll.FDSRC("-",$L$14,"FE_TIMESERIES(RD_EXP,MEAN,2026,2027,FY,'BKRACTMED=1,WIN=0,UNITS=AUTO,DATE=NOW')")</f>
        <v>150.66667000000001</v>
      </c>
      <c r="X21" s="504">
        <v>175</v>
      </c>
    </row>
    <row r="22" spans="1:24" x14ac:dyDescent="0.35">
      <c r="A22" s="967" t="s">
        <v>22</v>
      </c>
      <c r="B22" s="966" t="str">
        <f t="array" ref="B22:H22">_xll.FDSRC("-",$B$13,"FE_TIMESERIES(EBIT,MEAN,2024,2030,FY,'BKRACTMED=1,WIN=0,UNITS=AUTO,DATE=NOW')")</f>
        <v>-</v>
      </c>
      <c r="C22" s="966">
        <v>-169.1</v>
      </c>
      <c r="D22" s="966">
        <v>-195.55608000000001</v>
      </c>
      <c r="E22" s="966">
        <v>-240.46242000000001</v>
      </c>
      <c r="F22" s="966">
        <v>-298.63567999999998</v>
      </c>
      <c r="G22" s="966">
        <v>-300.73334</v>
      </c>
      <c r="H22" s="966">
        <v>-328.1</v>
      </c>
      <c r="K22" s="963" t="s">
        <v>201</v>
      </c>
      <c r="L22" s="505" t="str">
        <f t="array" ref="L22:M22">_xll.FDSRC("-",$L$14,"FE_TIMESERIES(EBITDA,MEAN,2023,2024,FY,'BKRACTMED=1,WIN=0,UNITS=AUTO,DATE=NOW')")</f>
        <v>-</v>
      </c>
      <c r="M22" s="505" t="str">
        <v>-</v>
      </c>
      <c r="N22" s="505" t="str">
        <f t="array" ref="N22:Q22">_xll.FDSRC("-",$L$14,"FE_TIMESERIES(EBITDA,MEAN,2025/1F,2025/4F,FQ,'BKRACTMED=1,WIN=0,UNITS=AUTO,DATE=NOW')")</f>
        <v>-</v>
      </c>
      <c r="O22" s="505" t="str">
        <v>-</v>
      </c>
      <c r="P22" s="505" t="str">
        <v>-</v>
      </c>
      <c r="Q22" s="505">
        <v>-84.7</v>
      </c>
      <c r="R22" s="505">
        <f>_xll.FDSRC("-",$L$14,"FE_TIMESERIES(EBITDA,MEAN,2025,2025,FY,'BKRACTMED=1,WIN=0,UNITS=AUTO,DATE=NOW')")</f>
        <v>-169.55250000000001</v>
      </c>
      <c r="S22" s="505">
        <f t="array" ref="S22:V22">_xll.FDSRC("-",$L$14,"FE_TIMESERIES(EBITDA,MEAN,2026/1F,2026/4F,FQ,'BKRACTMED=1,WIN=0,UNITS=AUTO,DATE=NOW')")</f>
        <v>-48.9</v>
      </c>
      <c r="T22" s="505">
        <v>-51.9</v>
      </c>
      <c r="U22" s="505">
        <v>-54.9</v>
      </c>
      <c r="V22" s="505">
        <v>-57.9</v>
      </c>
      <c r="W22" s="505">
        <f t="array" ref="W22:X22">_xll.FDSRC("-",$L$14,"FE_TIMESERIES(EBITDA,MEAN,2026,2027,FY,'BKRACTMED=1,WIN=0,UNITS=AUTO,DATE=NOW')")</f>
        <v>-210.85167000000001</v>
      </c>
      <c r="X22" s="505">
        <v>-227.40496999999999</v>
      </c>
    </row>
    <row r="23" spans="1:24" x14ac:dyDescent="0.35">
      <c r="A23" s="965" t="s">
        <v>397</v>
      </c>
      <c r="B23" s="505" t="str">
        <f t="array" ref="B23:H23">_xll.FDSRC("-",$B$13,"FE_TIMESERIES(EBITR,MEAN,2024,2030,FY,'BKRACTMED=1,WIN=0,UNITS=AUTO,DATE=NOW')")</f>
        <v>-</v>
      </c>
      <c r="C23" s="505">
        <v>-169.1</v>
      </c>
      <c r="D23" s="505">
        <v>-205.2</v>
      </c>
      <c r="E23" s="505">
        <v>-302</v>
      </c>
      <c r="F23" s="505">
        <v>-341.2</v>
      </c>
      <c r="G23" s="505" t="str">
        <v>-</v>
      </c>
      <c r="H23" s="505" t="str">
        <v>-</v>
      </c>
      <c r="K23" s="962" t="s">
        <v>205</v>
      </c>
      <c r="L23" s="504" t="str">
        <f t="array" ref="L23:M23">_xll.FDSRC("-",$L$14,"FE_TIMESERIES(DEPR_AMORT,MEAN,2023,2024,FY,'BKRACTMED=1,WIN=0,UNITS=AUTO,DATE=NOW')")</f>
        <v>-</v>
      </c>
      <c r="M23" s="504" t="str">
        <v>-</v>
      </c>
      <c r="N23" s="504" t="str">
        <f t="array" ref="N23:Q23">_xll.FDSRC("-",$L$14,"FE_TIMESERIES(DEPR_AMORT,MEAN,2025/1F,2025/4F,FQ,'BKRACTMED=1,WIN=0,UNITS=AUTO,DATE=NOW')")</f>
        <v>-</v>
      </c>
      <c r="O23" s="504" t="str">
        <v>-</v>
      </c>
      <c r="P23" s="504">
        <v>0.1</v>
      </c>
      <c r="Q23" s="504">
        <v>0.1</v>
      </c>
      <c r="R23" s="504">
        <f>_xll.FDSRC("-",$L$14,"FE_TIMESERIES(DEPR_AMORT,MEAN,2025,2025,FY,'BKRACTMED=1,WIN=0,UNITS=AUTO,DATE=NOW')")</f>
        <v>0.6</v>
      </c>
      <c r="S23" s="504">
        <f t="array" ref="S23:V23">_xll.FDSRC("-",$L$14,"FE_TIMESERIES(DEPR_AMORT,MEAN,2026/1F,2026/4F,FQ,'BKRACTMED=1,WIN=0,UNITS=AUTO,DATE=NOW')")</f>
        <v>0.4</v>
      </c>
      <c r="T23" s="504">
        <v>0.4</v>
      </c>
      <c r="U23" s="504">
        <v>0.4</v>
      </c>
      <c r="V23" s="504">
        <v>0.4</v>
      </c>
      <c r="W23" s="504">
        <f t="array" ref="W23:X23">_xll.FDSRC("-",$L$14,"FE_TIMESERIES(DEPR_AMORT,MEAN,2026,2027,FY,'BKRACTMED=1,WIN=0,UNITS=AUTO,DATE=NOW')")</f>
        <v>1.3</v>
      </c>
      <c r="X23" s="504">
        <v>0.55000000000000004</v>
      </c>
    </row>
    <row r="24" spans="1:24" x14ac:dyDescent="0.35">
      <c r="A24" s="962" t="s">
        <v>396</v>
      </c>
      <c r="B24" s="504" t="str">
        <f t="array" ref="B24:H24">_xll.FDSRC("-",$B$13,"FE_TIMESERIES(INT_INCOME,MEAN,2024,2030,FY,'BKRACTMED=1,WIN=0,UNITS=AUTO,DATE=NOW')")</f>
        <v>-</v>
      </c>
      <c r="C24" s="504" t="str">
        <v>-</v>
      </c>
      <c r="D24" s="504" t="str">
        <v>-</v>
      </c>
      <c r="E24" s="504" t="str">
        <v>-</v>
      </c>
      <c r="F24" s="504" t="str">
        <v>-</v>
      </c>
      <c r="G24" s="504" t="str">
        <v>-</v>
      </c>
      <c r="H24" s="504" t="str">
        <v>-</v>
      </c>
      <c r="K24" s="970" t="s">
        <v>22</v>
      </c>
      <c r="L24" s="969" t="str">
        <f t="array" ref="L24:M24">_xll.FDSRC("-",$L$14,"FE_TIMESERIES(EBIT,MEAN,2023,2024,FY,'BKRACTMED=1,WIN=0,UNITS=AUTO,DATE=NOW')")</f>
        <v>-</v>
      </c>
      <c r="M24" s="969" t="str">
        <v>-</v>
      </c>
      <c r="N24" s="969" t="str">
        <f t="array" ref="N24:Q24">_xll.FDSRC("-",$L$14,"FE_TIMESERIES(EBIT,MEAN,2025/1F,2025/4F,FQ,'BKRACTMED=1,WIN=0,UNITS=AUTO,DATE=NOW')")</f>
        <v>-</v>
      </c>
      <c r="O24" s="969">
        <v>-29.7</v>
      </c>
      <c r="P24" s="969">
        <v>-31.5</v>
      </c>
      <c r="Q24" s="969">
        <v>-83.4</v>
      </c>
      <c r="R24" s="969">
        <f>_xll.FDSRC("-",$L$14,"FE_TIMESERIES(EBIT,MEAN,2025,2025,FY,'BKRACTMED=1,WIN=0,UNITS=AUTO,DATE=NOW')")</f>
        <v>-169.1</v>
      </c>
      <c r="S24" s="969">
        <f t="array" ref="S24:V24">_xll.FDSRC("-",$L$14,"FE_TIMESERIES(EBIT,MEAN,2026/1F,2026/4F,FQ,'BKRACTMED=1,WIN=0,UNITS=AUTO,DATE=NOW')")</f>
        <v>-43.55</v>
      </c>
      <c r="T24" s="969">
        <v>-46.35</v>
      </c>
      <c r="U24" s="969">
        <v>-49.274999999999999</v>
      </c>
      <c r="V24" s="969">
        <v>-53.25</v>
      </c>
      <c r="W24" s="969">
        <f t="array" ref="W24:X24">_xll.FDSRC("-",$L$14,"FE_TIMESERIES(EBIT,MEAN,2026,2027,FY,'BKRACTMED=1,WIN=0,UNITS=AUTO,DATE=NOW')")</f>
        <v>-195.55608000000001</v>
      </c>
      <c r="X24" s="969">
        <v>-240.46242000000001</v>
      </c>
    </row>
    <row r="25" spans="1:24" x14ac:dyDescent="0.35">
      <c r="A25" s="970" t="s">
        <v>24</v>
      </c>
      <c r="B25" s="969" t="str">
        <f t="array" ref="B25:H25">_xll.FDSRC("-",$B$13,"FE_TIMESERIES(PTP,MEAN,2024,2030,FY,'BKRACTMED=1,WIN=0,UNITS=AUTO,DATE=NOW')")</f>
        <v>-</v>
      </c>
      <c r="C25" s="969">
        <v>-161.19999999999999</v>
      </c>
      <c r="D25" s="969">
        <v>-186.84521000000001</v>
      </c>
      <c r="E25" s="969">
        <v>-228.53249</v>
      </c>
      <c r="F25" s="969">
        <v>-286.71274</v>
      </c>
      <c r="G25" s="969">
        <v>-292.96667000000002</v>
      </c>
      <c r="H25" s="969">
        <v>-318.8</v>
      </c>
      <c r="K25" s="968" t="s">
        <v>397</v>
      </c>
      <c r="L25" s="504" t="str">
        <f t="array" ref="L25:M25">_xll.FDSRC("-",$L$14,"FE_TIMESERIES(EBITR,MEAN,2023,2024,FY,'BKRACTMED=1,WIN=0,UNITS=AUTO,DATE=NOW')")</f>
        <v>-</v>
      </c>
      <c r="M25" s="504" t="str">
        <v>-</v>
      </c>
      <c r="N25" s="504" t="str">
        <f t="array" ref="N25:Q25">_xll.FDSRC("-",$L$14,"FE_TIMESERIES(EBITR,MEAN,2025/1F,2025/4F,FQ,'BKRACTMED=1,WIN=0,UNITS=AUTO,DATE=NOW')")</f>
        <v>-</v>
      </c>
      <c r="O25" s="504" t="str">
        <v>-</v>
      </c>
      <c r="P25" s="504">
        <v>-31.5</v>
      </c>
      <c r="Q25" s="504">
        <v>-83.4</v>
      </c>
      <c r="R25" s="504">
        <f>_xll.FDSRC("-",$L$14,"FE_TIMESERIES(EBITR,MEAN,2025,2025,FY,'BKRACTMED=1,WIN=0,UNITS=AUTO,DATE=NOW')")</f>
        <v>-169.1</v>
      </c>
      <c r="S25" s="504">
        <f t="array" ref="S25:V25">_xll.FDSRC("-",$L$14,"FE_TIMESERIES(EBITR,MEAN,2026/1F,2026/4F,FQ,'BKRACTMED=1,WIN=0,UNITS=AUTO,DATE=NOW')")</f>
        <v>-43.4</v>
      </c>
      <c r="T25" s="504">
        <v>-48</v>
      </c>
      <c r="U25" s="504">
        <v>-53.6</v>
      </c>
      <c r="V25" s="504">
        <v>-60.2</v>
      </c>
      <c r="W25" s="504">
        <f t="array" ref="W25:X25">_xll.FDSRC("-",$L$14,"FE_TIMESERIES(EBITR,MEAN,2026,2027,FY,'BKRACTMED=1,WIN=0,UNITS=AUTO,DATE=NOW')")</f>
        <v>-205.2</v>
      </c>
      <c r="X25" s="504">
        <v>-302</v>
      </c>
    </row>
    <row r="26" spans="1:24" x14ac:dyDescent="0.35">
      <c r="A26" s="968" t="s">
        <v>364</v>
      </c>
      <c r="B26" s="504" t="str">
        <f t="array" ref="B26:H26">_xll.FDSRC("-",$B$13,"FE_TIMESERIES(PTPA,MEAN,2024,2030,FY,'BKRACTMED=1,WIN=0,UNITS=AUTO,DATE=NOW')")</f>
        <v>-</v>
      </c>
      <c r="C26" s="504">
        <v>-161.19999999999999</v>
      </c>
      <c r="D26" s="504">
        <v>-185</v>
      </c>
      <c r="E26" s="504">
        <v>-279.10000000000002</v>
      </c>
      <c r="F26" s="504">
        <v>-316.89999999999998</v>
      </c>
      <c r="G26" s="504" t="str">
        <v>-</v>
      </c>
      <c r="H26" s="504" t="str">
        <v>-</v>
      </c>
      <c r="K26" s="963" t="s">
        <v>396</v>
      </c>
      <c r="L26" s="505" t="str">
        <f t="array" ref="L26:M26">_xll.FDSRC("-",$L$14,"FE_TIMESERIES(INT_INCOME,MEAN,2023,2024,FY,'BKRACTMED=1,WIN=0,UNITS=AUTO,DATE=NOW')")</f>
        <v>-</v>
      </c>
      <c r="M26" s="505" t="str">
        <v>-</v>
      </c>
      <c r="N26" s="505" t="str">
        <f t="array" ref="N26:Q26">_xll.FDSRC("-",$L$14,"FE_TIMESERIES(INT_INCOME,MEAN,2025/1F,2025/4F,FQ,'BKRACTMED=1,WIN=0,UNITS=AUTO,DATE=NOW')")</f>
        <v>-</v>
      </c>
      <c r="O26" s="505" t="str">
        <v>-</v>
      </c>
      <c r="P26" s="505">
        <v>1.5</v>
      </c>
      <c r="Q26" s="505" t="str">
        <v>-</v>
      </c>
      <c r="R26" s="505" t="str">
        <f>_xll.FDSRC("-",$L$14,"FE_TIMESERIES(INT_INCOME,MEAN,2025,2025,FY,'BKRACTMED=1,WIN=0,UNITS=AUTO,DATE=NOW')")</f>
        <v>-</v>
      </c>
      <c r="S26" s="505" t="str">
        <f t="array" ref="S26:V26">_xll.FDSRC("-",$L$14,"FE_TIMESERIES(INT_INCOME,MEAN,2026/1F,2026/4F,FQ,'BKRACTMED=1,WIN=0,UNITS=AUTO,DATE=NOW')")</f>
        <v>-</v>
      </c>
      <c r="T26" s="505" t="str">
        <v>-</v>
      </c>
      <c r="U26" s="505" t="str">
        <v>-</v>
      </c>
      <c r="V26" s="505" t="str">
        <v>-</v>
      </c>
      <c r="W26" s="505" t="str">
        <f t="array" ref="W26:X26">_xll.FDSRC("-",$L$14,"FE_TIMESERIES(INT_INCOME,MEAN,2026,2027,FY,'BKRACTMED=1,WIN=0,UNITS=AUTO,DATE=NOW')")</f>
        <v>-</v>
      </c>
      <c r="X26" s="505" t="str">
        <v>-</v>
      </c>
    </row>
    <row r="27" spans="1:24" x14ac:dyDescent="0.35">
      <c r="A27" s="963" t="s">
        <v>202</v>
      </c>
      <c r="B27" s="505" t="str">
        <f t="array" ref="B27:H27">_xll.FDSRC("-",$B$13,"FE_TIMESERIES(TAX_EXPENSE,MEAN,2024,2030,FY,'BKRACTMED=1,WIN=0,UNITS=AUTO,DATE=NOW')")</f>
        <v>-</v>
      </c>
      <c r="C27" s="505">
        <v>0</v>
      </c>
      <c r="D27" s="505">
        <v>0</v>
      </c>
      <c r="E27" s="505">
        <v>0</v>
      </c>
      <c r="F27" s="505">
        <v>0</v>
      </c>
      <c r="G27" s="505">
        <v>0</v>
      </c>
      <c r="H27" s="505">
        <v>0</v>
      </c>
      <c r="K27" s="967" t="s">
        <v>24</v>
      </c>
      <c r="L27" s="966" t="str">
        <f t="array" ref="L27:M27">_xll.FDSRC("-",$L$14,"FE_TIMESERIES(PTP,MEAN,2023,2024,FY,'BKRACTMED=1,WIN=0,UNITS=AUTO,DATE=NOW')")</f>
        <v>-</v>
      </c>
      <c r="M27" s="966" t="str">
        <v>-</v>
      </c>
      <c r="N27" s="966" t="str">
        <f t="array" ref="N27:Q27">_xll.FDSRC("-",$L$14,"FE_TIMESERIES(PTP,MEAN,2025/1F,2025/4F,FQ,'BKRACTMED=1,WIN=0,UNITS=AUTO,DATE=NOW')")</f>
        <v>-</v>
      </c>
      <c r="O27" s="966">
        <v>-28.6</v>
      </c>
      <c r="P27" s="966">
        <v>-29.4</v>
      </c>
      <c r="Q27" s="966">
        <v>-79.5</v>
      </c>
      <c r="R27" s="966">
        <f>_xll.FDSRC("-",$L$14,"FE_TIMESERIES(PTP,MEAN,2025,2025,FY,'BKRACTMED=1,WIN=0,UNITS=AUTO,DATE=NOW')")</f>
        <v>-161.19999999999999</v>
      </c>
      <c r="S27" s="966">
        <f t="array" ref="S27:V27">_xll.FDSRC("-",$L$14,"FE_TIMESERIES(PTP,MEAN,2026/1F,2026/4F,FQ,'BKRACTMED=1,WIN=0,UNITS=AUTO,DATE=NOW')")</f>
        <v>-41.575000000000003</v>
      </c>
      <c r="T27" s="966">
        <v>-44.174999999999997</v>
      </c>
      <c r="U27" s="966">
        <v>-47.3</v>
      </c>
      <c r="V27" s="966">
        <v>-51.15</v>
      </c>
      <c r="W27" s="966">
        <f t="array" ref="W27:X27">_xll.FDSRC("-",$L$14,"FE_TIMESERIES(PTP,MEAN,2026,2027,FY,'BKRACTMED=1,WIN=0,UNITS=AUTO,DATE=NOW')")</f>
        <v>-186.84521000000001</v>
      </c>
      <c r="X27" s="966">
        <v>-228.53249</v>
      </c>
    </row>
    <row r="28" spans="1:24" x14ac:dyDescent="0.35">
      <c r="A28" s="967" t="s">
        <v>27</v>
      </c>
      <c r="B28" s="966" t="str">
        <f t="array" ref="B28:H28">_xll.FDSRC("-",$B$13,"FE_TIMESERIES(NETPROFIT,MEAN,2024,2030,FY,'BKRACTMED=1,WIN=0,UNITS=AUTO,DATE=NOW')")</f>
        <v>-</v>
      </c>
      <c r="C28" s="966">
        <v>-161.15199999999999</v>
      </c>
      <c r="D28" s="966">
        <v>-186.84521000000001</v>
      </c>
      <c r="E28" s="966">
        <v>-228.53249</v>
      </c>
      <c r="F28" s="966">
        <v>-286.71274</v>
      </c>
      <c r="G28" s="966">
        <v>-292.96667000000002</v>
      </c>
      <c r="H28" s="966">
        <v>-318.8</v>
      </c>
      <c r="K28" s="965" t="s">
        <v>364</v>
      </c>
      <c r="L28" s="505" t="str">
        <f t="array" ref="L28:M28">_xll.FDSRC("-",$L$14,"FE_TIMESERIES(PTPA,MEAN,2023,2024,FY,'BKRACTMED=1,WIN=0,UNITS=AUTO,DATE=NOW')")</f>
        <v>-</v>
      </c>
      <c r="M28" s="505" t="str">
        <v>-</v>
      </c>
      <c r="N28" s="505" t="str">
        <f t="array" ref="N28:Q28">_xll.FDSRC("-",$L$14,"FE_TIMESERIES(PTPA,MEAN,2025/1F,2025/4F,FQ,'BKRACTMED=1,WIN=0,UNITS=AUTO,DATE=NOW')")</f>
        <v>-</v>
      </c>
      <c r="O28" s="505" t="str">
        <v>-</v>
      </c>
      <c r="P28" s="505">
        <v>-29.4</v>
      </c>
      <c r="Q28" s="505">
        <v>-79.5</v>
      </c>
      <c r="R28" s="505">
        <f>_xll.FDSRC("-",$L$14,"FE_TIMESERIES(PTPA,MEAN,2025,2025,FY,'BKRACTMED=1,WIN=0,UNITS=AUTO,DATE=NOW')")</f>
        <v>-161.19999999999999</v>
      </c>
      <c r="S28" s="505">
        <f t="array" ref="S28:V28">_xll.FDSRC("-",$L$14,"FE_TIMESERIES(PTPA,MEAN,2026/1F,2026/4F,FQ,'BKRACTMED=1,WIN=0,UNITS=AUTO,DATE=NOW')")</f>
        <v>-39.1</v>
      </c>
      <c r="T28" s="505">
        <v>-42.6</v>
      </c>
      <c r="U28" s="505">
        <v>-48.7</v>
      </c>
      <c r="V28" s="505">
        <v>-54.6</v>
      </c>
      <c r="W28" s="505">
        <f t="array" ref="W28:X28">_xll.FDSRC("-",$L$14,"FE_TIMESERIES(PTPA,MEAN,2026,2027,FY,'BKRACTMED=1,WIN=0,UNITS=AUTO,DATE=NOW')")</f>
        <v>-185</v>
      </c>
      <c r="X28" s="505">
        <v>-279.10000000000002</v>
      </c>
    </row>
    <row r="29" spans="1:24" x14ac:dyDescent="0.35">
      <c r="A29" s="965" t="s">
        <v>365</v>
      </c>
      <c r="B29" s="505" t="str">
        <f t="array" ref="B29:H29">_xll.FDSRC("-",$B$13,"FE_TIMESERIES(BFNG,MEAN,2024,2030,FY,'BKRACTMED=1,WIN=0,UNITS=AUTO,DATE=NOW')")</f>
        <v>-</v>
      </c>
      <c r="C29" s="505">
        <v>-161.19999999999999</v>
      </c>
      <c r="D29" s="505">
        <v>-199.15</v>
      </c>
      <c r="E29" s="505">
        <v>-254.25</v>
      </c>
      <c r="F29" s="505">
        <v>-290.7</v>
      </c>
      <c r="G29" s="505">
        <v>-264.60000000000002</v>
      </c>
      <c r="H29" s="505">
        <v>-245.8</v>
      </c>
      <c r="K29" s="962" t="s">
        <v>202</v>
      </c>
      <c r="L29" s="504" t="str">
        <f t="array" ref="L29:M29">_xll.FDSRC("-",$L$14,"FE_TIMESERIES(TAX_EXPENSE,MEAN,2023,2024,FY,'BKRACTMED=1,WIN=0,UNITS=AUTO,DATE=NOW')")</f>
        <v>-</v>
      </c>
      <c r="M29" s="504" t="str">
        <v>-</v>
      </c>
      <c r="N29" s="504" t="str">
        <f t="array" ref="N29:Q29">_xll.FDSRC("-",$L$14,"FE_TIMESERIES(TAX_EXPENSE,MEAN,2025/1F,2025/4F,FQ,'BKRACTMED=1,WIN=0,UNITS=AUTO,DATE=NOW')")</f>
        <v>-</v>
      </c>
      <c r="O29" s="504">
        <v>0</v>
      </c>
      <c r="P29" s="504">
        <v>0</v>
      </c>
      <c r="Q29" s="504">
        <v>0</v>
      </c>
      <c r="R29" s="504">
        <f>_xll.FDSRC("-",$L$14,"FE_TIMESERIES(TAX_EXPENSE,MEAN,2025,2025,FY,'BKRACTMED=1,WIN=0,UNITS=AUTO,DATE=NOW')")</f>
        <v>0</v>
      </c>
      <c r="S29" s="504">
        <f t="array" ref="S29:V29">_xll.FDSRC("-",$L$14,"FE_TIMESERIES(TAX_EXPENSE,MEAN,2026/1F,2026/4F,FQ,'BKRACTMED=1,WIN=0,UNITS=AUTO,DATE=NOW')")</f>
        <v>0</v>
      </c>
      <c r="T29" s="504">
        <v>0</v>
      </c>
      <c r="U29" s="504">
        <v>0</v>
      </c>
      <c r="V29" s="504">
        <v>0</v>
      </c>
      <c r="W29" s="504">
        <f t="array" ref="W29:X29">_xll.FDSRC("-",$L$14,"FE_TIMESERIES(TAX_EXPENSE,MEAN,2026,2027,FY,'BKRACTMED=1,WIN=0,UNITS=AUTO,DATE=NOW')")</f>
        <v>0</v>
      </c>
      <c r="X29" s="504">
        <v>0</v>
      </c>
    </row>
    <row r="30" spans="1:24" x14ac:dyDescent="0.35">
      <c r="K30" s="970" t="s">
        <v>27</v>
      </c>
      <c r="L30" s="969" t="str">
        <f t="array" ref="L30:M30">_xll.FDSRC("-",$L$14,"FE_TIMESERIES(NETPROFIT,MEAN,2023,2024,FY,'BKRACTMED=1,WIN=0,UNITS=AUTO,DATE=NOW')")</f>
        <v>-</v>
      </c>
      <c r="M30" s="969" t="str">
        <v>-</v>
      </c>
      <c r="N30" s="969" t="str">
        <f t="array" ref="N30:Q30">_xll.FDSRC("-",$L$14,"FE_TIMESERIES(NETPROFIT,MEAN,2025/1F,2025/4F,FQ,'BKRACTMED=1,WIN=0,UNITS=AUTO,DATE=NOW')")</f>
        <v>-</v>
      </c>
      <c r="O30" s="969">
        <v>-27.4</v>
      </c>
      <c r="P30" s="969">
        <v>-29.417999999999999</v>
      </c>
      <c r="Q30" s="969">
        <v>-79.548000000000002</v>
      </c>
      <c r="R30" s="969">
        <f>_xll.FDSRC("-",$L$14,"FE_TIMESERIES(NETPROFIT,MEAN,2025,2025,FY,'BKRACTMED=1,WIN=0,UNITS=AUTO,DATE=NOW')")</f>
        <v>-161.15199999999999</v>
      </c>
      <c r="S30" s="969">
        <f t="array" ref="S30:V30">_xll.FDSRC("-",$L$14,"FE_TIMESERIES(NETPROFIT,MEAN,2026/1F,2026/4F,FQ,'BKRACTMED=1,WIN=0,UNITS=AUTO,DATE=NOW')")</f>
        <v>-41.575000000000003</v>
      </c>
      <c r="T30" s="969">
        <v>-44.174999999999997</v>
      </c>
      <c r="U30" s="969">
        <v>-47.3</v>
      </c>
      <c r="V30" s="969">
        <v>-51.15</v>
      </c>
      <c r="W30" s="969">
        <f t="array" ref="W30:X30">_xll.FDSRC("-",$L$14,"FE_TIMESERIES(NETPROFIT,MEAN,2026,2027,FY,'BKRACTMED=1,WIN=0,UNITS=AUTO,DATE=NOW')")</f>
        <v>-186.84521000000001</v>
      </c>
      <c r="X30" s="969">
        <v>-228.53249</v>
      </c>
    </row>
    <row r="31" spans="1:24" x14ac:dyDescent="0.35">
      <c r="K31" s="968" t="s">
        <v>365</v>
      </c>
      <c r="L31" s="504" t="str">
        <f t="array" ref="L31:M31">_xll.FDSRC("-",$L$14,"FE_TIMESERIES(BFNG,MEAN,2023,2024,FY,'BKRACTMED=1,WIN=0,UNITS=AUTO,DATE=NOW')")</f>
        <v>-</v>
      </c>
      <c r="M31" s="504" t="str">
        <v>-</v>
      </c>
      <c r="N31" s="504" t="str">
        <f t="array" ref="N31:Q31">_xll.FDSRC("-",$L$14,"FE_TIMESERIES(BFNG,MEAN,2025/1F,2025/4F,FQ,'BKRACTMED=1,WIN=0,UNITS=AUTO,DATE=NOW')")</f>
        <v>-</v>
      </c>
      <c r="O31" s="504" t="str">
        <v>-</v>
      </c>
      <c r="P31" s="504">
        <v>-29.4</v>
      </c>
      <c r="Q31" s="504">
        <v>-79.5</v>
      </c>
      <c r="R31" s="504">
        <f>_xll.FDSRC("-",$L$14,"FE_TIMESERIES(BFNG,MEAN,2025,2025,FY,'BKRACTMED=1,WIN=0,UNITS=AUTO,DATE=NOW')")</f>
        <v>-161.19999999999999</v>
      </c>
      <c r="S31" s="504">
        <f t="array" ref="S31:V31">_xll.FDSRC("-",$L$14,"FE_TIMESERIES(BFNG,MEAN,2026/1F,2026/4F,FQ,'BKRACTMED=1,WIN=0,UNITS=AUTO,DATE=NOW')")</f>
        <v>-43.95</v>
      </c>
      <c r="T31" s="504">
        <v>-47.25</v>
      </c>
      <c r="U31" s="504">
        <v>-51.75</v>
      </c>
      <c r="V31" s="504">
        <v>-56.2</v>
      </c>
      <c r="W31" s="504">
        <f t="array" ref="W31:X31">_xll.FDSRC("-",$L$14,"FE_TIMESERIES(BFNG,MEAN,2026,2027,FY,'BKRACTMED=1,WIN=0,UNITS=AUTO,DATE=NOW')")</f>
        <v>-199.15</v>
      </c>
      <c r="X31" s="504">
        <v>-254.25</v>
      </c>
    </row>
    <row r="32" spans="1:24" x14ac:dyDescent="0.35">
      <c r="A32" s="939" t="s">
        <v>395</v>
      </c>
      <c r="B32" s="69"/>
      <c r="C32" s="69"/>
      <c r="D32" s="69"/>
      <c r="E32" s="69"/>
      <c r="F32" s="69"/>
      <c r="G32" s="69"/>
      <c r="H32" s="69"/>
    </row>
    <row r="33" spans="1:24" x14ac:dyDescent="0.35">
      <c r="A33" s="501" t="s">
        <v>406</v>
      </c>
      <c r="B33" s="69"/>
      <c r="C33" s="69"/>
      <c r="D33" s="69"/>
      <c r="E33" s="69"/>
      <c r="F33" s="69"/>
      <c r="G33" s="69"/>
      <c r="H33" s="69"/>
      <c r="K33" s="939" t="s">
        <v>395</v>
      </c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</row>
    <row r="34" spans="1:24" x14ac:dyDescent="0.35">
      <c r="A34" s="502" t="s">
        <v>196</v>
      </c>
      <c r="B34" s="502" t="s">
        <v>395</v>
      </c>
      <c r="C34" s="69"/>
      <c r="D34" s="69"/>
      <c r="E34" s="69"/>
      <c r="F34" s="69"/>
      <c r="G34" s="69"/>
      <c r="H34" s="69"/>
      <c r="K34" s="501" t="s">
        <v>406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5" spans="1:24" x14ac:dyDescent="0.35">
      <c r="A35" s="964"/>
      <c r="B35" s="964" t="str">
        <f t="array" ref="B35:H35">_xll.FDSRC("-",$B$34,"PROPER(CONVERT_DATE(FE_TIMESERIES_PERIOD(,2024,2030,FY,'DISPLAY=YYYYMMDD'),""MMM 'YY""))")</f>
        <v>Dec '24</v>
      </c>
      <c r="C35" s="964" t="str">
        <v>Dec '25</v>
      </c>
      <c r="D35" s="964" t="str">
        <v>Dec '26</v>
      </c>
      <c r="E35" s="964" t="str">
        <v>Dec '27</v>
      </c>
      <c r="F35" s="964" t="str">
        <v>Dec '28</v>
      </c>
      <c r="G35" s="964" t="str">
        <v>Dec '29</v>
      </c>
      <c r="H35" s="964" t="str">
        <v>Dec '30</v>
      </c>
      <c r="K35" s="502" t="s">
        <v>196</v>
      </c>
      <c r="L35" s="502" t="s">
        <v>395</v>
      </c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</row>
    <row r="36" spans="1:24" x14ac:dyDescent="0.35">
      <c r="A36" s="970" t="s">
        <v>405</v>
      </c>
      <c r="B36" s="969" t="str">
        <f t="array" ref="B36:H36">_xll.FDSRC("-",$B$34,"FE_TIMESERIES(CURRENTASSETS,MEAN,2024,2030,FY,'BKRACTMED=1,WIN=0,UNITS=AUTO,DATE=NOW')")</f>
        <v>-</v>
      </c>
      <c r="C36" s="969">
        <v>324.7</v>
      </c>
      <c r="D36" s="969">
        <v>340.3</v>
      </c>
      <c r="E36" s="969">
        <v>400.75</v>
      </c>
      <c r="F36" s="969">
        <v>256.64999999999998</v>
      </c>
      <c r="G36" s="969">
        <v>211</v>
      </c>
      <c r="H36" s="969">
        <v>161.35</v>
      </c>
      <c r="K36" s="503"/>
      <c r="L36" s="503" t="str">
        <f t="array" ref="L36:M36">_xll.FDSRC("-",$L$35,"PROPER(CONVERT_DATE(FE_TIMESERIES_PERIOD(,2023,2024,FY,'DISPLAY=YYYYMMDD'),""MMM 'YY""))")</f>
        <v>Dec '23</v>
      </c>
      <c r="M36" s="503" t="str">
        <v>Dec '24</v>
      </c>
      <c r="N36" s="503" t="str">
        <f t="array" ref="N36:Q36">_xll.FDSRC("-",$L$35,"PROPER(CONVERT_DATE(FE_TIMESERIES_PERIOD(,2025/1F,2025/4F,FQ,'DISPLAY=YYYYMMDD'),""MMM 'YY""))")</f>
        <v>Mar '25</v>
      </c>
      <c r="O36" s="503" t="str">
        <v>Jun '25</v>
      </c>
      <c r="P36" s="503" t="str">
        <v>Sep '25</v>
      </c>
      <c r="Q36" s="503" t="str">
        <v>Dec '25</v>
      </c>
      <c r="R36" s="503" t="str">
        <f>_xll.FDSRC("-",$L$35,"PROPER(CONVERT_DATE(FE_TIMESERIES_PERIOD(,2025,2025,FY,'DISPLAY=YYYYMMDD'),""MMM 'YY""))")</f>
        <v>Dec '25</v>
      </c>
      <c r="S36" s="503" t="str">
        <f t="array" ref="S36:V36">_xll.FDSRC("-",$L$35,"PROPER(CONVERT_DATE(FE_TIMESERIES_PERIOD(,2026/1F,2026/4F,FQ,'DISPLAY=YYYYMMDD'),""MMM 'YY""))")</f>
        <v>Mar '26</v>
      </c>
      <c r="T36" s="503" t="str">
        <v>Jun '26</v>
      </c>
      <c r="U36" s="503" t="str">
        <v>Sep '26</v>
      </c>
      <c r="V36" s="503" t="str">
        <v>Dec '26</v>
      </c>
      <c r="W36" s="503" t="str">
        <f t="array" ref="W36:X36">_xll.FDSRC("-",$L$35,"PROPER(CONVERT_DATE(FE_TIMESERIES_PERIOD(,2026,2027,FY,'DISPLAY=YYYYMMDD'),""MMM 'YY""))")</f>
        <v>Dec '26</v>
      </c>
      <c r="X36" s="503" t="str">
        <v>Dec '27</v>
      </c>
    </row>
    <row r="37" spans="1:24" x14ac:dyDescent="0.35">
      <c r="A37" s="968" t="s">
        <v>404</v>
      </c>
      <c r="B37" s="504" t="str">
        <f t="array" ref="B37:H37">_xll.FDSRC("-",$B$34,"FE_TIMESERIES(CASH_ST,MEAN,2024,2030,FY,'BKRACTMED=1,WIN=0,UNITS=AUTO,DATE=NOW')")</f>
        <v>-</v>
      </c>
      <c r="C37" s="504">
        <v>453.1</v>
      </c>
      <c r="D37" s="504">
        <v>392.23334</v>
      </c>
      <c r="E37" s="504">
        <v>430.15</v>
      </c>
      <c r="F37" s="504">
        <v>286.05</v>
      </c>
      <c r="G37" s="504">
        <v>240.5</v>
      </c>
      <c r="H37" s="504">
        <v>221.15</v>
      </c>
      <c r="K37" s="964"/>
      <c r="L37" s="964" t="str">
        <f t="array" ref="L37:M37">_xll.FDSRC("-",$L$35,"FE_TIMESERIES_PERIOD(,2023,2024,FY,'')")</f>
        <v>2023</v>
      </c>
      <c r="M37" s="964" t="str">
        <v>2024</v>
      </c>
      <c r="N37" s="964" t="str">
        <f t="array" ref="N37:Q37">_xll.FDSRC("-",$L$35,"FE_TIMESERIES_PERIOD(,2025/1F,2025/4F,FQ,'')")</f>
        <v>2025/1F</v>
      </c>
      <c r="O37" s="964" t="str">
        <v>2025/2F</v>
      </c>
      <c r="P37" s="964" t="str">
        <v>2025/3F</v>
      </c>
      <c r="Q37" s="964" t="str">
        <v>2025/4F</v>
      </c>
      <c r="R37" s="964" t="str">
        <f>_xll.FDSRC("-",$L$35,"FE_TIMESERIES_PERIOD(,2025,2025,FY,'')")</f>
        <v>2025</v>
      </c>
      <c r="S37" s="964" t="str">
        <f t="array" ref="S37:V37">_xll.FDSRC("-",$L$35,"FE_TIMESERIES_PERIOD(,2026/1F,2026/4F,FQ,'')")</f>
        <v>2026/1F</v>
      </c>
      <c r="T37" s="964" t="str">
        <v>2026/2F</v>
      </c>
      <c r="U37" s="964" t="str">
        <v>2026/3F</v>
      </c>
      <c r="V37" s="964" t="str">
        <v>2026/4F</v>
      </c>
      <c r="W37" s="964" t="str">
        <f t="array" ref="W37:X37">_xll.FDSRC("-",$L$35,"FE_TIMESERIES_PERIOD(,2026,2027,FY,'')")</f>
        <v>2026</v>
      </c>
      <c r="X37" s="964" t="str">
        <v>2027</v>
      </c>
    </row>
    <row r="38" spans="1:24" x14ac:dyDescent="0.35">
      <c r="A38" s="965" t="s">
        <v>403</v>
      </c>
      <c r="B38" s="505" t="str">
        <f t="array" ref="B38:H38">_xll.FDSRC("-",$B$34,"FE_TIMESERIES(RECEIV_NET,MEAN,2024,2030,FY,'BKRACTMED=1,WIN=0,UNITS=AUTO,DATE=NOW')")</f>
        <v>-</v>
      </c>
      <c r="C38" s="505">
        <v>0</v>
      </c>
      <c r="D38" s="505">
        <v>0</v>
      </c>
      <c r="E38" s="505">
        <v>0</v>
      </c>
      <c r="F38" s="505">
        <v>0</v>
      </c>
      <c r="G38" s="505">
        <v>0</v>
      </c>
      <c r="H38" s="505">
        <v>2.75</v>
      </c>
      <c r="K38" s="967" t="s">
        <v>405</v>
      </c>
      <c r="L38" s="966" t="str">
        <f t="array" ref="L38:M38">_xll.FDSRC("-",$L$35,"FE_TIMESERIES(CURRENTASSETS,MEAN,2023,2024,FY,'BKRACTMED=1,WIN=0,UNITS=AUTO,DATE=NOW')")</f>
        <v>-</v>
      </c>
      <c r="M38" s="966" t="str">
        <v>-</v>
      </c>
      <c r="N38" s="966" t="str">
        <f t="array" ref="N38:Q38">_xll.FDSRC("-",$L$35,"FE_TIMESERIES(CURRENTASSETS,MEAN,2025/1F,2025/4F,FQ,'BKRACTMED=1,WIN=0,UNITS=AUTO,DATE=NOW')")</f>
        <v>-</v>
      </c>
      <c r="O38" s="966" t="str">
        <v>-</v>
      </c>
      <c r="P38" s="966" t="str">
        <v>-</v>
      </c>
      <c r="Q38" s="966">
        <v>324.7</v>
      </c>
      <c r="R38" s="966">
        <f>_xll.FDSRC("-",$L$35,"FE_TIMESERIES(CURRENTASSETS,MEAN,2025,2025,FY,'BKRACTMED=1,WIN=0,UNITS=AUTO,DATE=NOW')")</f>
        <v>324.7</v>
      </c>
      <c r="S38" s="966">
        <f t="array" ref="S38:V38">_xll.FDSRC("-",$L$35,"FE_TIMESERIES(CURRENTASSETS,MEAN,2026/1F,2026/4F,FQ,'BKRACTMED=1,WIN=0,UNITS=AUTO,DATE=NOW')")</f>
        <v>277.8</v>
      </c>
      <c r="T38" s="966">
        <v>228</v>
      </c>
      <c r="U38" s="966">
        <v>325.2</v>
      </c>
      <c r="V38" s="966">
        <v>269.3</v>
      </c>
      <c r="W38" s="966">
        <f t="array" ref="W38:X38">_xll.FDSRC("-",$L$35,"FE_TIMESERIES(CURRENTASSETS,MEAN,2026,2027,FY,'BKRACTMED=1,WIN=0,UNITS=AUTO,DATE=NOW')")</f>
        <v>340.3</v>
      </c>
      <c r="X38" s="966">
        <v>400.75</v>
      </c>
    </row>
    <row r="39" spans="1:24" x14ac:dyDescent="0.35">
      <c r="A39" s="968" t="s">
        <v>402</v>
      </c>
      <c r="B39" s="504" t="str">
        <f t="array" ref="B39:H39">_xll.FDSRC("-",$B$34,"FE_TIMESERIES(INVENTORIES,MEAN,2024,2030,FY,'BKRACTMED=1,WIN=0,UNITS=AUTO,DATE=NOW')")</f>
        <v>-</v>
      </c>
      <c r="C39" s="504">
        <v>0</v>
      </c>
      <c r="D39" s="504">
        <v>0</v>
      </c>
      <c r="E39" s="504">
        <v>0</v>
      </c>
      <c r="F39" s="504">
        <v>0</v>
      </c>
      <c r="G39" s="504">
        <v>0</v>
      </c>
      <c r="H39" s="504">
        <v>0.2</v>
      </c>
      <c r="K39" s="965" t="s">
        <v>404</v>
      </c>
      <c r="L39" s="505" t="str">
        <f t="array" ref="L39:M39">_xll.FDSRC("-",$L$35,"FE_TIMESERIES(CASH_ST,MEAN,2023,2024,FY,'BKRACTMED=1,WIN=0,UNITS=AUTO,DATE=NOW')")</f>
        <v>-</v>
      </c>
      <c r="M39" s="505" t="str">
        <v>-</v>
      </c>
      <c r="N39" s="505" t="str">
        <f t="array" ref="N39:Q39">_xll.FDSRC("-",$L$35,"FE_TIMESERIES(CASH_ST,MEAN,2025/1F,2025/4F,FQ,'BKRACTMED=1,WIN=0,UNITS=AUTO,DATE=NOW')")</f>
        <v>-</v>
      </c>
      <c r="O39" s="505" t="str">
        <v>-</v>
      </c>
      <c r="P39" s="505">
        <v>227.2</v>
      </c>
      <c r="Q39" s="505">
        <v>453.1</v>
      </c>
      <c r="R39" s="505">
        <f>_xll.FDSRC("-",$L$35,"FE_TIMESERIES(CASH_ST,MEAN,2025,2025,FY,'BKRACTMED=1,WIN=0,UNITS=AUTO,DATE=NOW')")</f>
        <v>453.1</v>
      </c>
      <c r="S39" s="505">
        <f t="array" ref="S39:V39">_xll.FDSRC("-",$L$35,"FE_TIMESERIES(CASH_ST,MEAN,2026/1F,2026/4F,FQ,'BKRACTMED=1,WIN=0,UNITS=AUTO,DATE=NOW')")</f>
        <v>409.15</v>
      </c>
      <c r="T39" s="505">
        <v>362.9</v>
      </c>
      <c r="U39" s="505">
        <v>540.95000000000005</v>
      </c>
      <c r="V39" s="505">
        <v>492.5</v>
      </c>
      <c r="W39" s="505">
        <f t="array" ref="W39:X39">_xll.FDSRC("-",$L$35,"FE_TIMESERIES(CASH_ST,MEAN,2026,2027,FY,'BKRACTMED=1,WIN=0,UNITS=AUTO,DATE=NOW')")</f>
        <v>392.23334</v>
      </c>
      <c r="X39" s="505">
        <v>430.15</v>
      </c>
    </row>
    <row r="40" spans="1:24" x14ac:dyDescent="0.35">
      <c r="A40" s="963" t="s">
        <v>401</v>
      </c>
      <c r="B40" s="505" t="str">
        <f t="array" ref="B40:H40">_xll.FDSRC("-",$B$34,"FE_TIMESERIES(CURRENTLIABILITIES,MEAN,2024,2030,FY,'BKRACTMED=1,WIN=0,UNITS=AUTO,DATE=NOW')")</f>
        <v>-</v>
      </c>
      <c r="C40" s="505">
        <v>16.2</v>
      </c>
      <c r="D40" s="505">
        <v>16.2</v>
      </c>
      <c r="E40" s="505">
        <v>8.1</v>
      </c>
      <c r="F40" s="505">
        <v>8.1</v>
      </c>
      <c r="G40" s="505">
        <v>8.1</v>
      </c>
      <c r="H40" s="505">
        <v>12.55</v>
      </c>
      <c r="K40" s="968" t="s">
        <v>403</v>
      </c>
      <c r="L40" s="504" t="str">
        <f t="array" ref="L40:M40">_xll.FDSRC("-",$L$35,"FE_TIMESERIES(RECEIV_NET,MEAN,2023,2024,FY,'BKRACTMED=1,WIN=0,UNITS=AUTO,DATE=NOW')")</f>
        <v>-</v>
      </c>
      <c r="M40" s="504" t="str">
        <v>-</v>
      </c>
      <c r="N40" s="504" t="str">
        <f t="array" ref="N40:Q40">_xll.FDSRC("-",$L$35,"FE_TIMESERIES(RECEIV_NET,MEAN,2025/1F,2025/4F,FQ,'BKRACTMED=1,WIN=0,UNITS=AUTO,DATE=NOW')")</f>
        <v>-</v>
      </c>
      <c r="O40" s="504" t="str">
        <v>-</v>
      </c>
      <c r="P40" s="504" t="str">
        <v>-</v>
      </c>
      <c r="Q40" s="504">
        <v>0</v>
      </c>
      <c r="R40" s="504">
        <f>_xll.FDSRC("-",$L$35,"FE_TIMESERIES(RECEIV_NET,MEAN,2025,2025,FY,'BKRACTMED=1,WIN=0,UNITS=AUTO,DATE=NOW')")</f>
        <v>0</v>
      </c>
      <c r="S40" s="504">
        <f t="array" ref="S40:V40">_xll.FDSRC("-",$L$35,"FE_TIMESERIES(RECEIV_NET,MEAN,2026/1F,2026/4F,FQ,'BKRACTMED=1,WIN=0,UNITS=AUTO,DATE=NOW')")</f>
        <v>0</v>
      </c>
      <c r="T40" s="504">
        <v>0</v>
      </c>
      <c r="U40" s="504">
        <v>0</v>
      </c>
      <c r="V40" s="504">
        <v>0</v>
      </c>
      <c r="W40" s="504">
        <f t="array" ref="W40:X40">_xll.FDSRC("-",$L$35,"FE_TIMESERIES(RECEIV_NET,MEAN,2026,2027,FY,'BKRACTMED=1,WIN=0,UNITS=AUTO,DATE=NOW')")</f>
        <v>0</v>
      </c>
      <c r="X40" s="504">
        <v>0</v>
      </c>
    </row>
    <row r="41" spans="1:24" x14ac:dyDescent="0.35">
      <c r="A41" s="962" t="s">
        <v>400</v>
      </c>
      <c r="B41" s="504" t="str">
        <f t="array" ref="B41:H41">_xll.FDSRC("-",$B$34,"FE_TIMESERIES(TOTASSET,MEAN,2024,2030,FY,'BKRACTMED=1,WIN=0,UNITS=AUTO,DATE=NOW')")</f>
        <v>-</v>
      </c>
      <c r="C41" s="504">
        <v>479.5</v>
      </c>
      <c r="D41" s="504">
        <v>492.8</v>
      </c>
      <c r="E41" s="504">
        <v>510.86667</v>
      </c>
      <c r="F41" s="504">
        <v>310.60000000000002</v>
      </c>
      <c r="G41" s="504">
        <v>320.39999999999998</v>
      </c>
      <c r="H41" s="504">
        <v>243.2</v>
      </c>
      <c r="K41" s="965" t="s">
        <v>402</v>
      </c>
      <c r="L41" s="505" t="str">
        <f t="array" ref="L41:M41">_xll.FDSRC("-",$L$35,"FE_TIMESERIES(INVENTORIES,MEAN,2023,2024,FY,'BKRACTMED=1,WIN=0,UNITS=AUTO,DATE=NOW')")</f>
        <v>-</v>
      </c>
      <c r="M41" s="505" t="str">
        <v>-</v>
      </c>
      <c r="N41" s="505" t="str">
        <f t="array" ref="N41:Q41">_xll.FDSRC("-",$L$35,"FE_TIMESERIES(INVENTORIES,MEAN,2025/1F,2025/4F,FQ,'BKRACTMED=1,WIN=0,UNITS=AUTO,DATE=NOW')")</f>
        <v>-</v>
      </c>
      <c r="O41" s="505" t="str">
        <v>-</v>
      </c>
      <c r="P41" s="505" t="str">
        <v>-</v>
      </c>
      <c r="Q41" s="505">
        <v>0</v>
      </c>
      <c r="R41" s="505">
        <f>_xll.FDSRC("-",$L$35,"FE_TIMESERIES(INVENTORIES,MEAN,2025,2025,FY,'BKRACTMED=1,WIN=0,UNITS=AUTO,DATE=NOW')")</f>
        <v>0</v>
      </c>
      <c r="S41" s="505">
        <f t="array" ref="S41:V41">_xll.FDSRC("-",$L$35,"FE_TIMESERIES(INVENTORIES,MEAN,2026/1F,2026/4F,FQ,'BKRACTMED=1,WIN=0,UNITS=AUTO,DATE=NOW')")</f>
        <v>0</v>
      </c>
      <c r="T41" s="505">
        <v>0</v>
      </c>
      <c r="U41" s="505">
        <v>0</v>
      </c>
      <c r="V41" s="505">
        <v>0</v>
      </c>
      <c r="W41" s="505">
        <f t="array" ref="W41:X41">_xll.FDSRC("-",$L$35,"FE_TIMESERIES(INVENTORIES,MEAN,2026,2027,FY,'BKRACTMED=1,WIN=0,UNITS=AUTO,DATE=NOW')")</f>
        <v>0</v>
      </c>
      <c r="X41" s="505">
        <v>0</v>
      </c>
    </row>
    <row r="42" spans="1:24" x14ac:dyDescent="0.35">
      <c r="A42" s="963" t="s">
        <v>399</v>
      </c>
      <c r="B42" s="505" t="str">
        <f t="array" ref="B42:H42">_xll.FDSRC("-",$B$34,"FE_TIMESERIES(NETDEBT,MEAN,2024,2030,FY,'BKRACTMED=1,WIN=0,UNITS=AUTO,DATE=NOW')")</f>
        <v>-</v>
      </c>
      <c r="C42" s="505">
        <v>-453.1</v>
      </c>
      <c r="D42" s="505">
        <v>-438.47426999999999</v>
      </c>
      <c r="E42" s="505">
        <v>-335.03197999999998</v>
      </c>
      <c r="F42" s="505">
        <v>-353.34064000000001</v>
      </c>
      <c r="G42" s="505">
        <v>-266.60000000000002</v>
      </c>
      <c r="H42" s="505">
        <v>-260.5</v>
      </c>
      <c r="K42" s="962" t="s">
        <v>401</v>
      </c>
      <c r="L42" s="504" t="str">
        <f t="array" ref="L42:M42">_xll.FDSRC("-",$L$35,"FE_TIMESERIES(CURRENTLIABILITIES,MEAN,2023,2024,FY,'BKRACTMED=1,WIN=0,UNITS=AUTO,DATE=NOW')")</f>
        <v>-</v>
      </c>
      <c r="M42" s="504" t="str">
        <v>-</v>
      </c>
      <c r="N42" s="504" t="str">
        <f t="array" ref="N42:Q42">_xll.FDSRC("-",$L$35,"FE_TIMESERIES(CURRENTLIABILITIES,MEAN,2025/1F,2025/4F,FQ,'BKRACTMED=1,WIN=0,UNITS=AUTO,DATE=NOW')")</f>
        <v>-</v>
      </c>
      <c r="O42" s="504" t="str">
        <v>-</v>
      </c>
      <c r="P42" s="504" t="str">
        <v>-</v>
      </c>
      <c r="Q42" s="504">
        <v>16.2</v>
      </c>
      <c r="R42" s="504">
        <f>_xll.FDSRC("-",$L$35,"FE_TIMESERIES(CURRENTLIABILITIES,MEAN,2025,2025,FY,'BKRACTMED=1,WIN=0,UNITS=AUTO,DATE=NOW')")</f>
        <v>16.2</v>
      </c>
      <c r="S42" s="504">
        <f t="array" ref="S42:V42">_xll.FDSRC("-",$L$35,"FE_TIMESERIES(CURRENTLIABILITIES,MEAN,2026/1F,2026/4F,FQ,'BKRACTMED=1,WIN=0,UNITS=AUTO,DATE=NOW')")</f>
        <v>16.2</v>
      </c>
      <c r="T42" s="504">
        <v>16.2</v>
      </c>
      <c r="U42" s="504">
        <v>16.2</v>
      </c>
      <c r="V42" s="504">
        <v>16.2</v>
      </c>
      <c r="W42" s="504">
        <f t="array" ref="W42:X42">_xll.FDSRC("-",$L$35,"FE_TIMESERIES(CURRENTLIABILITIES,MEAN,2026,2027,FY,'BKRACTMED=1,WIN=0,UNITS=AUTO,DATE=NOW')")</f>
        <v>16.2</v>
      </c>
      <c r="X42" s="504">
        <v>8.1</v>
      </c>
    </row>
    <row r="43" spans="1:24" x14ac:dyDescent="0.35">
      <c r="A43" s="962" t="s">
        <v>398</v>
      </c>
      <c r="B43" s="504" t="str">
        <f t="array" ref="B43:H43">_xll.FDSRC("-",$B$34,"FE_TIMESERIES(SHEQUITY,MEAN,2024,2030,FY,'BKRACTMED=1,WIN=0,UNITS=AUTO,DATE=NOW')")</f>
        <v>-</v>
      </c>
      <c r="C43" s="504">
        <v>458.4</v>
      </c>
      <c r="D43" s="504">
        <v>474</v>
      </c>
      <c r="E43" s="504">
        <v>468.25</v>
      </c>
      <c r="F43" s="504">
        <v>324.64999999999998</v>
      </c>
      <c r="G43" s="504">
        <v>279.55</v>
      </c>
      <c r="H43" s="504">
        <v>225.35</v>
      </c>
      <c r="K43" s="963" t="s">
        <v>400</v>
      </c>
      <c r="L43" s="505" t="str">
        <f t="array" ref="L43:M43">_xll.FDSRC("-",$L$35,"FE_TIMESERIES(TOTASSET,MEAN,2023,2024,FY,'BKRACTMED=1,WIN=0,UNITS=AUTO,DATE=NOW')")</f>
        <v>-</v>
      </c>
      <c r="M43" s="505" t="str">
        <v>-</v>
      </c>
      <c r="N43" s="505" t="str">
        <f t="array" ref="N43:Q43">_xll.FDSRC("-",$L$35,"FE_TIMESERIES(TOTASSET,MEAN,2025/1F,2025/4F,FQ,'BKRACTMED=1,WIN=0,UNITS=AUTO,DATE=NOW')")</f>
        <v>-</v>
      </c>
      <c r="O43" s="505">
        <v>84.1</v>
      </c>
      <c r="P43" s="505" t="str">
        <v>-</v>
      </c>
      <c r="Q43" s="505">
        <v>479.5</v>
      </c>
      <c r="R43" s="505">
        <f>_xll.FDSRC("-",$L$35,"FE_TIMESERIES(TOTASSET,MEAN,2025,2025,FY,'BKRACTMED=1,WIN=0,UNITS=AUTO,DATE=NOW')")</f>
        <v>479.5</v>
      </c>
      <c r="S43" s="505">
        <f t="array" ref="S43:V43">_xll.FDSRC("-",$L$35,"FE_TIMESERIES(TOTASSET,MEAN,2026/1F,2026/4F,FQ,'BKRACTMED=1,WIN=0,UNITS=AUTO,DATE=NOW')")</f>
        <v>436.35</v>
      </c>
      <c r="T43" s="505">
        <v>390</v>
      </c>
      <c r="U43" s="505">
        <v>511.3</v>
      </c>
      <c r="V43" s="505">
        <v>456.15</v>
      </c>
      <c r="W43" s="505">
        <f t="array" ref="W43:X43">_xll.FDSRC("-",$L$35,"FE_TIMESERIES(TOTASSET,MEAN,2026,2027,FY,'BKRACTMED=1,WIN=0,UNITS=AUTO,DATE=NOW')")</f>
        <v>492.8</v>
      </c>
      <c r="X43" s="505">
        <v>510.86667</v>
      </c>
    </row>
    <row r="44" spans="1:24" x14ac:dyDescent="0.35">
      <c r="K44" s="962" t="s">
        <v>399</v>
      </c>
      <c r="L44" s="504" t="str">
        <f t="array" ref="L44:M44">_xll.FDSRC("-",$L$35,"FE_TIMESERIES(NETDEBT,MEAN,2023,2024,FY,'BKRACTMED=1,WIN=0,UNITS=AUTO,DATE=NOW')")</f>
        <v>-</v>
      </c>
      <c r="M44" s="504" t="str">
        <v>-</v>
      </c>
      <c r="N44" s="504" t="str">
        <f t="array" ref="N44:Q44">_xll.FDSRC("-",$L$35,"FE_TIMESERIES(NETDEBT,MEAN,2025/1F,2025/4F,FQ,'BKRACTMED=1,WIN=0,UNITS=AUTO,DATE=NOW')")</f>
        <v>-</v>
      </c>
      <c r="O44" s="504" t="str">
        <v>-</v>
      </c>
      <c r="P44" s="504">
        <v>-227.2</v>
      </c>
      <c r="Q44" s="504">
        <v>-453.1</v>
      </c>
      <c r="R44" s="504">
        <f>_xll.FDSRC("-",$L$35,"FE_TIMESERIES(NETDEBT,MEAN,2025,2025,FY,'BKRACTMED=1,WIN=0,UNITS=AUTO,DATE=NOW')")</f>
        <v>-453.1</v>
      </c>
      <c r="S44" s="504">
        <f t="array" ref="S44:V44">_xll.FDSRC("-",$L$35,"FE_TIMESERIES(NETDEBT,MEAN,2026/1F,2026/4F,FQ,'BKRACTMED=1,WIN=0,UNITS=AUTO,DATE=NOW')")</f>
        <v>-409.15</v>
      </c>
      <c r="T44" s="504">
        <v>-362.9</v>
      </c>
      <c r="U44" s="504">
        <v>-540.95000000000005</v>
      </c>
      <c r="V44" s="504">
        <v>-492.5</v>
      </c>
      <c r="W44" s="504">
        <f t="array" ref="W44:X44">_xll.FDSRC("-",$L$35,"FE_TIMESERIES(NETDEBT,MEAN,2026,2027,FY,'BKRACTMED=1,WIN=0,UNITS=AUTO,DATE=NOW')")</f>
        <v>-438.47426999999999</v>
      </c>
      <c r="X44" s="504">
        <v>-335.03197999999998</v>
      </c>
    </row>
    <row r="45" spans="1:24" x14ac:dyDescent="0.35">
      <c r="K45" s="963" t="s">
        <v>398</v>
      </c>
      <c r="L45" s="505" t="str">
        <f t="array" ref="L45:M45">_xll.FDSRC("-",$L$35,"FE_TIMESERIES(SHEQUITY,MEAN,2023,2024,FY,'BKRACTMED=1,WIN=0,UNITS=AUTO,DATE=NOW')")</f>
        <v>-</v>
      </c>
      <c r="M45" s="505" t="str">
        <v>-</v>
      </c>
      <c r="N45" s="505" t="str">
        <f t="array" ref="N45:Q45">_xll.FDSRC("-",$L$35,"FE_TIMESERIES(SHEQUITY,MEAN,2025/1F,2025/4F,FQ,'BKRACTMED=1,WIN=0,UNITS=AUTO,DATE=NOW')")</f>
        <v>-</v>
      </c>
      <c r="O45" s="505" t="str">
        <v>-</v>
      </c>
      <c r="P45" s="505" t="str">
        <v>-</v>
      </c>
      <c r="Q45" s="505">
        <v>458.4</v>
      </c>
      <c r="R45" s="505">
        <f>_xll.FDSRC("-",$L$35,"FE_TIMESERIES(SHEQUITY,MEAN,2025,2025,FY,'BKRACTMED=1,WIN=0,UNITS=AUTO,DATE=NOW')")</f>
        <v>458.4</v>
      </c>
      <c r="S45" s="505">
        <f t="array" ref="S45:V45">_xll.FDSRC("-",$L$35,"FE_TIMESERIES(SHEQUITY,MEAN,2026/1F,2026/4F,FQ,'BKRACTMED=1,WIN=0,UNITS=AUTO,DATE=NOW')")</f>
        <v>411.5</v>
      </c>
      <c r="T45" s="505">
        <v>361.7</v>
      </c>
      <c r="U45" s="505">
        <v>458.9</v>
      </c>
      <c r="V45" s="505">
        <v>403</v>
      </c>
      <c r="W45" s="505">
        <f t="array" ref="W45:X45">_xll.FDSRC("-",$L$35,"FE_TIMESERIES(SHEQUITY,MEAN,2026,2027,FY,'BKRACTMED=1,WIN=0,UNITS=AUTO,DATE=NOW')")</f>
        <v>474</v>
      </c>
      <c r="X45" s="505">
        <v>468.25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C687-1A08-437C-A3A0-FF784CF7E3BF}">
  <sheetPr>
    <tabColor theme="9" tint="0.59999389629810485"/>
    <pageSetUpPr fitToPage="1"/>
  </sheetPr>
  <dimension ref="C1:AB27"/>
  <sheetViews>
    <sheetView zoomScaleNormal="100" workbookViewId="0">
      <selection activeCell="U30" sqref="U30"/>
    </sheetView>
  </sheetViews>
  <sheetFormatPr defaultColWidth="10.1796875" defaultRowHeight="14.5" outlineLevelCol="1" x14ac:dyDescent="0.35"/>
  <cols>
    <col min="1" max="2" width="10.1796875" style="101"/>
    <col min="3" max="3" width="21.81640625" style="101" customWidth="1"/>
    <col min="4" max="4" width="7.81640625" style="101" hidden="1" customWidth="1" outlineLevel="1"/>
    <col min="5" max="5" width="7.81640625" style="101" hidden="1" customWidth="1" collapsed="1"/>
    <col min="6" max="11" width="7.81640625" style="101" customWidth="1"/>
    <col min="12" max="12" width="9.81640625" style="101" customWidth="1"/>
    <col min="13" max="13" width="10.81640625" style="101" customWidth="1"/>
    <col min="14" max="14" width="10.54296875" style="101" customWidth="1"/>
    <col min="15" max="15" width="11.54296875" style="101" bestFit="1" customWidth="1"/>
    <col min="16" max="18" width="12.54296875" style="101" customWidth="1"/>
    <col min="19" max="19" width="16.1796875" style="101" customWidth="1"/>
    <col min="20" max="20" width="12.81640625" style="101" customWidth="1"/>
    <col min="21" max="21" width="13.54296875" style="101" customWidth="1"/>
    <col min="22" max="23" width="14.81640625" style="101" customWidth="1"/>
    <col min="24" max="24" width="12.1796875" style="101" customWidth="1"/>
    <col min="25" max="16384" width="10.1796875" style="101"/>
  </cols>
  <sheetData>
    <row r="1" spans="3:24" ht="15" thickBot="1" x14ac:dyDescent="0.4"/>
    <row r="2" spans="3:24" ht="15" thickBot="1" x14ac:dyDescent="0.4">
      <c r="C2" s="823"/>
      <c r="D2" s="507" t="s">
        <v>6</v>
      </c>
      <c r="E2" s="824" t="s">
        <v>266</v>
      </c>
      <c r="F2" s="824" t="s">
        <v>490</v>
      </c>
      <c r="G2" s="824" t="s">
        <v>10</v>
      </c>
      <c r="H2" s="824" t="s">
        <v>11</v>
      </c>
      <c r="I2" s="824" t="s">
        <v>12</v>
      </c>
      <c r="J2" s="824" t="s">
        <v>13</v>
      </c>
      <c r="K2" s="824" t="s">
        <v>14</v>
      </c>
    </row>
    <row r="3" spans="3:24" ht="5.15" customHeight="1" x14ac:dyDescent="0.35">
      <c r="C3" s="825"/>
      <c r="D3" s="509"/>
      <c r="E3" s="826"/>
      <c r="F3" s="826"/>
      <c r="G3" s="826"/>
      <c r="H3" s="826"/>
      <c r="I3" s="827"/>
      <c r="J3" s="826"/>
      <c r="K3" s="826"/>
    </row>
    <row r="4" spans="3:24" ht="15" customHeight="1" x14ac:dyDescent="0.35">
      <c r="C4" s="825" t="s">
        <v>206</v>
      </c>
      <c r="D4" s="510">
        <f>IS!K8</f>
        <v>7.8710000000000004</v>
      </c>
      <c r="E4" s="828">
        <f>IS!P8</f>
        <v>0</v>
      </c>
      <c r="F4" s="828">
        <f>IS!AE8</f>
        <v>0</v>
      </c>
      <c r="G4" s="828">
        <f>IS!AJ8</f>
        <v>0</v>
      </c>
      <c r="H4" s="828">
        <f>IS!AK8</f>
        <v>0</v>
      </c>
      <c r="I4" s="828">
        <f>IS!AL8</f>
        <v>0</v>
      </c>
      <c r="J4" s="828">
        <f>IS!AM8</f>
        <v>16.880566010262026</v>
      </c>
      <c r="K4" s="828">
        <f>IS!AN8</f>
        <v>128.13327412076305</v>
      </c>
    </row>
    <row r="5" spans="3:24" ht="15" customHeight="1" x14ac:dyDescent="0.35">
      <c r="C5" s="829" t="s">
        <v>207</v>
      </c>
      <c r="D5" s="511"/>
      <c r="E5" s="830">
        <f>IFERROR(E4/D4-1,"NM")</f>
        <v>-1</v>
      </c>
      <c r="F5" s="831" t="str">
        <f t="shared" ref="F5:K5" si="0">IFERROR(F4/E4-1,"NM")</f>
        <v>NM</v>
      </c>
      <c r="G5" s="831" t="str">
        <f t="shared" si="0"/>
        <v>NM</v>
      </c>
      <c r="H5" s="831" t="str">
        <f t="shared" si="0"/>
        <v>NM</v>
      </c>
      <c r="I5" s="831" t="str">
        <f t="shared" si="0"/>
        <v>NM</v>
      </c>
      <c r="J5" s="831" t="str">
        <f t="shared" si="0"/>
        <v>NM</v>
      </c>
      <c r="K5" s="831">
        <f t="shared" si="0"/>
        <v>6.59057925207415</v>
      </c>
    </row>
    <row r="6" spans="3:24" ht="15" customHeight="1" x14ac:dyDescent="0.35">
      <c r="C6" s="832" t="s">
        <v>16</v>
      </c>
      <c r="D6" s="512"/>
      <c r="E6" s="833"/>
      <c r="F6" s="833"/>
      <c r="G6" s="833">
        <f>FactSet!D15</f>
        <v>0</v>
      </c>
      <c r="H6" s="833">
        <f>FactSet!E15</f>
        <v>0</v>
      </c>
      <c r="I6" s="833">
        <f>FactSet!F15</f>
        <v>0</v>
      </c>
      <c r="J6" s="833">
        <f>FactSet!G15</f>
        <v>0</v>
      </c>
      <c r="K6" s="833">
        <f>FactSet!H15</f>
        <v>49.1</v>
      </c>
    </row>
    <row r="7" spans="3:24" ht="15" customHeight="1" x14ac:dyDescent="0.35">
      <c r="C7" s="834" t="s">
        <v>208</v>
      </c>
      <c r="D7" s="513"/>
      <c r="E7" s="835"/>
      <c r="F7" s="835"/>
      <c r="G7" s="835" t="str">
        <f t="shared" ref="G7:K7" si="1">IFERROR(G4/G6-1,"NM")</f>
        <v>NM</v>
      </c>
      <c r="H7" s="835" t="str">
        <f t="shared" si="1"/>
        <v>NM</v>
      </c>
      <c r="I7" s="835" t="str">
        <f t="shared" si="1"/>
        <v>NM</v>
      </c>
      <c r="J7" s="835" t="str">
        <f t="shared" si="1"/>
        <v>NM</v>
      </c>
      <c r="K7" s="835">
        <f t="shared" si="1"/>
        <v>1.6096389841295937</v>
      </c>
    </row>
    <row r="8" spans="3:24" ht="5.15" customHeight="1" x14ac:dyDescent="0.35">
      <c r="C8" s="825"/>
      <c r="D8" s="508"/>
      <c r="E8" s="825"/>
      <c r="F8" s="825"/>
      <c r="G8" s="825"/>
      <c r="H8" s="825"/>
      <c r="I8" s="825"/>
      <c r="J8" s="825"/>
      <c r="K8" s="825"/>
    </row>
    <row r="9" spans="3:24" ht="15" customHeight="1" x14ac:dyDescent="0.35">
      <c r="C9" s="825" t="s">
        <v>209</v>
      </c>
      <c r="D9" s="514" t="e">
        <f>IS!K40</f>
        <v>#REF!</v>
      </c>
      <c r="E9" s="836" t="e">
        <f>IS!P40</f>
        <v>#REF!</v>
      </c>
      <c r="F9" s="836">
        <f>IS!AE40</f>
        <v>-18.564313806851281</v>
      </c>
      <c r="G9" s="836">
        <f>IS!AJ40</f>
        <v>-5.7488228780582746</v>
      </c>
      <c r="H9" s="836">
        <f>IS!AK40</f>
        <v>-3.7874765663321397</v>
      </c>
      <c r="I9" s="836">
        <f>IS!AL40</f>
        <v>-4.323637105118844</v>
      </c>
      <c r="J9" s="836">
        <f>IS!AM40</f>
        <v>-3.8135413358790959</v>
      </c>
      <c r="K9" s="836">
        <f>IS!AN40</f>
        <v>-2.3690209774029687</v>
      </c>
    </row>
    <row r="10" spans="3:24" ht="15" customHeight="1" x14ac:dyDescent="0.35">
      <c r="C10" s="829" t="s">
        <v>207</v>
      </c>
      <c r="D10" s="511"/>
      <c r="E10" s="830" t="e">
        <f>1-E9/D9</f>
        <v>#REF!</v>
      </c>
      <c r="F10" s="830"/>
      <c r="G10" s="830">
        <f t="shared" ref="G10:K10" si="2">1-G9/F9</f>
        <v>0.69032936321424199</v>
      </c>
      <c r="H10" s="830">
        <f t="shared" si="2"/>
        <v>0.34117355036490538</v>
      </c>
      <c r="I10" s="830">
        <f t="shared" si="2"/>
        <v>-0.14156141414913925</v>
      </c>
      <c r="J10" s="830">
        <f t="shared" si="2"/>
        <v>0.11797839569741764</v>
      </c>
      <c r="K10" s="830">
        <f t="shared" si="2"/>
        <v>0.3787871249448872</v>
      </c>
    </row>
    <row r="11" spans="3:24" x14ac:dyDescent="0.35">
      <c r="C11" s="832" t="s">
        <v>16</v>
      </c>
      <c r="D11" s="515"/>
      <c r="E11" s="837"/>
      <c r="F11" s="837"/>
      <c r="G11" s="837">
        <f>FactSet!D7</f>
        <v>-3.9460000000000002</v>
      </c>
      <c r="H11" s="837">
        <f>FactSet!E7</f>
        <v>-4.0999999999999996</v>
      </c>
      <c r="I11" s="837">
        <f>FactSet!F7</f>
        <v>-4.7699999999999996</v>
      </c>
      <c r="J11" s="837">
        <f>FactSet!G7</f>
        <v>-4.5599999999999996</v>
      </c>
      <c r="K11" s="837">
        <f>FactSet!H7</f>
        <v>-4.67</v>
      </c>
    </row>
    <row r="12" spans="3:24" ht="15" thickBot="1" x14ac:dyDescent="0.4">
      <c r="C12" s="838" t="s">
        <v>208</v>
      </c>
      <c r="D12" s="516"/>
      <c r="E12" s="839"/>
      <c r="F12" s="840"/>
      <c r="G12" s="840">
        <f t="shared" ref="G12:K12" si="3">IFERROR(1-G9/G11,"NM")</f>
        <v>-0.4568735119255638</v>
      </c>
      <c r="H12" s="840">
        <f t="shared" si="3"/>
        <v>7.6225227723868305E-2</v>
      </c>
      <c r="I12" s="840">
        <f t="shared" si="3"/>
        <v>9.3577126809466615E-2</v>
      </c>
      <c r="J12" s="840">
        <f t="shared" si="3"/>
        <v>0.16369707546511048</v>
      </c>
      <c r="K12" s="839">
        <f t="shared" si="3"/>
        <v>0.4927149941321266</v>
      </c>
    </row>
    <row r="15" spans="3:24" ht="15" thickBot="1" x14ac:dyDescent="0.4"/>
    <row r="16" spans="3:24" ht="14.15" customHeight="1" x14ac:dyDescent="0.35">
      <c r="L16" s="841"/>
      <c r="M16" s="842" t="s">
        <v>210</v>
      </c>
      <c r="N16" s="843" t="s">
        <v>210</v>
      </c>
      <c r="O16" s="844"/>
      <c r="P16" s="844"/>
      <c r="Q16" s="1068" t="s">
        <v>211</v>
      </c>
      <c r="R16" s="1068"/>
      <c r="S16" s="845" t="s">
        <v>212</v>
      </c>
      <c r="T16" s="845" t="s">
        <v>213</v>
      </c>
      <c r="U16" s="845" t="s">
        <v>214</v>
      </c>
      <c r="V16" s="846">
        <v>2025</v>
      </c>
      <c r="W16" s="845" t="s">
        <v>498</v>
      </c>
      <c r="X16" s="847" t="s">
        <v>215</v>
      </c>
    </row>
    <row r="17" spans="12:28" ht="14.15" customHeight="1" x14ac:dyDescent="0.35">
      <c r="L17" s="848" t="s">
        <v>196</v>
      </c>
      <c r="M17" s="849" t="s">
        <v>216</v>
      </c>
      <c r="N17" s="849" t="s">
        <v>217</v>
      </c>
      <c r="O17" s="850" t="s">
        <v>69</v>
      </c>
      <c r="P17" s="850" t="s">
        <v>218</v>
      </c>
      <c r="Q17" s="850" t="s">
        <v>72</v>
      </c>
      <c r="R17" s="850" t="s">
        <v>71</v>
      </c>
      <c r="S17" s="850" t="s">
        <v>219</v>
      </c>
      <c r="T17" s="850" t="s">
        <v>220</v>
      </c>
      <c r="U17" s="850" t="s">
        <v>221</v>
      </c>
      <c r="V17" s="850" t="s">
        <v>222</v>
      </c>
      <c r="W17" s="850" t="s">
        <v>223</v>
      </c>
      <c r="X17" s="851" t="s">
        <v>9</v>
      </c>
    </row>
    <row r="18" spans="12:28" ht="15" thickBot="1" x14ac:dyDescent="0.4">
      <c r="L18" s="852" t="s">
        <v>393</v>
      </c>
      <c r="M18" s="853" t="s">
        <v>264</v>
      </c>
      <c r="N18" s="854">
        <f>SOTP!R14</f>
        <v>37.175346474533157</v>
      </c>
      <c r="O18" s="855">
        <f ca="1">TODAY()-1</f>
        <v>46118</v>
      </c>
      <c r="P18" s="856">
        <v>12.46</v>
      </c>
      <c r="Q18" s="856">
        <f>_xll.FactSetLive.RTDFunction.1.FDSLIVE(L18,"RTP_PRICE_LOW_52W")</f>
        <v>12.239999771118164</v>
      </c>
      <c r="R18" s="856">
        <f>_xll.FactSetLive.RTDFunction.1.FDSLIVE(L18,"RTP_PRICE_HIGH_52W")</f>
        <v>22.99</v>
      </c>
      <c r="S18" s="857">
        <f>_xll.FDS(L18,"FREF_MARKET_VALUE_COMPANY(0,0,,,1,0,,""LEGACY"")")</f>
        <v>883.94864803799999</v>
      </c>
      <c r="T18" s="858">
        <f>_xll.FDSC("-",L18,"P_VOLUME_AVG(0,-3AM,,,0)")/1000</f>
        <v>199.49046999999999</v>
      </c>
      <c r="U18" s="859">
        <f>_xll.FDS(L18,"OS_SEC_SI_PCTFLT(0D,,D)")%</f>
        <v>0.110498049545198</v>
      </c>
      <c r="V18" s="856">
        <f>W18/IS!AF39</f>
        <v>13.877800826653772</v>
      </c>
      <c r="W18" s="857">
        <f>SOTP!O19</f>
        <v>453.096</v>
      </c>
      <c r="X18" s="860" t="str">
        <f>IFERROR('SOTP-FIGURE'!AH46/IS!AE8,"NM")</f>
        <v>NM</v>
      </c>
    </row>
    <row r="19" spans="12:28" x14ac:dyDescent="0.35">
      <c r="N19" s="281"/>
      <c r="O19" s="517"/>
      <c r="P19" s="517"/>
      <c r="Q19" s="517"/>
      <c r="R19" s="517"/>
      <c r="S19" s="517"/>
      <c r="T19" s="517"/>
      <c r="U19" s="517"/>
      <c r="V19" s="517"/>
      <c r="W19" s="517"/>
      <c r="X19" s="517"/>
      <c r="Y19" s="281"/>
    </row>
    <row r="21" spans="12:28" x14ac:dyDescent="0.35">
      <c r="Z21" s="518" t="s">
        <v>224</v>
      </c>
      <c r="AA21" s="519" t="s">
        <v>225</v>
      </c>
      <c r="AB21" s="520" t="s">
        <v>226</v>
      </c>
    </row>
    <row r="22" spans="12:28" x14ac:dyDescent="0.35">
      <c r="Z22" s="521">
        <f>P18</f>
        <v>12.46</v>
      </c>
      <c r="AA22" s="522">
        <v>2.9350000000000001</v>
      </c>
      <c r="AB22" s="523">
        <f>Z22/AA22</f>
        <v>4.2453151618398639</v>
      </c>
    </row>
    <row r="23" spans="12:28" x14ac:dyDescent="0.35">
      <c r="Z23" s="524"/>
      <c r="AA23" s="525" t="s">
        <v>227</v>
      </c>
      <c r="AB23" s="526" t="s">
        <v>228</v>
      </c>
    </row>
    <row r="24" spans="12:28" x14ac:dyDescent="0.35">
      <c r="Z24" s="527"/>
      <c r="AA24" s="528">
        <v>-1.2122453</v>
      </c>
      <c r="AB24" s="529" t="s">
        <v>229</v>
      </c>
    </row>
    <row r="26" spans="12:28" x14ac:dyDescent="0.35">
      <c r="Z26" s="530" t="s">
        <v>230</v>
      </c>
      <c r="AA26" s="420" t="s">
        <v>231</v>
      </c>
      <c r="AB26" s="531" t="s">
        <v>232</v>
      </c>
    </row>
    <row r="27" spans="12:28" x14ac:dyDescent="0.35">
      <c r="Z27" s="532">
        <v>2659.1605397231797</v>
      </c>
      <c r="AA27" s="533" t="str">
        <f>_xll.FDS(L18,"FE_ESTIMATE(SALES,MEAN,ANN,2023,NOW,,,'')")</f>
        <v>#Calc</v>
      </c>
      <c r="AB27" s="534" t="e">
        <f>Z27/AA27</f>
        <v>#VALUE!</v>
      </c>
    </row>
  </sheetData>
  <mergeCells count="1">
    <mergeCell ref="Q16:R16"/>
  </mergeCells>
  <conditionalFormatting sqref="Z21:AB21">
    <cfRule type="duplicateValues" dxfId="95" priority="2"/>
  </conditionalFormatting>
  <conditionalFormatting sqref="AB23">
    <cfRule type="duplicateValues" dxfId="94" priority="1"/>
  </conditionalFormatting>
  <pageMargins left="0.7" right="0.7" top="0.75" bottom="0.75" header="0.3" footer="0.3"/>
  <pageSetup scale="4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2C86-BF69-4F46-8A18-D1DDE813E2D6}">
  <dimension ref="A1:AG64"/>
  <sheetViews>
    <sheetView zoomScale="80" zoomScaleNormal="80" workbookViewId="0">
      <selection activeCell="AE27" sqref="AE27"/>
    </sheetView>
  </sheetViews>
  <sheetFormatPr defaultRowHeight="14.5" outlineLevelCol="1" x14ac:dyDescent="0.35"/>
  <cols>
    <col min="1" max="1" width="25.81640625" bestFit="1" customWidth="1"/>
    <col min="2" max="2" width="8.81640625" hidden="1" customWidth="1" outlineLevel="1"/>
    <col min="3" max="4" width="8.81640625" style="94" hidden="1" customWidth="1" outlineLevel="1"/>
    <col min="5" max="5" width="8.81640625" hidden="1" customWidth="1" outlineLevel="1"/>
    <col min="6" max="6" width="9.1796875" collapsed="1"/>
    <col min="7" max="7" width="0" hidden="1" customWidth="1" outlineLevel="1"/>
    <col min="8" max="9" width="0" style="94" hidden="1" customWidth="1" outlineLevel="1"/>
    <col min="10" max="10" width="0" hidden="1" customWidth="1" outlineLevel="1"/>
    <col min="11" max="11" width="8.7265625" collapsed="1"/>
    <col min="12" max="15" width="0" style="94" hidden="1" customWidth="1" outlineLevel="1"/>
    <col min="16" max="16" width="8.7265625" collapsed="1"/>
    <col min="17" max="20" width="8.7265625" outlineLevel="1"/>
    <col min="23" max="26" width="9.1796875" outlineLevel="1"/>
  </cols>
  <sheetData>
    <row r="1" spans="1:28" ht="15" thickBot="1" x14ac:dyDescent="0.4">
      <c r="A1" s="382"/>
    </row>
    <row r="2" spans="1:28" ht="15" thickBot="1" x14ac:dyDescent="0.4">
      <c r="A2" s="819"/>
      <c r="B2" s="591" t="str">
        <f>IS!Q4</f>
        <v>1Q22A</v>
      </c>
      <c r="C2" s="591" t="str">
        <f>IS!R4</f>
        <v>2Q22A</v>
      </c>
      <c r="D2" s="591" t="str">
        <f>IS!S4</f>
        <v>3Q22A</v>
      </c>
      <c r="E2" s="592" t="str">
        <f>IS!T4</f>
        <v>4Q22A</v>
      </c>
      <c r="F2" s="593" t="str">
        <f>IS!U4</f>
        <v>2022A</v>
      </c>
      <c r="G2" s="590" t="str">
        <f>IS!V4</f>
        <v>1Q23A</v>
      </c>
      <c r="H2" s="591" t="str">
        <f>IS!W4</f>
        <v>2Q23A</v>
      </c>
      <c r="I2" s="591" t="str">
        <f>IS!X4</f>
        <v>3Q23A</v>
      </c>
      <c r="J2" s="592" t="str">
        <f>IS!Y4</f>
        <v>4Q23A</v>
      </c>
      <c r="K2" s="593" t="str">
        <f>IS!Z4</f>
        <v>2023A</v>
      </c>
      <c r="L2" s="590" t="e">
        <f>IS!#REF!</f>
        <v>#REF!</v>
      </c>
      <c r="M2" s="591" t="e">
        <f>IS!#REF!</f>
        <v>#REF!</v>
      </c>
      <c r="N2" s="591" t="e">
        <f>IS!#REF!</f>
        <v>#REF!</v>
      </c>
      <c r="O2" s="592" t="e">
        <f>IS!#REF!</f>
        <v>#REF!</v>
      </c>
      <c r="P2" s="593" t="e">
        <f>IS!#REF!</f>
        <v>#REF!</v>
      </c>
      <c r="Q2" s="590" t="str">
        <f>IS!AA4</f>
        <v>1Q25A</v>
      </c>
      <c r="R2" s="591" t="str">
        <f>IS!AB4</f>
        <v>2Q25A</v>
      </c>
      <c r="S2" s="591" t="str">
        <f>IS!AC4</f>
        <v>3Q25A</v>
      </c>
      <c r="T2" s="592" t="str">
        <f>IS!AD4</f>
        <v>4Q25A</v>
      </c>
      <c r="U2" s="593" t="str">
        <f>IS!AE4</f>
        <v>2025A</v>
      </c>
      <c r="V2" s="593" t="str">
        <f>IS!AJ4</f>
        <v>2026E</v>
      </c>
      <c r="W2" s="593" t="str">
        <f>IS!AK4</f>
        <v>2027E</v>
      </c>
      <c r="X2" s="593" t="str">
        <f>IS!AL4</f>
        <v>2028E</v>
      </c>
      <c r="Y2" s="593" t="str">
        <f>IS!AM4</f>
        <v>2029E</v>
      </c>
      <c r="Z2" s="593" t="str">
        <f>IS!AN4</f>
        <v>2030E</v>
      </c>
    </row>
    <row r="3" spans="1:28" x14ac:dyDescent="0.35">
      <c r="A3" s="820"/>
      <c r="B3" s="71"/>
      <c r="C3" s="71"/>
      <c r="D3" s="71"/>
      <c r="E3" s="595"/>
      <c r="F3" s="78"/>
      <c r="G3" s="594"/>
      <c r="H3" s="71"/>
      <c r="I3" s="71"/>
      <c r="J3" s="595"/>
      <c r="K3" s="78"/>
      <c r="L3" s="594"/>
      <c r="M3" s="71"/>
      <c r="N3" s="71"/>
      <c r="O3" s="595"/>
      <c r="P3" s="78"/>
      <c r="Q3" s="908"/>
      <c r="R3" s="909"/>
      <c r="S3" s="909"/>
      <c r="T3" s="910"/>
      <c r="U3" s="78"/>
      <c r="V3" s="78"/>
      <c r="W3" s="78"/>
      <c r="X3" s="78"/>
      <c r="Y3" s="78"/>
      <c r="Z3" s="78"/>
    </row>
    <row r="4" spans="1:28" x14ac:dyDescent="0.35">
      <c r="A4" s="821" t="s">
        <v>344</v>
      </c>
      <c r="B4" s="71"/>
      <c r="C4" s="71"/>
      <c r="D4" s="71"/>
      <c r="E4" s="595"/>
      <c r="F4" s="78"/>
      <c r="G4" s="594"/>
      <c r="H4" s="71"/>
      <c r="I4" s="71"/>
      <c r="J4" s="595"/>
      <c r="K4" s="78"/>
      <c r="L4" s="594"/>
      <c r="M4" s="71"/>
      <c r="N4" s="71"/>
      <c r="O4" s="595"/>
      <c r="P4" s="78"/>
      <c r="Q4" s="594"/>
      <c r="R4" s="71"/>
      <c r="S4" s="71"/>
      <c r="T4" s="595"/>
      <c r="U4" s="78"/>
      <c r="V4" s="78"/>
      <c r="W4" s="78"/>
      <c r="X4" s="78"/>
      <c r="Y4" s="78"/>
      <c r="Z4" s="78"/>
    </row>
    <row r="5" spans="1:28" x14ac:dyDescent="0.35">
      <c r="A5" s="820" t="s">
        <v>247</v>
      </c>
      <c r="B5" s="596"/>
      <c r="C5" s="596"/>
      <c r="D5" s="596"/>
      <c r="E5" s="597"/>
      <c r="F5" s="597"/>
      <c r="G5" s="596"/>
      <c r="H5" s="596"/>
      <c r="I5" s="596"/>
      <c r="J5" s="597"/>
      <c r="K5" s="597">
        <f>REVENUE!Z9</f>
        <v>0</v>
      </c>
      <c r="L5" s="596">
        <f>REVENUE!AA9</f>
        <v>0</v>
      </c>
      <c r="M5" s="596">
        <f>REVENUE!AB9</f>
        <v>0</v>
      </c>
      <c r="N5" s="596">
        <f>REVENUE!AC9</f>
        <v>0</v>
      </c>
      <c r="O5" s="597">
        <f>REVENUE!AD9</f>
        <v>0</v>
      </c>
      <c r="P5" s="597" t="e">
        <f>REVENUE!#REF!</f>
        <v>#REF!</v>
      </c>
      <c r="Q5" s="596">
        <f>REVENUE!AE9</f>
        <v>0</v>
      </c>
      <c r="R5" s="596">
        <f>REVENUE!AF9</f>
        <v>0</v>
      </c>
      <c r="S5" s="596">
        <f>REVENUE!AG9</f>
        <v>0</v>
      </c>
      <c r="T5" s="597">
        <f>REVENUE!AH9</f>
        <v>0</v>
      </c>
      <c r="U5" s="597">
        <f>REVENUE!AI9</f>
        <v>0</v>
      </c>
      <c r="V5" s="597">
        <f>REVENUE!AN9</f>
        <v>0</v>
      </c>
      <c r="W5" s="597">
        <f>REVENUE!AO9</f>
        <v>0</v>
      </c>
      <c r="X5" s="597">
        <f>REVENUE!AP9</f>
        <v>0</v>
      </c>
      <c r="Y5" s="597">
        <f>REVENUE!AQ9</f>
        <v>16.880566010262026</v>
      </c>
      <c r="Z5" s="597">
        <f>REVENUE!AR9</f>
        <v>102.80264700249575</v>
      </c>
    </row>
    <row r="6" spans="1:28" x14ac:dyDescent="0.35">
      <c r="A6" s="820" t="s">
        <v>248</v>
      </c>
      <c r="B6" s="721"/>
      <c r="C6" s="721"/>
      <c r="D6" s="721"/>
      <c r="E6" s="722"/>
      <c r="F6" s="719"/>
      <c r="G6" s="720"/>
      <c r="H6" s="721"/>
      <c r="I6" s="721"/>
      <c r="J6" s="722"/>
      <c r="K6" s="719">
        <v>0</v>
      </c>
      <c r="L6" s="720">
        <v>0</v>
      </c>
      <c r="M6" s="721">
        <v>0</v>
      </c>
      <c r="N6" s="721">
        <v>0</v>
      </c>
      <c r="O6" s="722">
        <v>0</v>
      </c>
      <c r="P6" s="719">
        <v>0</v>
      </c>
      <c r="Q6" s="720">
        <v>0</v>
      </c>
      <c r="R6" s="721">
        <v>0</v>
      </c>
      <c r="S6" s="721">
        <v>0</v>
      </c>
      <c r="T6" s="722">
        <v>0</v>
      </c>
      <c r="U6" s="719">
        <v>0</v>
      </c>
      <c r="V6" s="719">
        <v>23.97167473779972</v>
      </c>
      <c r="W6" s="719">
        <v>58.101212675571503</v>
      </c>
      <c r="X6" s="719">
        <v>105.99927038187197</v>
      </c>
      <c r="Y6" s="719">
        <v>162.90105974883733</v>
      </c>
      <c r="Z6" s="719">
        <v>206.43830919927714</v>
      </c>
    </row>
    <row r="7" spans="1:28" x14ac:dyDescent="0.35">
      <c r="A7" s="820" t="s">
        <v>249</v>
      </c>
      <c r="B7" s="600"/>
      <c r="C7" s="600"/>
      <c r="D7" s="600"/>
      <c r="E7" s="602"/>
      <c r="F7" s="599"/>
      <c r="G7" s="601"/>
      <c r="H7" s="600"/>
      <c r="I7" s="600"/>
      <c r="J7" s="602"/>
      <c r="K7" s="599">
        <f t="shared" ref="K7:Z7" si="0">K5-K6</f>
        <v>0</v>
      </c>
      <c r="L7" s="601">
        <f t="shared" si="0"/>
        <v>0</v>
      </c>
      <c r="M7" s="600">
        <f t="shared" si="0"/>
        <v>0</v>
      </c>
      <c r="N7" s="600">
        <f t="shared" si="0"/>
        <v>0</v>
      </c>
      <c r="O7" s="602">
        <f t="shared" si="0"/>
        <v>0</v>
      </c>
      <c r="P7" s="599" t="e">
        <f t="shared" si="0"/>
        <v>#REF!</v>
      </c>
      <c r="Q7" s="601">
        <f t="shared" si="0"/>
        <v>0</v>
      </c>
      <c r="R7" s="600">
        <f t="shared" si="0"/>
        <v>0</v>
      </c>
      <c r="S7" s="600">
        <f t="shared" si="0"/>
        <v>0</v>
      </c>
      <c r="T7" s="602">
        <f t="shared" si="0"/>
        <v>0</v>
      </c>
      <c r="U7" s="599">
        <f t="shared" si="0"/>
        <v>0</v>
      </c>
      <c r="V7" s="599">
        <f t="shared" si="0"/>
        <v>-23.97167473779972</v>
      </c>
      <c r="W7" s="599">
        <f t="shared" si="0"/>
        <v>-58.101212675571503</v>
      </c>
      <c r="X7" s="599">
        <f t="shared" si="0"/>
        <v>-105.99927038187197</v>
      </c>
      <c r="Y7" s="599">
        <f t="shared" si="0"/>
        <v>-146.02049373857531</v>
      </c>
      <c r="Z7" s="599">
        <f t="shared" si="0"/>
        <v>-103.6356621967814</v>
      </c>
    </row>
    <row r="8" spans="1:28" x14ac:dyDescent="0.35">
      <c r="A8" s="820"/>
      <c r="B8" s="71"/>
      <c r="C8" s="71"/>
      <c r="D8" s="71"/>
      <c r="E8" s="595"/>
      <c r="F8" s="78"/>
      <c r="G8" s="594"/>
      <c r="H8" s="71"/>
      <c r="I8" s="71"/>
      <c r="J8" s="595"/>
      <c r="K8" s="78"/>
      <c r="L8" s="594"/>
      <c r="M8" s="71"/>
      <c r="N8" s="71"/>
      <c r="O8" s="595"/>
      <c r="P8" s="78"/>
      <c r="Q8" s="594"/>
      <c r="R8" s="71"/>
      <c r="S8" s="71"/>
      <c r="T8" s="595"/>
      <c r="U8" s="78"/>
      <c r="V8" s="78"/>
      <c r="W8" s="78"/>
      <c r="X8" s="78"/>
      <c r="Y8" s="78"/>
      <c r="Z8" s="78"/>
    </row>
    <row r="9" spans="1:28" x14ac:dyDescent="0.35">
      <c r="A9" s="820"/>
      <c r="B9" s="71"/>
      <c r="C9" s="71"/>
      <c r="D9" s="71"/>
      <c r="E9" s="595"/>
      <c r="F9" s="78"/>
      <c r="G9" s="594"/>
      <c r="H9" s="71"/>
      <c r="I9" s="71"/>
      <c r="J9" s="595"/>
      <c r="K9" s="78"/>
      <c r="L9" s="594"/>
      <c r="M9" s="71"/>
      <c r="N9" s="71"/>
      <c r="O9" s="595"/>
      <c r="P9" s="78"/>
      <c r="Q9" s="594"/>
      <c r="R9" s="71"/>
      <c r="S9" s="71"/>
      <c r="T9" s="595"/>
      <c r="U9" s="78"/>
      <c r="V9" s="78"/>
      <c r="W9" s="78"/>
      <c r="X9" s="78"/>
      <c r="Y9" s="78"/>
      <c r="Z9" s="78"/>
    </row>
    <row r="10" spans="1:28" x14ac:dyDescent="0.35">
      <c r="A10" s="821" t="s">
        <v>345</v>
      </c>
      <c r="B10" s="71"/>
      <c r="C10" s="71"/>
      <c r="D10" s="71"/>
      <c r="E10" s="595"/>
      <c r="F10" s="78"/>
      <c r="G10" s="594"/>
      <c r="H10" s="71"/>
      <c r="I10" s="71"/>
      <c r="J10" s="595"/>
      <c r="K10" s="78"/>
      <c r="L10" s="594"/>
      <c r="M10" s="71"/>
      <c r="N10" s="71"/>
      <c r="O10" s="595"/>
      <c r="P10" s="78"/>
      <c r="Q10" s="594"/>
      <c r="R10" s="71"/>
      <c r="S10" s="71"/>
      <c r="T10" s="595"/>
      <c r="U10" s="78"/>
      <c r="V10" s="78"/>
      <c r="W10" s="78"/>
      <c r="X10" s="78"/>
      <c r="Y10" s="78"/>
      <c r="Z10" s="78"/>
      <c r="AB10" s="94"/>
    </row>
    <row r="11" spans="1:28" x14ac:dyDescent="0.35">
      <c r="A11" s="820" t="s">
        <v>247</v>
      </c>
      <c r="B11" s="596"/>
      <c r="C11" s="596"/>
      <c r="D11" s="596"/>
      <c r="E11" s="597"/>
      <c r="F11" s="597"/>
      <c r="G11" s="596"/>
      <c r="H11" s="596"/>
      <c r="I11" s="596"/>
      <c r="J11" s="597"/>
      <c r="K11" s="597">
        <f>REVENUE!Z14</f>
        <v>0</v>
      </c>
      <c r="L11" s="596">
        <f>REVENUE!AA14</f>
        <v>0</v>
      </c>
      <c r="M11" s="596">
        <f>REVENUE!AB14</f>
        <v>0</v>
      </c>
      <c r="N11" s="596">
        <f>REVENUE!AC14</f>
        <v>0</v>
      </c>
      <c r="O11" s="597">
        <f>REVENUE!AD14</f>
        <v>0</v>
      </c>
      <c r="P11" s="597" t="e">
        <f>REVENUE!#REF!</f>
        <v>#REF!</v>
      </c>
      <c r="Q11" s="596">
        <f>REVENUE!AE14</f>
        <v>0</v>
      </c>
      <c r="R11" s="596">
        <f>REVENUE!AF14</f>
        <v>0</v>
      </c>
      <c r="S11" s="596">
        <f>REVENUE!AG14</f>
        <v>0</v>
      </c>
      <c r="T11" s="597">
        <f>REVENUE!AH14</f>
        <v>0</v>
      </c>
      <c r="U11" s="597">
        <f>REVENUE!AI14</f>
        <v>0</v>
      </c>
      <c r="V11" s="597">
        <f>REVENUE!AN14</f>
        <v>0</v>
      </c>
      <c r="W11" s="597">
        <f>REVENUE!AO14</f>
        <v>0</v>
      </c>
      <c r="X11" s="597">
        <f>REVENUE!AP14</f>
        <v>0</v>
      </c>
      <c r="Y11" s="597">
        <f>REVENUE!AQ14</f>
        <v>0</v>
      </c>
      <c r="Z11" s="597">
        <f>REVENUE!AR14</f>
        <v>25.330627118267305</v>
      </c>
      <c r="AB11" s="94"/>
    </row>
    <row r="12" spans="1:28" x14ac:dyDescent="0.35">
      <c r="A12" s="820" t="s">
        <v>248</v>
      </c>
      <c r="B12" s="721"/>
      <c r="C12" s="721"/>
      <c r="D12" s="721"/>
      <c r="E12" s="722"/>
      <c r="F12" s="719"/>
      <c r="G12" s="720"/>
      <c r="H12" s="721"/>
      <c r="I12" s="721"/>
      <c r="J12" s="722"/>
      <c r="K12" s="719">
        <v>0</v>
      </c>
      <c r="L12" s="720">
        <v>0</v>
      </c>
      <c r="M12" s="721">
        <v>0</v>
      </c>
      <c r="N12" s="721">
        <v>0</v>
      </c>
      <c r="O12" s="722">
        <v>0</v>
      </c>
      <c r="P12" s="719">
        <v>0</v>
      </c>
      <c r="Q12" s="720">
        <v>0</v>
      </c>
      <c r="R12" s="721">
        <v>0</v>
      </c>
      <c r="S12" s="721">
        <v>0</v>
      </c>
      <c r="T12" s="722">
        <v>0</v>
      </c>
      <c r="U12" s="719">
        <v>0</v>
      </c>
      <c r="V12" s="719">
        <v>33.04977313025082</v>
      </c>
      <c r="W12" s="719">
        <v>172.54628361127132</v>
      </c>
      <c r="X12" s="719">
        <v>371.67702965917567</v>
      </c>
      <c r="Y12" s="719">
        <v>464.89184773942907</v>
      </c>
      <c r="Z12" s="719">
        <v>543.00732567254056</v>
      </c>
      <c r="AB12" s="235"/>
    </row>
    <row r="13" spans="1:28" x14ac:dyDescent="0.35">
      <c r="A13" s="820" t="s">
        <v>249</v>
      </c>
      <c r="B13" s="600"/>
      <c r="C13" s="600"/>
      <c r="D13" s="600"/>
      <c r="E13" s="602"/>
      <c r="F13" s="599"/>
      <c r="G13" s="601"/>
      <c r="H13" s="600"/>
      <c r="I13" s="600"/>
      <c r="J13" s="602"/>
      <c r="K13" s="599">
        <f t="shared" ref="K13:Z13" si="1">K11-K12</f>
        <v>0</v>
      </c>
      <c r="L13" s="601">
        <f t="shared" si="1"/>
        <v>0</v>
      </c>
      <c r="M13" s="600">
        <f t="shared" si="1"/>
        <v>0</v>
      </c>
      <c r="N13" s="600">
        <f t="shared" si="1"/>
        <v>0</v>
      </c>
      <c r="O13" s="602">
        <f t="shared" si="1"/>
        <v>0</v>
      </c>
      <c r="P13" s="599" t="e">
        <f t="shared" si="1"/>
        <v>#REF!</v>
      </c>
      <c r="Q13" s="601">
        <f t="shared" si="1"/>
        <v>0</v>
      </c>
      <c r="R13" s="600">
        <f t="shared" si="1"/>
        <v>0</v>
      </c>
      <c r="S13" s="600">
        <f t="shared" si="1"/>
        <v>0</v>
      </c>
      <c r="T13" s="602">
        <f t="shared" si="1"/>
        <v>0</v>
      </c>
      <c r="U13" s="599">
        <f t="shared" si="1"/>
        <v>0</v>
      </c>
      <c r="V13" s="599">
        <f t="shared" si="1"/>
        <v>-33.04977313025082</v>
      </c>
      <c r="W13" s="599">
        <f t="shared" si="1"/>
        <v>-172.54628361127132</v>
      </c>
      <c r="X13" s="599">
        <f t="shared" si="1"/>
        <v>-371.67702965917567</v>
      </c>
      <c r="Y13" s="599">
        <f t="shared" si="1"/>
        <v>-464.89184773942907</v>
      </c>
      <c r="Z13" s="599">
        <f t="shared" si="1"/>
        <v>-517.67669855427323</v>
      </c>
      <c r="AB13" s="235"/>
    </row>
    <row r="14" spans="1:28" x14ac:dyDescent="0.35">
      <c r="A14" s="820"/>
      <c r="B14" s="71"/>
      <c r="C14" s="71"/>
      <c r="D14" s="71"/>
      <c r="E14" s="595"/>
      <c r="F14" s="78"/>
      <c r="G14" s="594"/>
      <c r="H14" s="71"/>
      <c r="I14" s="71"/>
      <c r="J14" s="595"/>
      <c r="K14" s="78"/>
      <c r="L14" s="594"/>
      <c r="M14" s="71"/>
      <c r="N14" s="71"/>
      <c r="O14" s="595"/>
      <c r="P14" s="78"/>
      <c r="Q14" s="594"/>
      <c r="R14" s="71"/>
      <c r="S14" s="71"/>
      <c r="T14" s="595"/>
      <c r="U14" s="78"/>
      <c r="V14" s="78"/>
      <c r="W14" s="78"/>
      <c r="X14" s="78"/>
      <c r="Y14" s="78"/>
      <c r="Z14" s="78"/>
      <c r="AB14" s="235"/>
    </row>
    <row r="15" spans="1:28" x14ac:dyDescent="0.35">
      <c r="A15" s="821" t="s">
        <v>286</v>
      </c>
      <c r="B15" s="71"/>
      <c r="C15" s="71"/>
      <c r="D15" s="71"/>
      <c r="E15" s="595"/>
      <c r="F15" s="78"/>
      <c r="G15" s="594"/>
      <c r="H15" s="71"/>
      <c r="I15" s="71"/>
      <c r="J15" s="595"/>
      <c r="K15" s="78"/>
      <c r="L15" s="594"/>
      <c r="M15" s="71"/>
      <c r="N15" s="71"/>
      <c r="O15" s="595"/>
      <c r="P15" s="78"/>
      <c r="Q15" s="594"/>
      <c r="R15" s="71"/>
      <c r="S15" s="71"/>
      <c r="T15" s="595"/>
      <c r="U15" s="78"/>
      <c r="V15" s="78"/>
      <c r="W15" s="78"/>
      <c r="X15" s="78"/>
      <c r="Y15" s="78"/>
      <c r="Z15" s="78"/>
      <c r="AB15" s="94"/>
    </row>
    <row r="16" spans="1:28" x14ac:dyDescent="0.35">
      <c r="A16" s="820" t="s">
        <v>247</v>
      </c>
      <c r="B16" s="596"/>
      <c r="C16" s="596"/>
      <c r="D16" s="596"/>
      <c r="E16" s="597"/>
      <c r="F16" s="597"/>
      <c r="G16" s="596"/>
      <c r="H16" s="596"/>
      <c r="I16" s="596"/>
      <c r="J16" s="597"/>
      <c r="K16" s="597" t="e">
        <f>REVENUE!#REF!</f>
        <v>#REF!</v>
      </c>
      <c r="L16" s="596" t="e">
        <f>REVENUE!#REF!</f>
        <v>#REF!</v>
      </c>
      <c r="M16" s="596" t="e">
        <f>REVENUE!#REF!</f>
        <v>#REF!</v>
      </c>
      <c r="N16" s="596" t="e">
        <f>REVENUE!#REF!</f>
        <v>#REF!</v>
      </c>
      <c r="O16" s="597" t="e">
        <f>REVENUE!#REF!</f>
        <v>#REF!</v>
      </c>
      <c r="P16" s="597" t="e">
        <f>REVENUE!#REF!</f>
        <v>#REF!</v>
      </c>
      <c r="Q16" s="596" t="e">
        <f>REVENUE!#REF!</f>
        <v>#REF!</v>
      </c>
      <c r="R16" s="596" t="e">
        <f>REVENUE!#REF!</f>
        <v>#REF!</v>
      </c>
      <c r="S16" s="596" t="e">
        <f>REVENUE!#REF!</f>
        <v>#REF!</v>
      </c>
      <c r="T16" s="597" t="e">
        <f>REVENUE!#REF!</f>
        <v>#REF!</v>
      </c>
      <c r="U16" s="597" t="e">
        <f>REVENUE!#REF!</f>
        <v>#REF!</v>
      </c>
      <c r="V16" s="597" t="e">
        <f>REVENUE!#REF!</f>
        <v>#REF!</v>
      </c>
      <c r="W16" s="597" t="e">
        <f>REVENUE!#REF!</f>
        <v>#REF!</v>
      </c>
      <c r="X16" s="597" t="e">
        <f>REVENUE!#REF!</f>
        <v>#REF!</v>
      </c>
      <c r="Y16" s="597" t="e">
        <f>REVENUE!#REF!</f>
        <v>#REF!</v>
      </c>
      <c r="Z16" s="597" t="e">
        <f>REVENUE!#REF!</f>
        <v>#REF!</v>
      </c>
    </row>
    <row r="17" spans="1:26" x14ac:dyDescent="0.35">
      <c r="A17" s="820" t="s">
        <v>248</v>
      </c>
      <c r="B17" s="721"/>
      <c r="C17" s="721"/>
      <c r="D17" s="721"/>
      <c r="E17" s="722"/>
      <c r="F17" s="719"/>
      <c r="G17" s="720"/>
      <c r="H17" s="721"/>
      <c r="I17" s="721"/>
      <c r="J17" s="722"/>
      <c r="K17" s="719">
        <v>0</v>
      </c>
      <c r="L17" s="720">
        <v>0</v>
      </c>
      <c r="M17" s="721">
        <v>0</v>
      </c>
      <c r="N17" s="721">
        <v>0</v>
      </c>
      <c r="O17" s="722">
        <v>0</v>
      </c>
      <c r="P17" s="719">
        <v>0</v>
      </c>
      <c r="Q17" s="720">
        <v>0</v>
      </c>
      <c r="R17" s="721">
        <v>0</v>
      </c>
      <c r="S17" s="721">
        <v>0</v>
      </c>
      <c r="T17" s="722">
        <v>0</v>
      </c>
      <c r="U17" s="719">
        <v>0</v>
      </c>
      <c r="V17" s="719">
        <v>101.65168373254208</v>
      </c>
      <c r="W17" s="719">
        <v>223.91959957209033</v>
      </c>
      <c r="X17" s="719">
        <v>331.46594405056959</v>
      </c>
      <c r="Y17" s="719">
        <v>463.12836035175656</v>
      </c>
      <c r="Z17" s="719">
        <v>579.0238855955248</v>
      </c>
    </row>
    <row r="18" spans="1:26" x14ac:dyDescent="0.35">
      <c r="A18" s="820" t="s">
        <v>249</v>
      </c>
      <c r="B18" s="600"/>
      <c r="C18" s="600"/>
      <c r="D18" s="600"/>
      <c r="E18" s="602"/>
      <c r="F18" s="599"/>
      <c r="G18" s="601"/>
      <c r="H18" s="600"/>
      <c r="I18" s="600"/>
      <c r="J18" s="602"/>
      <c r="K18" s="599" t="e">
        <f t="shared" ref="K18:Z18" si="2">K16-K17</f>
        <v>#REF!</v>
      </c>
      <c r="L18" s="601" t="e">
        <f t="shared" si="2"/>
        <v>#REF!</v>
      </c>
      <c r="M18" s="600" t="e">
        <f t="shared" si="2"/>
        <v>#REF!</v>
      </c>
      <c r="N18" s="600" t="e">
        <f t="shared" si="2"/>
        <v>#REF!</v>
      </c>
      <c r="O18" s="602" t="e">
        <f t="shared" si="2"/>
        <v>#REF!</v>
      </c>
      <c r="P18" s="599" t="e">
        <f t="shared" si="2"/>
        <v>#REF!</v>
      </c>
      <c r="Q18" s="601" t="e">
        <f t="shared" si="2"/>
        <v>#REF!</v>
      </c>
      <c r="R18" s="600" t="e">
        <f t="shared" si="2"/>
        <v>#REF!</v>
      </c>
      <c r="S18" s="600" t="e">
        <f t="shared" si="2"/>
        <v>#REF!</v>
      </c>
      <c r="T18" s="602" t="e">
        <f t="shared" si="2"/>
        <v>#REF!</v>
      </c>
      <c r="U18" s="599" t="e">
        <f t="shared" si="2"/>
        <v>#REF!</v>
      </c>
      <c r="V18" s="599" t="e">
        <f t="shared" si="2"/>
        <v>#REF!</v>
      </c>
      <c r="W18" s="599" t="e">
        <f t="shared" si="2"/>
        <v>#REF!</v>
      </c>
      <c r="X18" s="599" t="e">
        <f t="shared" si="2"/>
        <v>#REF!</v>
      </c>
      <c r="Y18" s="599" t="e">
        <f t="shared" si="2"/>
        <v>#REF!</v>
      </c>
      <c r="Z18" s="599" t="e">
        <f t="shared" si="2"/>
        <v>#REF!</v>
      </c>
    </row>
    <row r="19" spans="1:26" x14ac:dyDescent="0.35">
      <c r="A19" s="820"/>
      <c r="B19" s="71"/>
      <c r="C19" s="71"/>
      <c r="D19" s="71"/>
      <c r="E19" s="595"/>
      <c r="F19" s="78"/>
      <c r="G19" s="594"/>
      <c r="H19" s="71"/>
      <c r="I19" s="71"/>
      <c r="J19" s="595"/>
      <c r="K19" s="78"/>
      <c r="L19" s="594"/>
      <c r="M19" s="71"/>
      <c r="N19" s="71"/>
      <c r="O19" s="595"/>
      <c r="P19" s="78"/>
      <c r="Q19" s="594"/>
      <c r="R19" s="71"/>
      <c r="S19" s="71"/>
      <c r="T19" s="595"/>
      <c r="U19" s="78"/>
      <c r="V19" s="78"/>
      <c r="W19" s="78"/>
      <c r="X19" s="78"/>
      <c r="Y19" s="78"/>
      <c r="Z19" s="78"/>
    </row>
    <row r="20" spans="1:26" x14ac:dyDescent="0.35">
      <c r="A20" s="821" t="s">
        <v>168</v>
      </c>
      <c r="B20" s="71"/>
      <c r="C20" s="71"/>
      <c r="D20" s="71"/>
      <c r="E20" s="595"/>
      <c r="F20" s="78"/>
      <c r="G20" s="594"/>
      <c r="H20" s="71"/>
      <c r="I20" s="71"/>
      <c r="J20" s="595"/>
      <c r="K20" s="78"/>
      <c r="L20" s="594"/>
      <c r="M20" s="71"/>
      <c r="N20" s="71"/>
      <c r="O20" s="595"/>
      <c r="P20" s="78"/>
      <c r="Q20" s="594"/>
      <c r="R20" s="71"/>
      <c r="S20" s="71"/>
      <c r="T20" s="595"/>
      <c r="U20" s="78"/>
      <c r="V20" s="78"/>
      <c r="W20" s="78"/>
      <c r="X20" s="78"/>
      <c r="Y20" s="78"/>
      <c r="Z20" s="78"/>
    </row>
    <row r="21" spans="1:26" x14ac:dyDescent="0.35">
      <c r="A21" s="820" t="s">
        <v>247</v>
      </c>
      <c r="B21" s="596"/>
      <c r="C21" s="596"/>
      <c r="D21" s="596"/>
      <c r="E21" s="597"/>
      <c r="F21" s="597"/>
      <c r="G21" s="596"/>
      <c r="H21" s="596"/>
      <c r="I21" s="596"/>
      <c r="J21" s="597"/>
      <c r="K21" s="597">
        <f>REVENUE!Z34</f>
        <v>0</v>
      </c>
      <c r="L21" s="596">
        <f>REVENUE!AA34</f>
        <v>0</v>
      </c>
      <c r="M21" s="596">
        <f>REVENUE!AB34</f>
        <v>0</v>
      </c>
      <c r="N21" s="596">
        <f>REVENUE!AC34</f>
        <v>0</v>
      </c>
      <c r="O21" s="597">
        <f>REVENUE!AD34</f>
        <v>0</v>
      </c>
      <c r="P21" s="597" t="e">
        <f>REVENUE!#REF!</f>
        <v>#REF!</v>
      </c>
      <c r="Q21" s="596">
        <f>REVENUE!AE34</f>
        <v>0</v>
      </c>
      <c r="R21" s="596">
        <f>REVENUE!AF34</f>
        <v>0</v>
      </c>
      <c r="S21" s="596">
        <f>REVENUE!AG34</f>
        <v>0</v>
      </c>
      <c r="T21" s="597">
        <f>REVENUE!AH34</f>
        <v>0</v>
      </c>
      <c r="U21" s="597">
        <f>REVENUE!AI34</f>
        <v>0</v>
      </c>
      <c r="V21" s="597">
        <f>REVENUE!AN34</f>
        <v>0</v>
      </c>
      <c r="W21" s="597">
        <f>REVENUE!AO34</f>
        <v>0</v>
      </c>
      <c r="X21" s="597">
        <f>REVENUE!AP34</f>
        <v>0</v>
      </c>
      <c r="Y21" s="597">
        <f>REVENUE!AQ34</f>
        <v>0</v>
      </c>
      <c r="Z21" s="597">
        <f>REVENUE!AR34</f>
        <v>0</v>
      </c>
    </row>
    <row r="22" spans="1:26" x14ac:dyDescent="0.35">
      <c r="A22" s="820" t="s">
        <v>248</v>
      </c>
      <c r="B22" s="721"/>
      <c r="C22" s="721"/>
      <c r="D22" s="721"/>
      <c r="E22" s="722"/>
      <c r="F22" s="719"/>
      <c r="G22" s="720"/>
      <c r="H22" s="721"/>
      <c r="I22" s="721"/>
      <c r="J22" s="722"/>
      <c r="K22" s="719">
        <v>0</v>
      </c>
      <c r="L22" s="720">
        <v>0</v>
      </c>
      <c r="M22" s="721">
        <v>0</v>
      </c>
      <c r="N22" s="721">
        <v>0</v>
      </c>
      <c r="O22" s="722">
        <v>0</v>
      </c>
      <c r="P22" s="719">
        <v>0</v>
      </c>
      <c r="Q22" s="720">
        <v>0</v>
      </c>
      <c r="R22" s="721">
        <v>0</v>
      </c>
      <c r="S22" s="721">
        <v>0</v>
      </c>
      <c r="T22" s="722">
        <v>0</v>
      </c>
      <c r="U22" s="719">
        <v>0</v>
      </c>
      <c r="V22" s="719">
        <v>0</v>
      </c>
      <c r="W22" s="719">
        <v>11.956465681988661</v>
      </c>
      <c r="X22" s="719">
        <v>34.610556969643724</v>
      </c>
      <c r="Y22" s="719">
        <v>62.340257473515557</v>
      </c>
      <c r="Z22" s="719">
        <v>84.462948662302281</v>
      </c>
    </row>
    <row r="23" spans="1:26" x14ac:dyDescent="0.35">
      <c r="A23" s="820" t="s">
        <v>249</v>
      </c>
      <c r="B23" s="600"/>
      <c r="C23" s="600"/>
      <c r="D23" s="600"/>
      <c r="E23" s="602"/>
      <c r="F23" s="599"/>
      <c r="G23" s="601"/>
      <c r="H23" s="600"/>
      <c r="I23" s="600"/>
      <c r="J23" s="602"/>
      <c r="K23" s="599">
        <f t="shared" ref="K23:Z23" si="3">K21-K22</f>
        <v>0</v>
      </c>
      <c r="L23" s="601">
        <f t="shared" si="3"/>
        <v>0</v>
      </c>
      <c r="M23" s="600">
        <f t="shared" si="3"/>
        <v>0</v>
      </c>
      <c r="N23" s="600">
        <f t="shared" si="3"/>
        <v>0</v>
      </c>
      <c r="O23" s="602">
        <f t="shared" si="3"/>
        <v>0</v>
      </c>
      <c r="P23" s="599" t="e">
        <f t="shared" si="3"/>
        <v>#REF!</v>
      </c>
      <c r="Q23" s="601">
        <f t="shared" si="3"/>
        <v>0</v>
      </c>
      <c r="R23" s="600">
        <f t="shared" si="3"/>
        <v>0</v>
      </c>
      <c r="S23" s="600">
        <f t="shared" si="3"/>
        <v>0</v>
      </c>
      <c r="T23" s="602">
        <f t="shared" si="3"/>
        <v>0</v>
      </c>
      <c r="U23" s="599">
        <f t="shared" si="3"/>
        <v>0</v>
      </c>
      <c r="V23" s="599">
        <f t="shared" si="3"/>
        <v>0</v>
      </c>
      <c r="W23" s="599">
        <f t="shared" si="3"/>
        <v>-11.956465681988661</v>
      </c>
      <c r="X23" s="599">
        <f t="shared" si="3"/>
        <v>-34.610556969643724</v>
      </c>
      <c r="Y23" s="599">
        <f t="shared" si="3"/>
        <v>-62.340257473515557</v>
      </c>
      <c r="Z23" s="599">
        <f t="shared" si="3"/>
        <v>-84.462948662302281</v>
      </c>
    </row>
    <row r="24" spans="1:26" x14ac:dyDescent="0.35">
      <c r="A24" s="820"/>
      <c r="B24" s="71"/>
      <c r="C24" s="71"/>
      <c r="D24" s="71"/>
      <c r="E24" s="595"/>
      <c r="F24" s="78"/>
      <c r="G24" s="594"/>
      <c r="H24" s="71"/>
      <c r="I24" s="71"/>
      <c r="J24" s="595"/>
      <c r="K24" s="78"/>
      <c r="L24" s="594"/>
      <c r="M24" s="71"/>
      <c r="N24" s="71"/>
      <c r="O24" s="595"/>
      <c r="P24" s="78"/>
      <c r="Q24" s="594"/>
      <c r="R24" s="71"/>
      <c r="S24" s="71"/>
      <c r="T24" s="595"/>
      <c r="U24" s="78"/>
      <c r="V24" s="78"/>
      <c r="W24" s="78"/>
      <c r="X24" s="78"/>
      <c r="Y24" s="78"/>
      <c r="Z24" s="78"/>
    </row>
    <row r="25" spans="1:26" x14ac:dyDescent="0.35">
      <c r="A25" s="821" t="s">
        <v>15</v>
      </c>
      <c r="B25" s="71"/>
      <c r="C25" s="71"/>
      <c r="D25" s="71"/>
      <c r="E25" s="595"/>
      <c r="F25" s="78"/>
      <c r="G25" s="594"/>
      <c r="H25" s="71"/>
      <c r="I25" s="71"/>
      <c r="J25" s="595"/>
      <c r="K25" s="78"/>
      <c r="L25" s="594"/>
      <c r="M25" s="71"/>
      <c r="N25" s="71"/>
      <c r="O25" s="595"/>
      <c r="P25" s="78"/>
      <c r="Q25" s="594"/>
      <c r="R25" s="71"/>
      <c r="S25" s="71"/>
      <c r="T25" s="595"/>
      <c r="U25" s="78"/>
      <c r="V25" s="78"/>
      <c r="W25" s="78"/>
      <c r="X25" s="78"/>
      <c r="Y25" s="78"/>
      <c r="Z25" s="78"/>
    </row>
    <row r="26" spans="1:26" x14ac:dyDescent="0.35">
      <c r="A26" s="820" t="s">
        <v>247</v>
      </c>
      <c r="B26" s="596">
        <f>IS!Q8</f>
        <v>0</v>
      </c>
      <c r="C26" s="596">
        <f>IS!R8</f>
        <v>0</v>
      </c>
      <c r="D26" s="596">
        <f>IS!S8</f>
        <v>0</v>
      </c>
      <c r="E26" s="597">
        <f>IS!T8</f>
        <v>0</v>
      </c>
      <c r="F26" s="597">
        <f>IS!U8</f>
        <v>0</v>
      </c>
      <c r="G26" s="596">
        <f>IS!V8</f>
        <v>0</v>
      </c>
      <c r="H26" s="596">
        <f>IS!W8</f>
        <v>0</v>
      </c>
      <c r="I26" s="596">
        <f>IS!X8</f>
        <v>0</v>
      </c>
      <c r="J26" s="597">
        <f>IS!Y8</f>
        <v>0</v>
      </c>
      <c r="K26" s="597" t="e">
        <f>IS!Z8</f>
        <v>#REF!</v>
      </c>
      <c r="L26" s="596" t="e">
        <f>IS!#REF!</f>
        <v>#REF!</v>
      </c>
      <c r="M26" s="596" t="e">
        <f>IS!#REF!</f>
        <v>#REF!</v>
      </c>
      <c r="N26" s="596" t="e">
        <f>IS!#REF!</f>
        <v>#REF!</v>
      </c>
      <c r="O26" s="597" t="e">
        <f>IS!#REF!</f>
        <v>#REF!</v>
      </c>
      <c r="P26" s="597" t="e">
        <f>IS!#REF!</f>
        <v>#REF!</v>
      </c>
      <c r="Q26" s="596">
        <f>IS!AA8</f>
        <v>0</v>
      </c>
      <c r="R26" s="596">
        <f>IS!AB8</f>
        <v>0</v>
      </c>
      <c r="S26" s="596">
        <f>IS!AC8</f>
        <v>0</v>
      </c>
      <c r="T26" s="597">
        <f>IS!AD8</f>
        <v>0</v>
      </c>
      <c r="U26" s="597">
        <f>IS!AE8</f>
        <v>0</v>
      </c>
      <c r="V26" s="597">
        <f>IS!AJ8</f>
        <v>0</v>
      </c>
      <c r="W26" s="597">
        <f>IS!AK8</f>
        <v>0</v>
      </c>
      <c r="X26" s="597">
        <f>IS!AL8</f>
        <v>0</v>
      </c>
      <c r="Y26" s="597">
        <f>IS!AM8</f>
        <v>16.880566010262026</v>
      </c>
      <c r="Z26" s="597">
        <f>IS!AN8</f>
        <v>128.13327412076305</v>
      </c>
    </row>
    <row r="27" spans="1:26" x14ac:dyDescent="0.35">
      <c r="A27" s="820" t="s">
        <v>248</v>
      </c>
      <c r="B27" s="721">
        <v>0</v>
      </c>
      <c r="C27" s="721">
        <v>0</v>
      </c>
      <c r="D27" s="721">
        <v>0</v>
      </c>
      <c r="E27" s="722">
        <v>0</v>
      </c>
      <c r="F27" s="719">
        <v>0</v>
      </c>
      <c r="G27" s="720">
        <v>0</v>
      </c>
      <c r="H27" s="721">
        <v>0</v>
      </c>
      <c r="I27" s="721">
        <v>0</v>
      </c>
      <c r="J27" s="722">
        <v>0</v>
      </c>
      <c r="K27" s="719">
        <v>0</v>
      </c>
      <c r="L27" s="720">
        <v>0</v>
      </c>
      <c r="M27" s="721">
        <v>0</v>
      </c>
      <c r="N27" s="721">
        <v>0</v>
      </c>
      <c r="O27" s="722">
        <v>0</v>
      </c>
      <c r="P27" s="719">
        <v>0</v>
      </c>
      <c r="Q27" s="720">
        <v>0</v>
      </c>
      <c r="R27" s="721">
        <v>0</v>
      </c>
      <c r="S27" s="721">
        <v>0</v>
      </c>
      <c r="T27" s="722">
        <v>0</v>
      </c>
      <c r="U27" s="719">
        <v>0</v>
      </c>
      <c r="V27" s="719">
        <v>158.67313160059263</v>
      </c>
      <c r="W27" s="719">
        <v>466.52356154092183</v>
      </c>
      <c r="X27" s="719">
        <v>843.75280106126093</v>
      </c>
      <c r="Y27" s="719">
        <v>1153.2615253135384</v>
      </c>
      <c r="Z27" s="719">
        <v>1412.9324691296449</v>
      </c>
    </row>
    <row r="28" spans="1:26" x14ac:dyDescent="0.35">
      <c r="A28" s="820" t="s">
        <v>249</v>
      </c>
      <c r="B28" s="600">
        <f t="shared" ref="B28:Z28" si="4">B26-B27</f>
        <v>0</v>
      </c>
      <c r="C28" s="600">
        <f t="shared" si="4"/>
        <v>0</v>
      </c>
      <c r="D28" s="600">
        <f t="shared" si="4"/>
        <v>0</v>
      </c>
      <c r="E28" s="602">
        <f t="shared" si="4"/>
        <v>0</v>
      </c>
      <c r="F28" s="599">
        <f>F26-F27</f>
        <v>0</v>
      </c>
      <c r="G28" s="601">
        <f t="shared" si="4"/>
        <v>0</v>
      </c>
      <c r="H28" s="600">
        <f t="shared" si="4"/>
        <v>0</v>
      </c>
      <c r="I28" s="600">
        <f t="shared" si="4"/>
        <v>0</v>
      </c>
      <c r="J28" s="602">
        <f t="shared" si="4"/>
        <v>0</v>
      </c>
      <c r="K28" s="599" t="e">
        <f t="shared" si="4"/>
        <v>#REF!</v>
      </c>
      <c r="L28" s="601" t="e">
        <f t="shared" si="4"/>
        <v>#REF!</v>
      </c>
      <c r="M28" s="600" t="e">
        <f t="shared" si="4"/>
        <v>#REF!</v>
      </c>
      <c r="N28" s="600" t="e">
        <f t="shared" si="4"/>
        <v>#REF!</v>
      </c>
      <c r="O28" s="602" t="e">
        <f t="shared" si="4"/>
        <v>#REF!</v>
      </c>
      <c r="P28" s="599" t="e">
        <f t="shared" si="4"/>
        <v>#REF!</v>
      </c>
      <c r="Q28" s="601">
        <f t="shared" si="4"/>
        <v>0</v>
      </c>
      <c r="R28" s="600">
        <f t="shared" si="4"/>
        <v>0</v>
      </c>
      <c r="S28" s="600">
        <f t="shared" si="4"/>
        <v>0</v>
      </c>
      <c r="T28" s="602">
        <f t="shared" si="4"/>
        <v>0</v>
      </c>
      <c r="U28" s="599">
        <f t="shared" si="4"/>
        <v>0</v>
      </c>
      <c r="V28" s="599">
        <f t="shared" si="4"/>
        <v>-158.67313160059263</v>
      </c>
      <c r="W28" s="599">
        <f t="shared" si="4"/>
        <v>-466.52356154092183</v>
      </c>
      <c r="X28" s="599">
        <f t="shared" si="4"/>
        <v>-843.75280106126093</v>
      </c>
      <c r="Y28" s="599">
        <f t="shared" si="4"/>
        <v>-1136.3809593032763</v>
      </c>
      <c r="Z28" s="599">
        <f t="shared" si="4"/>
        <v>-1284.799195008882</v>
      </c>
    </row>
    <row r="29" spans="1:26" x14ac:dyDescent="0.35">
      <c r="A29" s="820"/>
      <c r="B29" s="71"/>
      <c r="C29" s="71"/>
      <c r="D29" s="71"/>
      <c r="E29" s="595"/>
      <c r="F29" s="78"/>
      <c r="G29" s="594"/>
      <c r="H29" s="71"/>
      <c r="I29" s="71"/>
      <c r="J29" s="595"/>
      <c r="K29" s="78"/>
      <c r="L29" s="594"/>
      <c r="M29" s="71"/>
      <c r="N29" s="71"/>
      <c r="O29" s="595"/>
      <c r="P29" s="78"/>
      <c r="Q29" s="594"/>
      <c r="R29" s="71"/>
      <c r="S29" s="71"/>
      <c r="T29" s="595"/>
      <c r="U29" s="78"/>
      <c r="V29" s="78"/>
      <c r="W29" s="78"/>
      <c r="X29" s="78"/>
      <c r="Y29" s="78"/>
      <c r="Z29" s="78"/>
    </row>
    <row r="30" spans="1:26" x14ac:dyDescent="0.35">
      <c r="A30" s="821" t="s">
        <v>17</v>
      </c>
      <c r="B30" s="71"/>
      <c r="C30" s="71"/>
      <c r="D30" s="71"/>
      <c r="E30" s="595"/>
      <c r="F30" s="78"/>
      <c r="G30" s="594"/>
      <c r="H30" s="71"/>
      <c r="I30" s="71"/>
      <c r="J30" s="595"/>
      <c r="K30" s="78"/>
      <c r="L30" s="594"/>
      <c r="M30" s="71"/>
      <c r="N30" s="71"/>
      <c r="O30" s="595"/>
      <c r="P30" s="78"/>
      <c r="Q30" s="594"/>
      <c r="R30" s="71"/>
      <c r="S30" s="71"/>
      <c r="T30" s="595"/>
      <c r="U30" s="78"/>
      <c r="V30" s="78"/>
      <c r="W30" s="78"/>
      <c r="X30" s="78"/>
      <c r="Y30" s="78"/>
      <c r="Z30" s="78"/>
    </row>
    <row r="31" spans="1:26" x14ac:dyDescent="0.35">
      <c r="A31" s="820" t="s">
        <v>247</v>
      </c>
      <c r="B31" s="596">
        <f>IS!Q13</f>
        <v>0</v>
      </c>
      <c r="C31" s="596">
        <f>IS!R13</f>
        <v>0</v>
      </c>
      <c r="D31" s="596">
        <f>IS!S13</f>
        <v>0</v>
      </c>
      <c r="E31" s="597">
        <f>IS!T13</f>
        <v>0</v>
      </c>
      <c r="F31" s="597">
        <f>IS!U13</f>
        <v>0</v>
      </c>
      <c r="G31" s="596">
        <f>IS!V13</f>
        <v>0</v>
      </c>
      <c r="H31" s="596">
        <f>IS!W13</f>
        <v>0</v>
      </c>
      <c r="I31" s="596">
        <f>IS!X13</f>
        <v>0</v>
      </c>
      <c r="J31" s="597">
        <f>IS!Y13</f>
        <v>0</v>
      </c>
      <c r="K31" s="597" t="e">
        <f>IS!Z13</f>
        <v>#REF!</v>
      </c>
      <c r="L31" s="596" t="e">
        <f>IS!#REF!</f>
        <v>#REF!</v>
      </c>
      <c r="M31" s="596" t="e">
        <f>IS!#REF!</f>
        <v>#REF!</v>
      </c>
      <c r="N31" s="596" t="e">
        <f>IS!#REF!</f>
        <v>#REF!</v>
      </c>
      <c r="O31" s="597" t="e">
        <f>IS!#REF!</f>
        <v>#REF!</v>
      </c>
      <c r="P31" s="597" t="e">
        <f>IS!#REF!</f>
        <v>#REF!</v>
      </c>
      <c r="Q31" s="596">
        <f>IS!AA13</f>
        <v>0</v>
      </c>
      <c r="R31" s="596">
        <f>IS!AB13</f>
        <v>0</v>
      </c>
      <c r="S31" s="596">
        <f>IS!AC13</f>
        <v>0</v>
      </c>
      <c r="T31" s="597">
        <f>IS!AD13</f>
        <v>0</v>
      </c>
      <c r="U31" s="597">
        <f>IS!AE13</f>
        <v>0</v>
      </c>
      <c r="V31" s="597">
        <f>IS!AJ13</f>
        <v>0</v>
      </c>
      <c r="W31" s="597">
        <f>IS!AK13</f>
        <v>0</v>
      </c>
      <c r="X31" s="597">
        <f>IS!AL13</f>
        <v>0</v>
      </c>
      <c r="Y31" s="597">
        <f>IS!AM13</f>
        <v>1.2660424507696515</v>
      </c>
      <c r="Z31" s="597">
        <f>IS!AN13</f>
        <v>9.609995559057225</v>
      </c>
    </row>
    <row r="32" spans="1:26" x14ac:dyDescent="0.35">
      <c r="A32" s="820" t="s">
        <v>248</v>
      </c>
      <c r="B32" s="721">
        <v>0</v>
      </c>
      <c r="C32" s="721">
        <v>0</v>
      </c>
      <c r="D32" s="721">
        <v>0</v>
      </c>
      <c r="E32" s="722">
        <v>0</v>
      </c>
      <c r="F32" s="719">
        <v>0</v>
      </c>
      <c r="G32" s="720">
        <v>0</v>
      </c>
      <c r="H32" s="721">
        <v>0</v>
      </c>
      <c r="I32" s="721">
        <v>0</v>
      </c>
      <c r="J32" s="722">
        <v>0</v>
      </c>
      <c r="K32" s="719">
        <v>0</v>
      </c>
      <c r="L32" s="720">
        <v>0</v>
      </c>
      <c r="M32" s="721">
        <v>0</v>
      </c>
      <c r="N32" s="721">
        <v>0</v>
      </c>
      <c r="O32" s="722">
        <v>0</v>
      </c>
      <c r="P32" s="719">
        <v>0</v>
      </c>
      <c r="Q32" s="720">
        <v>0</v>
      </c>
      <c r="R32" s="721">
        <v>0</v>
      </c>
      <c r="S32" s="721">
        <v>0</v>
      </c>
      <c r="T32" s="722">
        <v>0</v>
      </c>
      <c r="U32" s="719">
        <v>0</v>
      </c>
      <c r="V32" s="719">
        <v>11.900484870044465</v>
      </c>
      <c r="W32" s="719">
        <v>34.092532189420012</v>
      </c>
      <c r="X32" s="719">
        <v>60.685668306871321</v>
      </c>
      <c r="Y32" s="719">
        <v>81.819095088001632</v>
      </c>
      <c r="Z32" s="719">
        <v>99.635214035050922</v>
      </c>
    </row>
    <row r="33" spans="1:26" x14ac:dyDescent="0.35">
      <c r="A33" s="820" t="s">
        <v>249</v>
      </c>
      <c r="B33" s="600">
        <f t="shared" ref="B33:E33" si="5">B31-B32</f>
        <v>0</v>
      </c>
      <c r="C33" s="600">
        <f t="shared" si="5"/>
        <v>0</v>
      </c>
      <c r="D33" s="600">
        <f t="shared" si="5"/>
        <v>0</v>
      </c>
      <c r="E33" s="602">
        <f t="shared" si="5"/>
        <v>0</v>
      </c>
      <c r="F33" s="599">
        <f>-(F31-F32)</f>
        <v>0</v>
      </c>
      <c r="G33" s="601">
        <f t="shared" ref="G33:J33" si="6">-(G31-G32)</f>
        <v>0</v>
      </c>
      <c r="H33" s="600">
        <f t="shared" si="6"/>
        <v>0</v>
      </c>
      <c r="I33" s="600">
        <f t="shared" si="6"/>
        <v>0</v>
      </c>
      <c r="J33" s="602">
        <f t="shared" si="6"/>
        <v>0</v>
      </c>
      <c r="K33" s="599" t="e">
        <f t="shared" ref="K33:Z33" si="7">-(K31-K32)</f>
        <v>#REF!</v>
      </c>
      <c r="L33" s="601" t="e">
        <f t="shared" si="7"/>
        <v>#REF!</v>
      </c>
      <c r="M33" s="600" t="e">
        <f t="shared" si="7"/>
        <v>#REF!</v>
      </c>
      <c r="N33" s="600" t="e">
        <f t="shared" si="7"/>
        <v>#REF!</v>
      </c>
      <c r="O33" s="602" t="e">
        <f t="shared" si="7"/>
        <v>#REF!</v>
      </c>
      <c r="P33" s="599" t="e">
        <f t="shared" si="7"/>
        <v>#REF!</v>
      </c>
      <c r="Q33" s="601">
        <f t="shared" si="7"/>
        <v>0</v>
      </c>
      <c r="R33" s="600">
        <f t="shared" si="7"/>
        <v>0</v>
      </c>
      <c r="S33" s="600">
        <f t="shared" si="7"/>
        <v>0</v>
      </c>
      <c r="T33" s="602">
        <f t="shared" si="7"/>
        <v>0</v>
      </c>
      <c r="U33" s="599">
        <f t="shared" si="7"/>
        <v>0</v>
      </c>
      <c r="V33" s="599">
        <f t="shared" si="7"/>
        <v>11.900484870044465</v>
      </c>
      <c r="W33" s="599">
        <f t="shared" si="7"/>
        <v>34.092532189420012</v>
      </c>
      <c r="X33" s="599">
        <f t="shared" si="7"/>
        <v>60.685668306871321</v>
      </c>
      <c r="Y33" s="599">
        <f t="shared" si="7"/>
        <v>80.553052637231985</v>
      </c>
      <c r="Z33" s="599">
        <f t="shared" si="7"/>
        <v>90.025218475993697</v>
      </c>
    </row>
    <row r="34" spans="1:26" x14ac:dyDescent="0.35">
      <c r="A34" s="820"/>
      <c r="B34" s="71"/>
      <c r="C34" s="71"/>
      <c r="D34" s="71"/>
      <c r="E34" s="595"/>
      <c r="F34" s="78"/>
      <c r="G34" s="594"/>
      <c r="H34" s="71"/>
      <c r="I34" s="71"/>
      <c r="J34" s="595"/>
      <c r="K34" s="78"/>
      <c r="L34" s="594"/>
      <c r="M34" s="71"/>
      <c r="N34" s="71"/>
      <c r="O34" s="595"/>
      <c r="P34" s="78"/>
      <c r="Q34" s="594"/>
      <c r="R34" s="71"/>
      <c r="S34" s="71"/>
      <c r="T34" s="595"/>
      <c r="U34" s="78"/>
      <c r="V34" s="78"/>
      <c r="W34" s="78"/>
      <c r="X34" s="78"/>
      <c r="Y34" s="78"/>
      <c r="Z34" s="78"/>
    </row>
    <row r="35" spans="1:26" x14ac:dyDescent="0.35">
      <c r="A35" s="821" t="s">
        <v>250</v>
      </c>
      <c r="B35" s="71"/>
      <c r="C35" s="71"/>
      <c r="D35" s="71"/>
      <c r="E35" s="595"/>
      <c r="F35" s="78"/>
      <c r="G35" s="594"/>
      <c r="H35" s="71"/>
      <c r="I35" s="71"/>
      <c r="J35" s="595"/>
      <c r="K35" s="78"/>
      <c r="L35" s="594"/>
      <c r="M35" s="71"/>
      <c r="N35" s="71"/>
      <c r="O35" s="595"/>
      <c r="P35" s="78"/>
      <c r="Q35" s="594"/>
      <c r="R35" s="71"/>
      <c r="S35" s="71"/>
      <c r="T35" s="595"/>
      <c r="U35" s="78"/>
      <c r="V35" s="78"/>
      <c r="W35" s="78"/>
      <c r="X35" s="78"/>
      <c r="Y35" s="78"/>
      <c r="Z35" s="78"/>
    </row>
    <row r="36" spans="1:26" x14ac:dyDescent="0.35">
      <c r="A36" s="820" t="s">
        <v>247</v>
      </c>
      <c r="B36" s="603"/>
      <c r="C36" s="603"/>
      <c r="D36" s="603"/>
      <c r="E36" s="603"/>
      <c r="F36" s="604"/>
      <c r="G36" s="603"/>
      <c r="H36" s="603"/>
      <c r="I36" s="603"/>
      <c r="J36" s="603"/>
      <c r="K36" s="604"/>
      <c r="L36" s="866"/>
      <c r="M36" s="603"/>
      <c r="N36" s="603"/>
      <c r="O36" s="867"/>
      <c r="P36" s="604"/>
      <c r="Q36" s="866"/>
      <c r="R36" s="603"/>
      <c r="S36" s="603"/>
      <c r="T36" s="867"/>
      <c r="U36" s="604"/>
      <c r="V36" s="604" t="str">
        <f>IS!AJ49</f>
        <v>NM</v>
      </c>
      <c r="W36" s="604" t="str">
        <f>IS!AK49</f>
        <v>NM</v>
      </c>
      <c r="X36" s="604" t="str">
        <f>IS!AL49</f>
        <v>NM</v>
      </c>
      <c r="Y36" s="604">
        <f>IS!AM49</f>
        <v>0.92500000000000004</v>
      </c>
      <c r="Z36" s="604">
        <f>IS!AN49</f>
        <v>0.92500000000000004</v>
      </c>
    </row>
    <row r="37" spans="1:26" x14ac:dyDescent="0.35">
      <c r="A37" s="820" t="s">
        <v>248</v>
      </c>
      <c r="B37" s="724"/>
      <c r="C37" s="724"/>
      <c r="D37" s="724"/>
      <c r="E37" s="725"/>
      <c r="F37" s="726"/>
      <c r="G37" s="723"/>
      <c r="H37" s="724"/>
      <c r="I37" s="724"/>
      <c r="J37" s="725"/>
      <c r="K37" s="726"/>
      <c r="L37" s="723"/>
      <c r="M37" s="724"/>
      <c r="N37" s="724"/>
      <c r="O37" s="725"/>
      <c r="P37" s="726"/>
      <c r="Q37" s="723"/>
      <c r="R37" s="724"/>
      <c r="S37" s="724"/>
      <c r="T37" s="725"/>
      <c r="U37" s="726"/>
      <c r="V37" s="726">
        <v>0.92499999999999993</v>
      </c>
      <c r="W37" s="726">
        <v>0.92692216428080765</v>
      </c>
      <c r="X37" s="726">
        <v>0.92807648373961937</v>
      </c>
      <c r="Y37" s="726">
        <v>0.92905417089522913</v>
      </c>
      <c r="Z37" s="726">
        <v>0.9294833856451572</v>
      </c>
    </row>
    <row r="38" spans="1:26" x14ac:dyDescent="0.35">
      <c r="A38" s="820" t="s">
        <v>249</v>
      </c>
      <c r="B38" s="606"/>
      <c r="C38" s="606"/>
      <c r="D38" s="606"/>
      <c r="E38" s="606"/>
      <c r="F38" s="605"/>
      <c r="G38" s="606"/>
      <c r="H38" s="606"/>
      <c r="I38" s="606"/>
      <c r="J38" s="606"/>
      <c r="K38" s="605"/>
      <c r="L38" s="868"/>
      <c r="M38" s="606"/>
      <c r="N38" s="606"/>
      <c r="O38" s="869"/>
      <c r="P38" s="605"/>
      <c r="Q38" s="868"/>
      <c r="R38" s="606"/>
      <c r="S38" s="606"/>
      <c r="T38" s="869"/>
      <c r="U38" s="605"/>
      <c r="V38" s="605" t="e">
        <f t="shared" ref="V38:Z38" si="8">V36-V37</f>
        <v>#VALUE!</v>
      </c>
      <c r="W38" s="605" t="e">
        <f t="shared" si="8"/>
        <v>#VALUE!</v>
      </c>
      <c r="X38" s="605" t="e">
        <f t="shared" si="8"/>
        <v>#VALUE!</v>
      </c>
      <c r="Y38" s="605">
        <f t="shared" si="8"/>
        <v>-4.0541708952290811E-3</v>
      </c>
      <c r="Z38" s="605">
        <f t="shared" si="8"/>
        <v>-4.4833856451571563E-3</v>
      </c>
    </row>
    <row r="39" spans="1:26" x14ac:dyDescent="0.35">
      <c r="A39" s="820"/>
      <c r="B39" s="71"/>
      <c r="C39" s="71"/>
      <c r="D39" s="71"/>
      <c r="E39" s="595"/>
      <c r="F39" s="78"/>
      <c r="G39" s="594"/>
      <c r="H39" s="71"/>
      <c r="I39" s="71"/>
      <c r="J39" s="595"/>
      <c r="K39" s="78"/>
      <c r="L39" s="594"/>
      <c r="M39" s="71"/>
      <c r="N39" s="71"/>
      <c r="O39" s="595"/>
      <c r="P39" s="78"/>
      <c r="Q39" s="594"/>
      <c r="R39" s="71"/>
      <c r="S39" s="71"/>
      <c r="T39" s="595"/>
      <c r="U39" s="78"/>
      <c r="V39" s="78"/>
      <c r="W39" s="78"/>
      <c r="X39" s="78"/>
      <c r="Y39" s="78"/>
      <c r="Z39" s="78"/>
    </row>
    <row r="40" spans="1:26" x14ac:dyDescent="0.35">
      <c r="A40" s="821" t="s">
        <v>20</v>
      </c>
      <c r="B40" s="71"/>
      <c r="C40" s="71"/>
      <c r="D40" s="71"/>
      <c r="E40" s="595"/>
      <c r="F40" s="78"/>
      <c r="G40" s="594"/>
      <c r="H40" s="71"/>
      <c r="I40" s="71"/>
      <c r="J40" s="595"/>
      <c r="K40" s="78"/>
      <c r="L40" s="594"/>
      <c r="M40" s="71"/>
      <c r="N40" s="71"/>
      <c r="O40" s="595"/>
      <c r="P40" s="78"/>
      <c r="Q40" s="594"/>
      <c r="R40" s="71"/>
      <c r="S40" s="71"/>
      <c r="T40" s="595"/>
      <c r="U40" s="78"/>
      <c r="V40" s="78"/>
      <c r="W40" s="78"/>
      <c r="X40" s="78"/>
      <c r="Y40" s="78"/>
      <c r="Z40" s="78"/>
    </row>
    <row r="41" spans="1:26" x14ac:dyDescent="0.35">
      <c r="A41" s="820" t="s">
        <v>247</v>
      </c>
      <c r="B41" s="596">
        <f>IS!Q18</f>
        <v>25.47</v>
      </c>
      <c r="C41" s="596">
        <f>IS!R18</f>
        <v>29.478999999999999</v>
      </c>
      <c r="D41" s="596">
        <f>IS!S18</f>
        <v>29.936</v>
      </c>
      <c r="E41" s="596">
        <f>IS!T18</f>
        <v>36.741999999999997</v>
      </c>
      <c r="F41" s="598">
        <f>IS!U18</f>
        <v>121.62699999999998</v>
      </c>
      <c r="G41" s="596">
        <f>IS!V18</f>
        <v>36.037999999999997</v>
      </c>
      <c r="H41" s="596">
        <f>IS!W18</f>
        <v>38.871000000000002</v>
      </c>
      <c r="I41" s="596">
        <f>IS!X18</f>
        <v>50.127000000000002</v>
      </c>
      <c r="J41" s="596">
        <f>IS!Y18</f>
        <v>48.719000000000001</v>
      </c>
      <c r="K41" s="598" t="e">
        <f>IS!Z18</f>
        <v>#REF!</v>
      </c>
      <c r="L41" s="870" t="e">
        <f>IS!#REF!</f>
        <v>#REF!</v>
      </c>
      <c r="M41" s="596" t="e">
        <f>IS!#REF!</f>
        <v>#REF!</v>
      </c>
      <c r="N41" s="596" t="e">
        <f>IS!#REF!</f>
        <v>#REF!</v>
      </c>
      <c r="O41" s="597" t="e">
        <f>IS!#REF!</f>
        <v>#REF!</v>
      </c>
      <c r="P41" s="598" t="e">
        <f>IS!#REF!</f>
        <v>#REF!</v>
      </c>
      <c r="Q41" s="870">
        <f>IS!AA18</f>
        <v>0</v>
      </c>
      <c r="R41" s="596">
        <f>IS!AB18</f>
        <v>0</v>
      </c>
      <c r="S41" s="596">
        <f>IS!AC18</f>
        <v>27.094000000000001</v>
      </c>
      <c r="T41" s="597">
        <f>IS!AD18</f>
        <v>64.623000000000005</v>
      </c>
      <c r="U41" s="598">
        <f>IS!AE18</f>
        <v>138.34899999999999</v>
      </c>
      <c r="V41" s="598">
        <f>IS!AJ18</f>
        <v>159.1</v>
      </c>
      <c r="W41" s="598">
        <f>IS!AK18</f>
        <v>165.37300000000002</v>
      </c>
      <c r="X41" s="598">
        <f>IS!AL18</f>
        <v>182.04209</v>
      </c>
      <c r="Y41" s="598">
        <f>IS!AM18</f>
        <v>164.86335270000001</v>
      </c>
      <c r="Z41" s="598">
        <f>IS!AN18</f>
        <v>152.769253281</v>
      </c>
    </row>
    <row r="42" spans="1:26" x14ac:dyDescent="0.35">
      <c r="A42" s="820" t="s">
        <v>248</v>
      </c>
      <c r="B42" s="721">
        <v>25.47</v>
      </c>
      <c r="C42" s="721">
        <v>29.478999999999999</v>
      </c>
      <c r="D42" s="721">
        <v>29.936</v>
      </c>
      <c r="E42" s="722">
        <v>36.741999999999997</v>
      </c>
      <c r="F42" s="926">
        <v>121.62699999999998</v>
      </c>
      <c r="G42" s="928">
        <v>36.037999999999997</v>
      </c>
      <c r="H42" s="928">
        <v>38.871000000000002</v>
      </c>
      <c r="I42" s="928">
        <v>50.127000000000002</v>
      </c>
      <c r="J42" s="928">
        <v>48.719000000000001</v>
      </c>
      <c r="K42" s="926">
        <v>173.75500000000002</v>
      </c>
      <c r="L42" s="927">
        <v>52.704999999999998</v>
      </c>
      <c r="M42" s="928">
        <v>54.293999999999997</v>
      </c>
      <c r="N42" s="928">
        <v>63.613999999999997</v>
      </c>
      <c r="O42" s="929">
        <v>62.045000000000002</v>
      </c>
      <c r="P42" s="926">
        <v>232.65800000000002</v>
      </c>
      <c r="Q42" s="927">
        <v>63.029000000000003</v>
      </c>
      <c r="R42" s="928">
        <v>62.203000000000003</v>
      </c>
      <c r="S42" s="928">
        <v>68.989000000000004</v>
      </c>
      <c r="T42" s="929">
        <v>60.604708875</v>
      </c>
      <c r="U42" s="926">
        <v>254.825708875</v>
      </c>
      <c r="V42" s="926">
        <v>225.77522014125003</v>
      </c>
      <c r="W42" s="926">
        <v>211.10047037048753</v>
      </c>
      <c r="X42" s="926">
        <v>213.77534975160214</v>
      </c>
      <c r="Y42" s="926">
        <v>193.0586102441502</v>
      </c>
      <c r="Z42" s="926">
        <v>123.57101855147469</v>
      </c>
    </row>
    <row r="43" spans="1:26" x14ac:dyDescent="0.35">
      <c r="A43" s="820" t="s">
        <v>249</v>
      </c>
      <c r="B43" s="600">
        <f t="shared" ref="B43:F43" si="9">-(B41-B42)</f>
        <v>0</v>
      </c>
      <c r="C43" s="600">
        <f t="shared" si="9"/>
        <v>0</v>
      </c>
      <c r="D43" s="600">
        <f t="shared" si="9"/>
        <v>0</v>
      </c>
      <c r="E43" s="602">
        <f t="shared" si="9"/>
        <v>0</v>
      </c>
      <c r="F43" s="599">
        <f t="shared" si="9"/>
        <v>0</v>
      </c>
      <c r="G43" s="601">
        <f>-(G41-G42)</f>
        <v>0</v>
      </c>
      <c r="H43" s="600">
        <f t="shared" ref="H43:Z43" si="10">-(H41-H42)</f>
        <v>0</v>
      </c>
      <c r="I43" s="600">
        <f t="shared" si="10"/>
        <v>0</v>
      </c>
      <c r="J43" s="602">
        <f t="shared" si="10"/>
        <v>0</v>
      </c>
      <c r="K43" s="599" t="e">
        <f t="shared" si="10"/>
        <v>#REF!</v>
      </c>
      <c r="L43" s="601" t="e">
        <f t="shared" si="10"/>
        <v>#REF!</v>
      </c>
      <c r="M43" s="600" t="e">
        <f t="shared" si="10"/>
        <v>#REF!</v>
      </c>
      <c r="N43" s="600" t="e">
        <f t="shared" si="10"/>
        <v>#REF!</v>
      </c>
      <c r="O43" s="602" t="e">
        <f t="shared" si="10"/>
        <v>#REF!</v>
      </c>
      <c r="P43" s="599" t="e">
        <f t="shared" si="10"/>
        <v>#REF!</v>
      </c>
      <c r="Q43" s="601">
        <f t="shared" si="10"/>
        <v>63.029000000000003</v>
      </c>
      <c r="R43" s="600">
        <f t="shared" si="10"/>
        <v>62.203000000000003</v>
      </c>
      <c r="S43" s="600">
        <f t="shared" si="10"/>
        <v>41.895000000000003</v>
      </c>
      <c r="T43" s="602">
        <f t="shared" si="10"/>
        <v>-4.0182911250000046</v>
      </c>
      <c r="U43" s="599">
        <f t="shared" si="10"/>
        <v>116.47670887500001</v>
      </c>
      <c r="V43" s="599">
        <f t="shared" si="10"/>
        <v>66.675220141250037</v>
      </c>
      <c r="W43" s="599">
        <f t="shared" si="10"/>
        <v>45.727470370487509</v>
      </c>
      <c r="X43" s="599">
        <f t="shared" si="10"/>
        <v>31.733259751602134</v>
      </c>
      <c r="Y43" s="599">
        <f t="shared" si="10"/>
        <v>28.195257544150195</v>
      </c>
      <c r="Z43" s="599">
        <f t="shared" si="10"/>
        <v>-29.198234729525311</v>
      </c>
    </row>
    <row r="44" spans="1:26" x14ac:dyDescent="0.35">
      <c r="A44" s="820"/>
      <c r="B44" s="71"/>
      <c r="C44" s="71"/>
      <c r="D44" s="71"/>
      <c r="E44" s="595"/>
      <c r="F44" s="78"/>
      <c r="G44" s="594"/>
      <c r="H44" s="71"/>
      <c r="I44" s="71"/>
      <c r="J44" s="595"/>
      <c r="K44" s="78"/>
      <c r="L44" s="594"/>
      <c r="M44" s="71"/>
      <c r="N44" s="71"/>
      <c r="O44" s="595"/>
      <c r="P44" s="78"/>
      <c r="Q44" s="594"/>
      <c r="R44" s="71"/>
      <c r="S44" s="71"/>
      <c r="T44" s="595"/>
      <c r="U44" s="78"/>
      <c r="V44" s="78"/>
      <c r="W44" s="78"/>
      <c r="X44" s="78"/>
      <c r="Y44" s="78"/>
      <c r="Z44" s="78"/>
    </row>
    <row r="45" spans="1:26" x14ac:dyDescent="0.35">
      <c r="A45" s="821" t="s">
        <v>19</v>
      </c>
      <c r="B45" s="71"/>
      <c r="C45" s="71"/>
      <c r="D45" s="71"/>
      <c r="E45" s="595"/>
      <c r="F45" s="78"/>
      <c r="G45" s="594"/>
      <c r="H45" s="71"/>
      <c r="I45" s="71"/>
      <c r="J45" s="595"/>
      <c r="K45" s="78"/>
      <c r="L45" s="594"/>
      <c r="M45" s="71"/>
      <c r="N45" s="71"/>
      <c r="O45" s="595"/>
      <c r="P45" s="78"/>
      <c r="Q45" s="594"/>
      <c r="R45" s="71"/>
      <c r="S45" s="71"/>
      <c r="T45" s="595"/>
      <c r="U45" s="78"/>
      <c r="V45" s="78"/>
      <c r="W45" s="78"/>
      <c r="X45" s="78"/>
      <c r="Y45" s="78"/>
      <c r="Z45" s="78"/>
    </row>
    <row r="46" spans="1:26" x14ac:dyDescent="0.35">
      <c r="A46" s="820" t="s">
        <v>247</v>
      </c>
      <c r="B46" s="596">
        <f>IS!Q16</f>
        <v>5.9480000000000004</v>
      </c>
      <c r="C46" s="596">
        <f>IS!R16</f>
        <v>6.3760000000000003</v>
      </c>
      <c r="D46" s="596">
        <f>IS!S16</f>
        <v>6.8849999999999998</v>
      </c>
      <c r="E46" s="596">
        <f>IS!T16</f>
        <v>7.0030000000000001</v>
      </c>
      <c r="F46" s="598">
        <f>IS!U16</f>
        <v>26.212000000000003</v>
      </c>
      <c r="G46" s="596">
        <f>IS!V16</f>
        <v>7.1989999999999998</v>
      </c>
      <c r="H46" s="596">
        <f>IS!W16</f>
        <v>8.2140000000000004</v>
      </c>
      <c r="I46" s="596">
        <f>IS!X16</f>
        <v>9.4529999999999994</v>
      </c>
      <c r="J46" s="596">
        <f>IS!Y16</f>
        <v>9.5079999999999991</v>
      </c>
      <c r="K46" s="598" t="e">
        <f>IS!Z16</f>
        <v>#REF!</v>
      </c>
      <c r="L46" s="870" t="e">
        <f>IS!#REF!</f>
        <v>#REF!</v>
      </c>
      <c r="M46" s="596" t="e">
        <f>IS!#REF!</f>
        <v>#REF!</v>
      </c>
      <c r="N46" s="596" t="e">
        <f>IS!#REF!</f>
        <v>#REF!</v>
      </c>
      <c r="O46" s="597" t="e">
        <f>IS!#REF!</f>
        <v>#REF!</v>
      </c>
      <c r="P46" s="598" t="e">
        <f>IS!#REF!</f>
        <v>#REF!</v>
      </c>
      <c r="Q46" s="870">
        <f>IS!AA16</f>
        <v>0</v>
      </c>
      <c r="R46" s="596">
        <f>IS!AB16</f>
        <v>0</v>
      </c>
      <c r="S46" s="596">
        <f>IS!AC16</f>
        <v>4.4039999999999999</v>
      </c>
      <c r="T46" s="597">
        <f>IS!AD16</f>
        <v>18.754999999999999</v>
      </c>
      <c r="U46" s="598">
        <f>IS!AE16</f>
        <v>30.734000000000002</v>
      </c>
      <c r="V46" s="598">
        <f>IS!AJ16</f>
        <v>57.3</v>
      </c>
      <c r="W46" s="598">
        <f>IS!AK16</f>
        <v>59.019000000000005</v>
      </c>
      <c r="X46" s="598">
        <f>IS!AL16</f>
        <v>81.646818912500009</v>
      </c>
      <c r="Y46" s="598">
        <f>IS!AM16</f>
        <v>116.54431528420001</v>
      </c>
      <c r="Z46" s="598">
        <f>IS!AN16</f>
        <v>139.94301326206352</v>
      </c>
    </row>
    <row r="47" spans="1:26" x14ac:dyDescent="0.35">
      <c r="A47" s="820" t="s">
        <v>248</v>
      </c>
      <c r="B47" s="721">
        <v>5.9480000000000004</v>
      </c>
      <c r="C47" s="721">
        <v>6.3760000000000003</v>
      </c>
      <c r="D47" s="721">
        <v>6.8849999999999998</v>
      </c>
      <c r="E47" s="722">
        <v>7.0030000000000001</v>
      </c>
      <c r="F47" s="930">
        <v>26.212000000000003</v>
      </c>
      <c r="G47" s="932">
        <v>7.1989999999999998</v>
      </c>
      <c r="H47" s="932">
        <v>8.2140000000000004</v>
      </c>
      <c r="I47" s="932">
        <v>9.4529999999999994</v>
      </c>
      <c r="J47" s="932">
        <v>9.5079999999999991</v>
      </c>
      <c r="K47" s="930">
        <v>34.375</v>
      </c>
      <c r="L47" s="931">
        <v>9.6989999999999998</v>
      </c>
      <c r="M47" s="932">
        <v>10.093</v>
      </c>
      <c r="N47" s="932">
        <v>11.8</v>
      </c>
      <c r="O47" s="933">
        <v>11.689</v>
      </c>
      <c r="P47" s="930">
        <v>43.281000000000006</v>
      </c>
      <c r="Q47" s="931">
        <v>11.904</v>
      </c>
      <c r="R47" s="932">
        <v>13.378</v>
      </c>
      <c r="S47" s="932">
        <v>14.366</v>
      </c>
      <c r="T47" s="933">
        <v>13.5</v>
      </c>
      <c r="U47" s="930">
        <v>53.147999999999996</v>
      </c>
      <c r="V47" s="930">
        <v>105.91123999999999</v>
      </c>
      <c r="W47" s="930">
        <v>188.24098319999999</v>
      </c>
      <c r="X47" s="930">
        <v>194.76821269600001</v>
      </c>
      <c r="Y47" s="930">
        <v>200.95790064075001</v>
      </c>
      <c r="Z47" s="930">
        <v>207.36793205511992</v>
      </c>
    </row>
    <row r="48" spans="1:26" x14ac:dyDescent="0.35">
      <c r="A48" s="820" t="s">
        <v>249</v>
      </c>
      <c r="B48" s="600">
        <f t="shared" ref="B48" si="11">-(B46-B47)</f>
        <v>0</v>
      </c>
      <c r="C48" s="600">
        <f t="shared" ref="C48" si="12">-(C46-C47)</f>
        <v>0</v>
      </c>
      <c r="D48" s="600">
        <f t="shared" ref="D48" si="13">-(D46-D47)</f>
        <v>0</v>
      </c>
      <c r="E48" s="602">
        <f t="shared" ref="E48" si="14">-(E46-E47)</f>
        <v>0</v>
      </c>
      <c r="F48" s="599">
        <f t="shared" ref="F48" si="15">-(F46-F47)</f>
        <v>0</v>
      </c>
      <c r="G48" s="601">
        <f>-(G46-G47)</f>
        <v>0</v>
      </c>
      <c r="H48" s="600">
        <f t="shared" ref="H48" si="16">-(H46-H47)</f>
        <v>0</v>
      </c>
      <c r="I48" s="600">
        <f t="shared" ref="I48" si="17">-(I46-I47)</f>
        <v>0</v>
      </c>
      <c r="J48" s="602">
        <f t="shared" ref="J48" si="18">-(J46-J47)</f>
        <v>0</v>
      </c>
      <c r="K48" s="599" t="e">
        <f t="shared" ref="K48:T48" si="19">-(K46-K47)</f>
        <v>#REF!</v>
      </c>
      <c r="L48" s="601" t="e">
        <f t="shared" si="19"/>
        <v>#REF!</v>
      </c>
      <c r="M48" s="600" t="e">
        <f t="shared" si="19"/>
        <v>#REF!</v>
      </c>
      <c r="N48" s="600" t="e">
        <f t="shared" si="19"/>
        <v>#REF!</v>
      </c>
      <c r="O48" s="602" t="e">
        <f t="shared" si="19"/>
        <v>#REF!</v>
      </c>
      <c r="P48" s="599" t="e">
        <f t="shared" ref="P48" si="20">-(P46-P47)</f>
        <v>#REF!</v>
      </c>
      <c r="Q48" s="601">
        <f t="shared" si="19"/>
        <v>11.904</v>
      </c>
      <c r="R48" s="600">
        <f t="shared" si="19"/>
        <v>13.378</v>
      </c>
      <c r="S48" s="600">
        <f t="shared" si="19"/>
        <v>9.9619999999999997</v>
      </c>
      <c r="T48" s="602">
        <f t="shared" si="19"/>
        <v>-5.254999999999999</v>
      </c>
      <c r="U48" s="599">
        <f t="shared" ref="U48" si="21">-(U46-U47)</f>
        <v>22.413999999999994</v>
      </c>
      <c r="V48" s="599">
        <f t="shared" ref="V48" si="22">-(V46-V47)</f>
        <v>48.611239999999995</v>
      </c>
      <c r="W48" s="599">
        <f t="shared" ref="W48" si="23">-(W46-W47)</f>
        <v>129.22198319999998</v>
      </c>
      <c r="X48" s="599">
        <f t="shared" ref="X48" si="24">-(X46-X47)</f>
        <v>113.1213937835</v>
      </c>
      <c r="Y48" s="599">
        <f t="shared" ref="Y48" si="25">-(Y46-Y47)</f>
        <v>84.413585356550001</v>
      </c>
      <c r="Z48" s="599">
        <f t="shared" ref="Z48" si="26">-(Z46-Z47)</f>
        <v>67.424918793056406</v>
      </c>
    </row>
    <row r="49" spans="1:33" x14ac:dyDescent="0.35">
      <c r="A49" s="820"/>
      <c r="B49" s="71"/>
      <c r="C49" s="71"/>
      <c r="D49" s="71"/>
      <c r="E49" s="595"/>
      <c r="F49" s="78"/>
      <c r="G49" s="594"/>
      <c r="H49" s="71"/>
      <c r="I49" s="71"/>
      <c r="J49" s="595"/>
      <c r="K49" s="78"/>
      <c r="L49" s="594"/>
      <c r="M49" s="71"/>
      <c r="N49" s="71"/>
      <c r="O49" s="595"/>
      <c r="P49" s="78"/>
      <c r="Q49" s="594"/>
      <c r="R49" s="71"/>
      <c r="S49" s="71"/>
      <c r="T49" s="595"/>
      <c r="U49" s="78"/>
      <c r="V49" s="78"/>
      <c r="W49" s="78"/>
      <c r="X49" s="78"/>
      <c r="Y49" s="78"/>
      <c r="Z49" s="78"/>
    </row>
    <row r="50" spans="1:33" x14ac:dyDescent="0.35">
      <c r="A50" s="821" t="s">
        <v>251</v>
      </c>
      <c r="B50" s="71"/>
      <c r="C50" s="71"/>
      <c r="D50" s="71"/>
      <c r="E50" s="595"/>
      <c r="F50" s="78"/>
      <c r="G50" s="594"/>
      <c r="H50" s="71"/>
      <c r="I50" s="71"/>
      <c r="J50" s="595"/>
      <c r="K50" s="78"/>
      <c r="L50" s="594"/>
      <c r="M50" s="71"/>
      <c r="N50" s="71"/>
      <c r="O50" s="595"/>
      <c r="P50" s="78"/>
      <c r="Q50" s="594"/>
      <c r="R50" s="71"/>
      <c r="S50" s="71"/>
      <c r="T50" s="595"/>
      <c r="U50" s="78"/>
      <c r="V50" s="78"/>
      <c r="W50" s="78"/>
      <c r="X50" s="78"/>
      <c r="Y50" s="78"/>
      <c r="Z50" s="78"/>
    </row>
    <row r="51" spans="1:33" x14ac:dyDescent="0.35">
      <c r="A51" s="820" t="s">
        <v>247</v>
      </c>
      <c r="B51" s="596">
        <f>IS!Q24</f>
        <v>-31.417999999999999</v>
      </c>
      <c r="C51" s="596">
        <f>IS!R24</f>
        <v>-35.854999999999997</v>
      </c>
      <c r="D51" s="596">
        <f>IS!S24</f>
        <v>-36.820999999999998</v>
      </c>
      <c r="E51" s="596">
        <f>IS!T24</f>
        <v>-43.744999999999997</v>
      </c>
      <c r="F51" s="598">
        <f>IS!U24</f>
        <v>-147.839</v>
      </c>
      <c r="G51" s="596">
        <f>IS!V24</f>
        <v>-43.236999999999995</v>
      </c>
      <c r="H51" s="596">
        <f>IS!W24</f>
        <v>-47.085000000000001</v>
      </c>
      <c r="I51" s="596">
        <f>IS!X24</f>
        <v>-59.58</v>
      </c>
      <c r="J51" s="596">
        <f>IS!Y24</f>
        <v>-58.227000000000004</v>
      </c>
      <c r="K51" s="598" t="e">
        <f>IS!Z24</f>
        <v>#REF!</v>
      </c>
      <c r="L51" s="870" t="e">
        <f>IS!#REF!</f>
        <v>#REF!</v>
      </c>
      <c r="M51" s="596" t="e">
        <f>IS!#REF!</f>
        <v>#REF!</v>
      </c>
      <c r="N51" s="596" t="e">
        <f>IS!#REF!</f>
        <v>#REF!</v>
      </c>
      <c r="O51" s="597" t="e">
        <f>IS!#REF!</f>
        <v>#REF!</v>
      </c>
      <c r="P51" s="598" t="e">
        <f>IS!#REF!</f>
        <v>#REF!</v>
      </c>
      <c r="Q51" s="870">
        <f>IS!AA24</f>
        <v>0</v>
      </c>
      <c r="R51" s="596">
        <f>IS!AB24</f>
        <v>0</v>
      </c>
      <c r="S51" s="596">
        <f>IS!AC24</f>
        <v>-31.498000000000001</v>
      </c>
      <c r="T51" s="597">
        <f>IS!AD24</f>
        <v>-83.378</v>
      </c>
      <c r="U51" s="598">
        <f>IS!AE24</f>
        <v>-169.083</v>
      </c>
      <c r="V51" s="598">
        <f>IS!AJ24</f>
        <v>-216.39999999999998</v>
      </c>
      <c r="W51" s="598">
        <f>IS!AK24</f>
        <v>-224.39200000000002</v>
      </c>
      <c r="X51" s="598">
        <f>IS!AL24</f>
        <v>-263.68890891249998</v>
      </c>
      <c r="Y51" s="598">
        <f>IS!AM24</f>
        <v>-265.79314442470763</v>
      </c>
      <c r="Z51" s="598">
        <f>IS!AN24</f>
        <v>-174.18898798135768</v>
      </c>
    </row>
    <row r="52" spans="1:33" x14ac:dyDescent="0.35">
      <c r="A52" s="820" t="s">
        <v>248</v>
      </c>
      <c r="B52" s="721">
        <v>-31.417999999999999</v>
      </c>
      <c r="C52" s="721">
        <v>-35.854999999999997</v>
      </c>
      <c r="D52" s="721">
        <v>-36.820999999999998</v>
      </c>
      <c r="E52" s="722">
        <v>-43.744999999999997</v>
      </c>
      <c r="F52" s="934">
        <v>-147.839</v>
      </c>
      <c r="G52" s="936">
        <v>-43.236999999999995</v>
      </c>
      <c r="H52" s="936">
        <v>-47.085000000000001</v>
      </c>
      <c r="I52" s="936">
        <v>-59.58</v>
      </c>
      <c r="J52" s="936">
        <v>-58.227000000000004</v>
      </c>
      <c r="K52" s="934">
        <v>-208.13000000000002</v>
      </c>
      <c r="L52" s="935">
        <v>-62.403999999999996</v>
      </c>
      <c r="M52" s="936">
        <v>-64.387</v>
      </c>
      <c r="N52" s="936">
        <v>-75.414000000000001</v>
      </c>
      <c r="O52" s="937">
        <v>-73.734000000000009</v>
      </c>
      <c r="P52" s="934">
        <v>-275.93900000000002</v>
      </c>
      <c r="Q52" s="935">
        <v>-74.933000000000007</v>
      </c>
      <c r="R52" s="936">
        <v>-75.581000000000003</v>
      </c>
      <c r="S52" s="936">
        <v>-83.355000000000004</v>
      </c>
      <c r="T52" s="937">
        <v>-74.104708875</v>
      </c>
      <c r="U52" s="934">
        <v>-307.973708875</v>
      </c>
      <c r="V52" s="934">
        <v>-184.91381341070186</v>
      </c>
      <c r="W52" s="934">
        <v>33.089575781014304</v>
      </c>
      <c r="X52" s="934">
        <v>374.52357030678752</v>
      </c>
      <c r="Y52" s="934">
        <v>677.42591934063648</v>
      </c>
      <c r="Z52" s="934">
        <v>982.35830448799948</v>
      </c>
    </row>
    <row r="53" spans="1:33" x14ac:dyDescent="0.35">
      <c r="A53" s="820" t="s">
        <v>249</v>
      </c>
      <c r="B53" s="600">
        <f t="shared" ref="B53:Z53" si="27">B51-B52</f>
        <v>0</v>
      </c>
      <c r="C53" s="600">
        <f t="shared" si="27"/>
        <v>0</v>
      </c>
      <c r="D53" s="600">
        <f t="shared" si="27"/>
        <v>0</v>
      </c>
      <c r="E53" s="602">
        <f t="shared" si="27"/>
        <v>0</v>
      </c>
      <c r="F53" s="599">
        <f t="shared" si="27"/>
        <v>0</v>
      </c>
      <c r="G53" s="601">
        <f t="shared" si="27"/>
        <v>0</v>
      </c>
      <c r="H53" s="600">
        <f t="shared" si="27"/>
        <v>0</v>
      </c>
      <c r="I53" s="600">
        <f t="shared" si="27"/>
        <v>0</v>
      </c>
      <c r="J53" s="602">
        <f t="shared" si="27"/>
        <v>0</v>
      </c>
      <c r="K53" s="599" t="e">
        <f t="shared" si="27"/>
        <v>#REF!</v>
      </c>
      <c r="L53" s="601" t="e">
        <f t="shared" si="27"/>
        <v>#REF!</v>
      </c>
      <c r="M53" s="600" t="e">
        <f t="shared" si="27"/>
        <v>#REF!</v>
      </c>
      <c r="N53" s="600" t="e">
        <f t="shared" si="27"/>
        <v>#REF!</v>
      </c>
      <c r="O53" s="602" t="e">
        <f t="shared" si="27"/>
        <v>#REF!</v>
      </c>
      <c r="P53" s="599" t="e">
        <f t="shared" si="27"/>
        <v>#REF!</v>
      </c>
      <c r="Q53" s="601">
        <f t="shared" si="27"/>
        <v>74.933000000000007</v>
      </c>
      <c r="R53" s="600">
        <f t="shared" si="27"/>
        <v>75.581000000000003</v>
      </c>
      <c r="S53" s="600">
        <f t="shared" si="27"/>
        <v>51.856999999999999</v>
      </c>
      <c r="T53" s="602">
        <f t="shared" si="27"/>
        <v>-9.2732911250000001</v>
      </c>
      <c r="U53" s="599">
        <f t="shared" si="27"/>
        <v>138.890708875</v>
      </c>
      <c r="V53" s="599">
        <f t="shared" si="27"/>
        <v>-31.486186589298114</v>
      </c>
      <c r="W53" s="599">
        <f t="shared" si="27"/>
        <v>-257.48157578101433</v>
      </c>
      <c r="X53" s="599">
        <f t="shared" si="27"/>
        <v>-638.2124792192875</v>
      </c>
      <c r="Y53" s="599">
        <f t="shared" si="27"/>
        <v>-943.21906376534412</v>
      </c>
      <c r="Z53" s="599">
        <f t="shared" si="27"/>
        <v>-1156.5472924693572</v>
      </c>
    </row>
    <row r="54" spans="1:33" x14ac:dyDescent="0.35">
      <c r="A54" s="820"/>
      <c r="B54" s="71"/>
      <c r="C54" s="71"/>
      <c r="D54" s="71"/>
      <c r="E54" s="595"/>
      <c r="F54" s="78"/>
      <c r="G54" s="594"/>
      <c r="H54" s="71"/>
      <c r="I54" s="71"/>
      <c r="J54" s="595"/>
      <c r="K54" s="78"/>
      <c r="L54" s="594"/>
      <c r="M54" s="71"/>
      <c r="N54" s="71"/>
      <c r="O54" s="595"/>
      <c r="P54" s="78"/>
      <c r="Q54" s="594"/>
      <c r="R54" s="71"/>
      <c r="S54" s="71"/>
      <c r="T54" s="595"/>
      <c r="U54" s="78"/>
      <c r="V54" s="78"/>
      <c r="W54" s="78"/>
      <c r="X54" s="78"/>
      <c r="Y54" s="78"/>
      <c r="Z54" s="78"/>
    </row>
    <row r="55" spans="1:33" x14ac:dyDescent="0.35">
      <c r="A55" s="821" t="s">
        <v>31</v>
      </c>
      <c r="B55" s="71"/>
      <c r="C55" s="71"/>
      <c r="D55" s="71"/>
      <c r="E55" s="595"/>
      <c r="F55" s="78"/>
      <c r="G55" s="594"/>
      <c r="H55" s="71"/>
      <c r="I55" s="71"/>
      <c r="J55" s="595"/>
      <c r="K55" s="78"/>
      <c r="L55" s="594"/>
      <c r="M55" s="71"/>
      <c r="N55" s="71"/>
      <c r="O55" s="595"/>
      <c r="P55" s="78"/>
      <c r="Q55" s="594"/>
      <c r="R55" s="71"/>
      <c r="S55" s="71"/>
      <c r="T55" s="595"/>
      <c r="U55" s="78"/>
      <c r="V55" s="78"/>
      <c r="W55" s="78"/>
      <c r="X55" s="78"/>
      <c r="Y55" s="78"/>
      <c r="Z55" s="78"/>
    </row>
    <row r="56" spans="1:33" x14ac:dyDescent="0.35">
      <c r="A56" s="820" t="s">
        <v>247</v>
      </c>
      <c r="B56" s="603"/>
      <c r="C56" s="603"/>
      <c r="D56" s="603"/>
      <c r="E56" s="603"/>
      <c r="F56" s="604"/>
      <c r="G56" s="603"/>
      <c r="H56" s="603"/>
      <c r="I56" s="603"/>
      <c r="J56" s="603"/>
      <c r="K56" s="604"/>
      <c r="L56" s="866"/>
      <c r="M56" s="603"/>
      <c r="N56" s="603"/>
      <c r="O56" s="867"/>
      <c r="P56" s="604"/>
      <c r="Q56" s="866"/>
      <c r="R56" s="603"/>
      <c r="S56" s="603"/>
      <c r="T56" s="867"/>
      <c r="U56" s="604"/>
      <c r="V56" s="604" t="str">
        <f>IS!AJ53</f>
        <v>NM</v>
      </c>
      <c r="W56" s="604" t="str">
        <f>IS!AK53</f>
        <v>NM</v>
      </c>
      <c r="X56" s="604" t="str">
        <f>IS!AL53</f>
        <v>NM</v>
      </c>
      <c r="Y56" s="604">
        <f>IS!AM53</f>
        <v>-15.745511392398027</v>
      </c>
      <c r="Z56" s="604">
        <f>IS!AN53</f>
        <v>-1.3594360182912992</v>
      </c>
    </row>
    <row r="57" spans="1:33" x14ac:dyDescent="0.35">
      <c r="A57" s="820" t="s">
        <v>248</v>
      </c>
      <c r="B57" s="724"/>
      <c r="C57" s="724"/>
      <c r="D57" s="724"/>
      <c r="E57" s="725"/>
      <c r="F57" s="726"/>
      <c r="G57" s="723"/>
      <c r="H57" s="724"/>
      <c r="I57" s="724"/>
      <c r="J57" s="725"/>
      <c r="K57" s="726"/>
      <c r="L57" s="723"/>
      <c r="M57" s="724"/>
      <c r="N57" s="724"/>
      <c r="O57" s="725"/>
      <c r="P57" s="726"/>
      <c r="Q57" s="723"/>
      <c r="R57" s="724"/>
      <c r="S57" s="724"/>
      <c r="T57" s="725"/>
      <c r="U57" s="726"/>
      <c r="V57" s="938">
        <v>-1.1653757100865791</v>
      </c>
      <c r="W57" s="938">
        <v>7.0927984155226428E-2</v>
      </c>
      <c r="X57" s="938">
        <v>0.44387831345355749</v>
      </c>
      <c r="Y57" s="938">
        <v>0.58740008616559369</v>
      </c>
      <c r="Z57" s="938">
        <v>0.69526203548363807</v>
      </c>
    </row>
    <row r="58" spans="1:33" x14ac:dyDescent="0.35">
      <c r="A58" s="820" t="s">
        <v>249</v>
      </c>
      <c r="B58" s="606"/>
      <c r="C58" s="606"/>
      <c r="D58" s="606"/>
      <c r="E58" s="606"/>
      <c r="F58" s="605"/>
      <c r="G58" s="606"/>
      <c r="H58" s="606"/>
      <c r="I58" s="606"/>
      <c r="J58" s="606"/>
      <c r="K58" s="605"/>
      <c r="L58" s="868"/>
      <c r="M58" s="606"/>
      <c r="N58" s="606"/>
      <c r="O58" s="869"/>
      <c r="P58" s="605"/>
      <c r="Q58" s="868"/>
      <c r="R58" s="606"/>
      <c r="S58" s="606"/>
      <c r="T58" s="869"/>
      <c r="U58" s="605"/>
      <c r="V58" s="605" t="e">
        <f t="shared" ref="V58:Z58" si="28">-(V56-V57)</f>
        <v>#VALUE!</v>
      </c>
      <c r="W58" s="605" t="e">
        <f t="shared" si="28"/>
        <v>#VALUE!</v>
      </c>
      <c r="X58" s="605" t="e">
        <f t="shared" si="28"/>
        <v>#VALUE!</v>
      </c>
      <c r="Y58" s="605">
        <f t="shared" si="28"/>
        <v>16.33291147856362</v>
      </c>
      <c r="Z58" s="605">
        <f t="shared" si="28"/>
        <v>2.0546980537749375</v>
      </c>
    </row>
    <row r="59" spans="1:33" x14ac:dyDescent="0.35">
      <c r="A59" s="820"/>
      <c r="B59" s="71"/>
      <c r="C59" s="71"/>
      <c r="D59" s="71"/>
      <c r="E59" s="595"/>
      <c r="F59" s="78"/>
      <c r="G59" s="594"/>
      <c r="H59" s="71"/>
      <c r="I59" s="71"/>
      <c r="J59" s="595"/>
      <c r="K59" s="78"/>
      <c r="L59" s="594"/>
      <c r="M59" s="71"/>
      <c r="N59" s="71"/>
      <c r="O59" s="595"/>
      <c r="P59" s="78"/>
      <c r="Q59" s="594"/>
      <c r="R59" s="71"/>
      <c r="S59" s="71"/>
      <c r="T59" s="595"/>
      <c r="U59" s="78"/>
      <c r="V59" s="78"/>
      <c r="W59" s="78"/>
      <c r="X59" s="78"/>
      <c r="Y59" s="78"/>
      <c r="Z59" s="78"/>
    </row>
    <row r="60" spans="1:33" x14ac:dyDescent="0.35">
      <c r="A60" s="821" t="s">
        <v>197</v>
      </c>
      <c r="B60" s="71"/>
      <c r="C60" s="71"/>
      <c r="D60" s="71"/>
      <c r="E60" s="595"/>
      <c r="F60" s="78"/>
      <c r="G60" s="594"/>
      <c r="H60" s="71"/>
      <c r="I60" s="71"/>
      <c r="J60" s="595"/>
      <c r="K60" s="78"/>
      <c r="L60" s="594"/>
      <c r="M60" s="71"/>
      <c r="N60" s="71"/>
      <c r="O60" s="595"/>
      <c r="P60" s="78"/>
      <c r="Q60" s="594"/>
      <c r="R60" s="71"/>
      <c r="S60" s="71"/>
      <c r="T60" s="595"/>
      <c r="U60" s="78"/>
      <c r="V60" s="78"/>
      <c r="W60" s="78"/>
      <c r="X60" s="78"/>
      <c r="Y60" s="78"/>
      <c r="Z60" s="78"/>
    </row>
    <row r="61" spans="1:33" x14ac:dyDescent="0.35">
      <c r="A61" s="820" t="s">
        <v>247</v>
      </c>
      <c r="B61" s="607" t="e">
        <f>IS!Q40</f>
        <v>#REF!</v>
      </c>
      <c r="C61" s="607" t="e">
        <f>IS!R40</f>
        <v>#REF!</v>
      </c>
      <c r="D61" s="607" t="e">
        <f>IS!S40</f>
        <v>#REF!</v>
      </c>
      <c r="E61" s="607" t="e">
        <f>IS!T40</f>
        <v>#REF!</v>
      </c>
      <c r="F61" s="608" t="e">
        <f>IS!U40</f>
        <v>#REF!</v>
      </c>
      <c r="G61" s="607" t="e">
        <f>IS!V40</f>
        <v>#REF!</v>
      </c>
      <c r="H61" s="607" t="e">
        <f>IS!W40</f>
        <v>#REF!</v>
      </c>
      <c r="I61" s="607" t="e">
        <f>IS!X40</f>
        <v>#REF!</v>
      </c>
      <c r="J61" s="607" t="e">
        <f>IS!Y40</f>
        <v>#REF!</v>
      </c>
      <c r="K61" s="608" t="e">
        <f>IS!Z40</f>
        <v>#REF!</v>
      </c>
      <c r="L61" s="871" t="e">
        <f>IS!#REF!</f>
        <v>#REF!</v>
      </c>
      <c r="M61" s="607" t="e">
        <f>IS!#REF!</f>
        <v>#REF!</v>
      </c>
      <c r="N61" s="607" t="e">
        <f>IS!#REF!</f>
        <v>#REF!</v>
      </c>
      <c r="O61" s="872" t="e">
        <f>IS!#REF!</f>
        <v>#REF!</v>
      </c>
      <c r="P61" s="608" t="e">
        <f>IS!#REF!</f>
        <v>#REF!</v>
      </c>
      <c r="Q61" s="871">
        <f>IS!AA40</f>
        <v>0</v>
      </c>
      <c r="R61" s="607">
        <f>IS!AB40</f>
        <v>0</v>
      </c>
      <c r="S61" s="607">
        <f>IS!AC40</f>
        <v>-37.184927325195574</v>
      </c>
      <c r="T61" s="872">
        <f>IS!AD40</f>
        <v>-2.4743555603651091</v>
      </c>
      <c r="U61" s="608">
        <f>IS!AE40</f>
        <v>-18.564313806851281</v>
      </c>
      <c r="V61" s="608">
        <f>IS!AJ40</f>
        <v>-5.7488228780582746</v>
      </c>
      <c r="W61" s="608">
        <f>IS!AK40</f>
        <v>-3.7874765663321397</v>
      </c>
      <c r="X61" s="608">
        <f>IS!AL40</f>
        <v>-4.323637105118844</v>
      </c>
      <c r="Y61" s="608">
        <f>IS!AM40</f>
        <v>-3.8135413358790959</v>
      </c>
      <c r="Z61" s="608">
        <f>IS!AN40</f>
        <v>-2.3690209774029687</v>
      </c>
    </row>
    <row r="62" spans="1:33" x14ac:dyDescent="0.35">
      <c r="A62" s="820" t="s">
        <v>248</v>
      </c>
      <c r="B62" s="727">
        <v>-0.679156925798858</v>
      </c>
      <c r="C62" s="727">
        <v>-0.70718267751303654</v>
      </c>
      <c r="D62" s="727">
        <v>-0.50393553936905489</v>
      </c>
      <c r="E62" s="728">
        <v>-0.56204030191287624</v>
      </c>
      <c r="F62" s="940">
        <v>-2.4523154445938258</v>
      </c>
      <c r="G62" s="941">
        <v>-0.54551533577107214</v>
      </c>
      <c r="H62" s="941">
        <v>-0.58961969944083648</v>
      </c>
      <c r="I62" s="941">
        <v>-0.64273647951729784</v>
      </c>
      <c r="J62" s="941">
        <v>-0.62681662992806819</v>
      </c>
      <c r="K62" s="940">
        <v>-2.4154528119744798</v>
      </c>
      <c r="L62" s="942">
        <v>-0.61545498518168817</v>
      </c>
      <c r="M62" s="941">
        <v>-0.59401433070908982</v>
      </c>
      <c r="N62" s="941">
        <v>-0.64116214883087796</v>
      </c>
      <c r="O62" s="943">
        <v>-8.879509648204098E-2</v>
      </c>
      <c r="P62" s="940">
        <v>-1.9394265612036967</v>
      </c>
      <c r="Q62" s="942">
        <v>-0.5248722954454913</v>
      </c>
      <c r="R62" s="941">
        <v>-0.53303300471196358</v>
      </c>
      <c r="S62" s="941">
        <v>-0.49739090857757573</v>
      </c>
      <c r="T62" s="943">
        <v>-0.40768046535240782</v>
      </c>
      <c r="U62" s="940">
        <v>-1.9629766740874381</v>
      </c>
      <c r="V62" s="940">
        <v>-0.87815940169089113</v>
      </c>
      <c r="W62" s="940">
        <v>0.13190214616057305</v>
      </c>
      <c r="X62" s="940">
        <v>1.6037933119799264</v>
      </c>
      <c r="Y62" s="940">
        <v>2.8796159618672856</v>
      </c>
      <c r="Z62" s="940">
        <v>3.9825705186839349</v>
      </c>
    </row>
    <row r="63" spans="1:33" ht="15" thickBot="1" x14ac:dyDescent="0.4">
      <c r="A63" s="822" t="s">
        <v>249</v>
      </c>
      <c r="B63" s="610" t="e">
        <f t="shared" ref="B63:E63" si="29">B61-B62</f>
        <v>#REF!</v>
      </c>
      <c r="C63" s="610" t="e">
        <f t="shared" si="29"/>
        <v>#REF!</v>
      </c>
      <c r="D63" s="610" t="e">
        <f t="shared" si="29"/>
        <v>#REF!</v>
      </c>
      <c r="E63" s="612" t="e">
        <f t="shared" si="29"/>
        <v>#REF!</v>
      </c>
      <c r="F63" s="609" t="e">
        <f>(F61-F62)</f>
        <v>#REF!</v>
      </c>
      <c r="G63" s="611" t="e">
        <f t="shared" ref="G63:J63" si="30">(G61-G62)</f>
        <v>#REF!</v>
      </c>
      <c r="H63" s="610" t="e">
        <f t="shared" si="30"/>
        <v>#REF!</v>
      </c>
      <c r="I63" s="610" t="e">
        <f t="shared" si="30"/>
        <v>#REF!</v>
      </c>
      <c r="J63" s="612" t="e">
        <f t="shared" si="30"/>
        <v>#REF!</v>
      </c>
      <c r="K63" s="609" t="e">
        <f t="shared" ref="K63:Z63" si="31">(K61-K62)</f>
        <v>#REF!</v>
      </c>
      <c r="L63" s="611" t="e">
        <f t="shared" si="31"/>
        <v>#REF!</v>
      </c>
      <c r="M63" s="610" t="e">
        <f t="shared" si="31"/>
        <v>#REF!</v>
      </c>
      <c r="N63" s="610" t="e">
        <f t="shared" si="31"/>
        <v>#REF!</v>
      </c>
      <c r="O63" s="612" t="e">
        <f t="shared" si="31"/>
        <v>#REF!</v>
      </c>
      <c r="P63" s="609" t="e">
        <f t="shared" si="31"/>
        <v>#REF!</v>
      </c>
      <c r="Q63" s="611">
        <f t="shared" si="31"/>
        <v>0.5248722954454913</v>
      </c>
      <c r="R63" s="610">
        <f t="shared" si="31"/>
        <v>0.53303300471196358</v>
      </c>
      <c r="S63" s="610">
        <f t="shared" si="31"/>
        <v>-36.687536416617995</v>
      </c>
      <c r="T63" s="612">
        <f t="shared" si="31"/>
        <v>-2.0666750950127013</v>
      </c>
      <c r="U63" s="609">
        <f t="shared" si="31"/>
        <v>-16.601337132763842</v>
      </c>
      <c r="V63" s="609">
        <f t="shared" si="31"/>
        <v>-4.8706634763673833</v>
      </c>
      <c r="W63" s="609">
        <f t="shared" si="31"/>
        <v>-3.9193787124927129</v>
      </c>
      <c r="X63" s="609">
        <f t="shared" si="31"/>
        <v>-5.9274304170987708</v>
      </c>
      <c r="Y63" s="609">
        <f t="shared" si="31"/>
        <v>-6.6931572977463816</v>
      </c>
      <c r="Z63" s="609">
        <f t="shared" si="31"/>
        <v>-6.351591496086904</v>
      </c>
    </row>
    <row r="64" spans="1:33" x14ac:dyDescent="0.35">
      <c r="AG64" t="s">
        <v>349</v>
      </c>
    </row>
  </sheetData>
  <conditionalFormatting sqref="F33 B58:F58 B7:F7 K33:W33">
    <cfRule type="cellIs" dxfId="93" priority="123" operator="lessThan">
      <formula>0</formula>
    </cfRule>
    <cfRule type="cellIs" dxfId="92" priority="124" operator="greaterThan">
      <formula>0</formula>
    </cfRule>
  </conditionalFormatting>
  <conditionalFormatting sqref="F38 K38:W38">
    <cfRule type="cellIs" dxfId="91" priority="119" operator="lessThan">
      <formula>0</formula>
    </cfRule>
    <cfRule type="cellIs" dxfId="90" priority="120" operator="greaterThan">
      <formula>0</formula>
    </cfRule>
  </conditionalFormatting>
  <conditionalFormatting sqref="F43 K43:W43">
    <cfRule type="cellIs" dxfId="89" priority="115" operator="lessThan">
      <formula>0</formula>
    </cfRule>
    <cfRule type="cellIs" dxfId="88" priority="116" operator="greaterThan">
      <formula>0</formula>
    </cfRule>
  </conditionalFormatting>
  <conditionalFormatting sqref="F28 K28:W28">
    <cfRule type="cellIs" dxfId="87" priority="107" operator="lessThan">
      <formula>0</formula>
    </cfRule>
    <cfRule type="cellIs" dxfId="86" priority="108" operator="greaterThan">
      <formula>0</formula>
    </cfRule>
  </conditionalFormatting>
  <conditionalFormatting sqref="F53 K53:W53">
    <cfRule type="cellIs" dxfId="85" priority="103" operator="lessThan">
      <formula>0</formula>
    </cfRule>
    <cfRule type="cellIs" dxfId="84" priority="104" operator="greaterThan">
      <formula>0</formula>
    </cfRule>
  </conditionalFormatting>
  <conditionalFormatting sqref="K58:W58">
    <cfRule type="cellIs" dxfId="83" priority="99" operator="lessThan">
      <formula>0</formula>
    </cfRule>
    <cfRule type="cellIs" dxfId="82" priority="100" operator="greaterThan">
      <formula>0</formula>
    </cfRule>
  </conditionalFormatting>
  <conditionalFormatting sqref="F63 K63:W63">
    <cfRule type="cellIs" dxfId="81" priority="95" operator="lessThan">
      <formula>0</formula>
    </cfRule>
    <cfRule type="cellIs" dxfId="80" priority="96" operator="greaterThan">
      <formula>0</formula>
    </cfRule>
  </conditionalFormatting>
  <conditionalFormatting sqref="F18">
    <cfRule type="cellIs" dxfId="79" priority="91" operator="lessThan">
      <formula>0</formula>
    </cfRule>
    <cfRule type="cellIs" dxfId="78" priority="92" operator="greaterThan">
      <formula>0</formula>
    </cfRule>
  </conditionalFormatting>
  <conditionalFormatting sqref="F13 K13:W13">
    <cfRule type="cellIs" dxfId="77" priority="89" operator="lessThan">
      <formula>0</formula>
    </cfRule>
    <cfRule type="cellIs" dxfId="76" priority="90" operator="greaterThan">
      <formula>0</formula>
    </cfRule>
  </conditionalFormatting>
  <conditionalFormatting sqref="K7:W7">
    <cfRule type="cellIs" dxfId="75" priority="87" operator="lessThan">
      <formula>0</formula>
    </cfRule>
    <cfRule type="cellIs" dxfId="74" priority="88" operator="greaterThan">
      <formula>0</formula>
    </cfRule>
  </conditionalFormatting>
  <conditionalFormatting sqref="F23 K23:W23">
    <cfRule type="cellIs" dxfId="73" priority="83" operator="lessThan">
      <formula>0</formula>
    </cfRule>
    <cfRule type="cellIs" dxfId="72" priority="84" operator="greaterThan">
      <formula>0</formula>
    </cfRule>
  </conditionalFormatting>
  <conditionalFormatting sqref="B13:E13">
    <cfRule type="cellIs" dxfId="71" priority="81" operator="lessThan">
      <formula>0</formula>
    </cfRule>
    <cfRule type="cellIs" dxfId="70" priority="82" operator="greaterThan">
      <formula>0</formula>
    </cfRule>
  </conditionalFormatting>
  <conditionalFormatting sqref="B18:E18">
    <cfRule type="cellIs" dxfId="69" priority="79" operator="lessThan">
      <formula>0</formula>
    </cfRule>
    <cfRule type="cellIs" dxfId="68" priority="80" operator="greaterThan">
      <formula>0</formula>
    </cfRule>
  </conditionalFormatting>
  <conditionalFormatting sqref="B23:E23">
    <cfRule type="cellIs" dxfId="67" priority="75" operator="lessThan">
      <formula>0</formula>
    </cfRule>
    <cfRule type="cellIs" dxfId="66" priority="76" operator="greaterThan">
      <formula>0</formula>
    </cfRule>
  </conditionalFormatting>
  <conditionalFormatting sqref="B28:E28">
    <cfRule type="cellIs" dxfId="65" priority="73" operator="lessThan">
      <formula>0</formula>
    </cfRule>
    <cfRule type="cellIs" dxfId="64" priority="74" operator="greaterThan">
      <formula>0</formula>
    </cfRule>
  </conditionalFormatting>
  <conditionalFormatting sqref="B33:E33">
    <cfRule type="cellIs" dxfId="63" priority="71" operator="lessThan">
      <formula>0</formula>
    </cfRule>
    <cfRule type="cellIs" dxfId="62" priority="72" operator="greaterThan">
      <formula>0</formula>
    </cfRule>
  </conditionalFormatting>
  <conditionalFormatting sqref="B43:E43">
    <cfRule type="cellIs" dxfId="61" priority="69" operator="lessThan">
      <formula>0</formula>
    </cfRule>
    <cfRule type="cellIs" dxfId="60" priority="70" operator="greaterThan">
      <formula>0</formula>
    </cfRule>
  </conditionalFormatting>
  <conditionalFormatting sqref="B53:E53">
    <cfRule type="cellIs" dxfId="59" priority="65" operator="lessThan">
      <formula>0</formula>
    </cfRule>
    <cfRule type="cellIs" dxfId="58" priority="66" operator="greaterThan">
      <formula>0</formula>
    </cfRule>
  </conditionalFormatting>
  <conditionalFormatting sqref="B63:E63">
    <cfRule type="cellIs" dxfId="57" priority="63" operator="lessThan">
      <formula>0</formula>
    </cfRule>
    <cfRule type="cellIs" dxfId="56" priority="64" operator="greaterThan">
      <formula>0</formula>
    </cfRule>
  </conditionalFormatting>
  <conditionalFormatting sqref="B38:E38">
    <cfRule type="cellIs" dxfId="55" priority="61" operator="lessThan">
      <formula>0</formula>
    </cfRule>
    <cfRule type="cellIs" dxfId="54" priority="62" operator="greaterThan">
      <formula>0</formula>
    </cfRule>
  </conditionalFormatting>
  <conditionalFormatting sqref="G58:J58">
    <cfRule type="cellIs" dxfId="53" priority="59" operator="lessThan">
      <formula>0</formula>
    </cfRule>
    <cfRule type="cellIs" dxfId="52" priority="60" operator="greaterThan">
      <formula>0</formula>
    </cfRule>
  </conditionalFormatting>
  <conditionalFormatting sqref="G7:J7">
    <cfRule type="cellIs" dxfId="51" priority="57" operator="lessThan">
      <formula>0</formula>
    </cfRule>
    <cfRule type="cellIs" dxfId="50" priority="58" operator="greaterThan">
      <formula>0</formula>
    </cfRule>
  </conditionalFormatting>
  <conditionalFormatting sqref="G13:J13">
    <cfRule type="cellIs" dxfId="49" priority="55" operator="lessThan">
      <formula>0</formula>
    </cfRule>
    <cfRule type="cellIs" dxfId="48" priority="56" operator="greaterThan">
      <formula>0</formula>
    </cfRule>
  </conditionalFormatting>
  <conditionalFormatting sqref="G18:J18">
    <cfRule type="cellIs" dxfId="47" priority="53" operator="lessThan">
      <formula>0</formula>
    </cfRule>
    <cfRule type="cellIs" dxfId="46" priority="54" operator="greaterThan">
      <formula>0</formula>
    </cfRule>
  </conditionalFormatting>
  <conditionalFormatting sqref="G23:J23">
    <cfRule type="cellIs" dxfId="45" priority="51" operator="lessThan">
      <formula>0</formula>
    </cfRule>
    <cfRule type="cellIs" dxfId="44" priority="52" operator="greaterThan">
      <formula>0</formula>
    </cfRule>
  </conditionalFormatting>
  <conditionalFormatting sqref="G28:J28">
    <cfRule type="cellIs" dxfId="43" priority="49" operator="lessThan">
      <formula>0</formula>
    </cfRule>
    <cfRule type="cellIs" dxfId="42" priority="50" operator="greaterThan">
      <formula>0</formula>
    </cfRule>
  </conditionalFormatting>
  <conditionalFormatting sqref="G33:J33">
    <cfRule type="cellIs" dxfId="41" priority="47" operator="lessThan">
      <formula>0</formula>
    </cfRule>
    <cfRule type="cellIs" dxfId="40" priority="48" operator="greaterThan">
      <formula>0</formula>
    </cfRule>
  </conditionalFormatting>
  <conditionalFormatting sqref="G43:J43">
    <cfRule type="cellIs" dxfId="39" priority="45" operator="lessThan">
      <formula>0</formula>
    </cfRule>
    <cfRule type="cellIs" dxfId="38" priority="46" operator="greaterThan">
      <formula>0</formula>
    </cfRule>
  </conditionalFormatting>
  <conditionalFormatting sqref="G53:J53">
    <cfRule type="cellIs" dxfId="37" priority="41" operator="lessThan">
      <formula>0</formula>
    </cfRule>
    <cfRule type="cellIs" dxfId="36" priority="42" operator="greaterThan">
      <formula>0</formula>
    </cfRule>
  </conditionalFormatting>
  <conditionalFormatting sqref="G63:J63">
    <cfRule type="cellIs" dxfId="35" priority="39" operator="lessThan">
      <formula>0</formula>
    </cfRule>
    <cfRule type="cellIs" dxfId="34" priority="40" operator="greaterThan">
      <formula>0</formula>
    </cfRule>
  </conditionalFormatting>
  <conditionalFormatting sqref="G38:J38">
    <cfRule type="cellIs" dxfId="33" priority="37" operator="lessThan">
      <formula>0</formula>
    </cfRule>
    <cfRule type="cellIs" dxfId="32" priority="38" operator="greaterThan">
      <formula>0</formula>
    </cfRule>
  </conditionalFormatting>
  <conditionalFormatting sqref="X33:Z33">
    <cfRule type="cellIs" dxfId="31" priority="35" operator="lessThan">
      <formula>0</formula>
    </cfRule>
    <cfRule type="cellIs" dxfId="30" priority="36" operator="greaterThan">
      <formula>0</formula>
    </cfRule>
  </conditionalFormatting>
  <conditionalFormatting sqref="X38:Z38">
    <cfRule type="cellIs" dxfId="29" priority="33" operator="lessThan">
      <formula>0</formula>
    </cfRule>
    <cfRule type="cellIs" dxfId="28" priority="34" operator="greaterThan">
      <formula>0</formula>
    </cfRule>
  </conditionalFormatting>
  <conditionalFormatting sqref="X43:Z43">
    <cfRule type="cellIs" dxfId="27" priority="31" operator="lessThan">
      <formula>0</formula>
    </cfRule>
    <cfRule type="cellIs" dxfId="26" priority="32" operator="greaterThan">
      <formula>0</formula>
    </cfRule>
  </conditionalFormatting>
  <conditionalFormatting sqref="X28:Z28">
    <cfRule type="cellIs" dxfId="25" priority="27" operator="lessThan">
      <formula>0</formula>
    </cfRule>
    <cfRule type="cellIs" dxfId="24" priority="28" operator="greaterThan">
      <formula>0</formula>
    </cfRule>
  </conditionalFormatting>
  <conditionalFormatting sqref="X53:Z53">
    <cfRule type="cellIs" dxfId="23" priority="25" operator="lessThan">
      <formula>0</formula>
    </cfRule>
    <cfRule type="cellIs" dxfId="22" priority="26" operator="greaterThan">
      <formula>0</formula>
    </cfRule>
  </conditionalFormatting>
  <conditionalFormatting sqref="X58:Z58">
    <cfRule type="cellIs" dxfId="21" priority="23" operator="lessThan">
      <formula>0</formula>
    </cfRule>
    <cfRule type="cellIs" dxfId="20" priority="24" operator="greaterThan">
      <formula>0</formula>
    </cfRule>
  </conditionalFormatting>
  <conditionalFormatting sqref="X63:Z63">
    <cfRule type="cellIs" dxfId="19" priority="21" operator="lessThan">
      <formula>0</formula>
    </cfRule>
    <cfRule type="cellIs" dxfId="18" priority="22" operator="greaterThan">
      <formula>0</formula>
    </cfRule>
  </conditionalFormatting>
  <conditionalFormatting sqref="X13:Z13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X7:Z7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X23:Z23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F48 K48:W48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B48:E48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G48:J48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X48:Z48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K18:W1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X18:Z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FdsFormulaCache xmlns="urn:fdsformulacache" version="2" timestamp="1775573782"><![CDATA[{"COGT^FE_ESTIMATE(SALES,MEAN,ANN,2023,NOW,,,'')":0.0,"COGT^OS_SEC_SI_PCTFLT(0D,,D)":15.0228145334049,"COGT^P_VOLUME_AVG(0,-3AM,,,0)":1386821.1,"COGT^FREF_MARKET_VALUE_COMPANY(0,0,,,1,0,,\"LEGACY\")":513.492628827618,"COGT-US^FE_TIMESERIES(BFNG,MEAN,2026,2027,FY,'BKRACTMED=1,WIN=0,UNITS=AUTO,DATE=NOW')":[-263.12216,-151.63747],"COGT-US^FE_TIMESERIES(BFNG,MEAN,2026/1F,2026/4F,FQ,'BKRACTMED=1,WIN=0,UNITS=AUTO,DATE=NOW')":[-75.74825,-77.23655,-75.0515,-59.01825],"COGT-US^FE_TIMESERIES(BFNG,MEAN,2025,2025,FY,'BKRACTMED=1,WIN=0,UNITS=AUTO,DATE=NOW')":-294.13574,"COGT-US^FE_TIMESERIES(BFNG,MEAN,2025/1F,2025/4F,FQ,'BKRACTMED=1,WIN=0,UNITS=AUTO,DATE=NOW')":[-71.986,-73.529,-75.0736,-73.55247],"COGT-US^FE_TIMESERIES(BFNG,MEAN,2023,2024,FY,'BKRACTMED=1,WIN=0,UNITS=AUTO,DATE=NOW')":[-192.41,-255.859],"COGT-US^FE_TIMESERIES(NETBG,MEAN,2026,2027,FY,'BKRACTMED=1,WIN=0,UNITS=AUTO,DATE=NOW')":[-284.41675,-152.78734],"COGT-US^FE_TIMESERIES(NETBG,MEAN,2026/1F,2026/4F,FQ,'BKRACTMED=1,WIN=0,UNITS=AUTO,DATE=NOW')":[-68.45,-69.814,-75.0515,-59.018],"COGT-US^FE_TIMESERIES(NETBG,MEAN,2025,2025,FY,'BKRACTMED=1,WIN=0,UNITS=AUTO,DATE=NOW')":-270.75925,"COGT-US^FE_TIMESERIES(NETBG,MEAN,2025/1F,2025/4F,FQ,'BKRACTMED=1,WIN=0,UNITS=AUTO,DATE=NOW')":[-59.236,-61.0,-65.068665,-65.989],"COGT-US^FE_TIMESERIES(NETBG,MEAN,2023,2024,FY,'BKRACTMED=1,WIN=0,UNITS=AUTO,DATE=NOW')":[-192.41,-255.859],"COGT-US^FE_TIMESERIES(NETPROFIT,MEAN,2026,2027,FY,'BKRACTMED=1,WIN=0,UNITS=AUTO,DATE=NOW')":[-282.1738,-146.46797],"COGT-US^FE_TIMESERIES(NETPROFIT,MEAN,2026/1F,2026/4F,FQ,'BKRACTMED=1,WIN=0,UNITS=AUTO,DATE=NOW')":[-78.5009,-81.49122,-77.829,-64.2379],"COGT-US^FE_TIMESERIES(NETPROFIT,MEAN,2025,2025,FY,'BKRACTMED=1,WIN=0,UNITS=AUTO,DATE=NOW')":-293.2236,"COGT-US^FE_TIMESERIES(NETPROFIT,MEAN,2025/1F,2025/4F,FQ,'BKRACTMED=1,WIN=0,UNITS=AUTO,DATE=NOW')":[-71.986,-73.529,-74.95371,-73.87676],"COGT-US^FE_TIMESERIES(NETPROFIT,MEAN,2023,2024,FY,'BKRACTMED=1,WIN=0,UNITS=AUTO,DATE=NOW')":[-192.41,-255.859],"COGT-US^FE_TIMESERIES(TAX_EXPENSE,MEAN,2026,2027,FY,'BKRACTMED=1,WIN=0,UNITS=AUTO,DATE=NOW')":[0.0,6.1571426],"COGT-US^FE_TIMESERIES(TAX_EXPENSE,MEAN,2026/1F,2026/4F,FQ,'BKRACTMED=1,WIN=0,UNITS=AUTO,DATE=NOW')":[0.0,0.0,0.0,0.0],"COGT-US^FE_TIMESERIES(TAX_EXPENSE,MEAN,2025,2025,FY,'BKRACTMED=1,WIN=0,UNITS=AUTO,DATE=NOW')":0.0,"COGT-US^FE_TIMESERIES(TAX_EXPENSE,MEAN,2025/1F,2025/4F,FQ,'BKRACTMED=1,WIN=0,UNITS=AUTO,DATE=NOW')":[0.0,0.0,0.0,0.0],"COGT-US^FE_TIMESERIES(TAX_EXPENSE,MEAN,2023,2024,FY,'BKRACTMED=1,WIN=0,UNITS=AUTO,DATE=NOW')":[0.0,0.0],"COGT-US^FE_TIMESERIES(PTPBG,MEAN,2026,2027,FY,'BKRACTMED=1,WIN=0,UNITS=AUTO,DATE=NOW')":[-239.18925,-175.59398],"COGT-US^FE_TIMESERIES(PTPBG,MEAN,2026/1F,2026/4F,FQ,'BKRACTMED=1,WIN=0,UNITS=AUTO,DATE=NOW')":[null,null,null,null],"COGT-US^FE_TIMESERIES(PTPBG,MEAN,2025,2025,FY,'BKRACTMED=1,WIN=0,UNITS=AUTO,DATE=NOW')":-264.2286,"COGT-US^FE_TIMESERIES(PTPBG,MEAN,2025/1F,2025/4F,FQ,'BKRACTMED=1,WIN=0,UNITS=AUTO,DATE=NOW')":[null,-73.5,-75.0,-67.4],"COGT-US^FE_TIMESERIES(PTPBG,MEAN,2023,2024,FY,'BKRACTMED=1,WIN=0,UNITS=AUTO,DATE=NOW')":[-192.405,-255.859],"COGT-US^FE_TIMESERIES(PTPA,MEAN,2026,2027,FY,'BKRACTMED=1,WIN=0,UNITS=AUTO,DATE=NOW')":[-255.0,-203.0],"COGT-US^FE_TIMESERIES(PTPA,MEAN,2026/1F,2026/4F,FQ,'BKRACTMED=1,WIN=0,UNITS=AUTO,DATE=NOW')":[null,null,null,null],"COGT-US^FE_TIMESERIES(PTPA,MEAN,2025,2025,FY,'BKRACTMED=1,WIN=0,UNITS=AUTO,DATE=NOW')":-241.0,"COGT-US^FE_TIMESERIES(PTPA,MEAN,2025/1F,2025/4F,FQ,'BKRACTMED=1,WIN=0,UNITS=AUTO,DATE=NOW')":[-59.0,-61.0,-60.0,-60.0],"COGT-US^FE_TIMESERIES(PTPA,MEAN,2023,2024,FY,'BKRACTMED=1,WIN=0,UNITS=AUTO,DATE=NOW')":[-192.41,-255.859],"COGT-US^FE_TIMESERIES(PTP,MEAN,2026,2027,FY,'BKRACTMED=1,WIN=0,UNITS=AUTO,DATE=NOW')":[-282.1744,-142.55864],"COGT-US^FE_TIMESERIES(PTP,MEAN,2026/1F,2026/4F,FQ,'BKRACTMED=1,WIN=0,UNITS=AUTO,DATE=NOW')":[-78.501,-81.4912,-77.829,-64.2378],"COGT-US^FE_TIMESERIES(PTP,MEAN,2025,2025,FY,'BKRACTMED=1,WIN=0,UNITS=AUTO,DATE=NOW')":-294.35718,"COGT-US^FE_TIMESERIES(PTP,MEAN,2025/1F,2025/4F,FQ,'BKRACTMED=1,WIN=0,UNITS=AUTO,DATE=NOW')":[-71.993,-73.529,-74.95373,-73.876724],"COGT-US^FE_TIMESERIES(PTP,MEAN,2023,2024,FY,'BKRACTMED=1,WIN=0,UNITS=AUTO,DATE=NOW')":[-192.41,-255.859],"COGT-US^FE_TIMESERIES(INTEXP,MEAN,2026,2027,FY,'BKRACTMED=1,WIN=0,UNITS=AUTO,DATE=NOW')":[9.525,13.975],"COGT-US^FE_TIMESERIES(INTEXP,MEAN,2026/1F,2026/4F,FQ,'BKRACTMED=1,WIN=0,UNITS=AUTO,DATE=NOW')":[1.4,1.4,1.4,1.4],"COGT-US^FE_TIMESERIES(INTEXP,MEAN,2025,2025,FY,'BKRACTMED=1,WIN=0,UNITS=AUTO,DATE=NOW')":3.426,"COGT-US^FE_TIMESERIES(INTEXP,MEAN,2025/1F,2025/4F,FQ,'BKRACTMED=1,WIN=0,UNITS=AUTO,DATE=NOW')":[null,0.307,1.5345,1.5345],"COGT-US^FE_TIMESERIES(INTEXP,MEAN,2023,2024,FY,'BKRACTMED=1,WIN=0,UNITS=AUTO,DATE=NOW')":[null,null],"COGT-US^FE_TIMESERIES(EBIT_ADJ,MEAN,2026,2027,FY,'BKRACTMED=1,WIN=0,UNITS=AUTO,DATE=NOW')":[-309.0,-246.0],"COGT-US^FE_TIMESERIES(EBIT_ADJ,MEAN,2026/1F,2026/4F,FQ,'BKRACTMED=1,WIN=0,UNITS=AUTO,DATE=NOW')":[null,null,null,null],"COGT-US^FE_TIMESERIES(EBIT_ADJ,MEAN,2025,2025,FY,'BKRACTMED=1,WIN=0,UNITS=AUTO,DATE=NOW')":-291.0,"COGT-US^FE_TIMESERIES(EBIT_ADJ,MEAN,2025/1F,2025/4F,FQ,'BKRACTMED=1,WIN=0,UNITS=AUTO,DATE=NOW')":[-72.0,-74.0,-73.0,-73.0],"COGT-US^FE_TIMESERIES(EBIT_ADJ,MEAN,2023,2024,FY,'BKRACTMED=1,WIN=0,UNITS=AUTO,DATE=NOW')":[-192.41,-255.859],"COGT-US^FE_TIMESERIES(EBIT,MEAN,2026,2027,FY,'BKRACTMED=1,WIN=0,UNITS=AUTO,DATE=NOW')":[-295.09076,-152.19308],"COGT-US^FE_TIMESERIES(EBIT,MEAN,2026/1F,2026/4F,FQ,'BKRACTMED=1,WIN=0,UNITS=AUTO,DATE=NOW')":[-80.9316,-83.6424,-79.6788,-66.5348],"COGT-US^FE_TIMESERIES(EBIT,MEAN,2025,2025,FY,'BKRACTMED=1,WIN=0,UNITS=AUTO,DATE=NOW')":-304.77942,"COGT-US^FE_TIMESERIES(EBIT,MEAN,2025/1F,2025/4F,FQ,'BKRACTMED=1,WIN=0,UNITS=AUTO,DATE=NOW')":[-74.9,-75.582,-76.71525,-78.01466],"COGT-US^FE_TIMESERIES(EBIT,MEAN,2023,2024,FY,'BKRACTMED=1,WIN=0,UNITS=AUTO,DATE=NOW')":[-208.115,-275.9195],"COGT-US^FE_TIMESERIES(DEPR_AMORT,MEAN,2026,2027,FY,'BKRACTMED=1,WIN=0,UNITS=AUTO,DATE=NOW')":[2.4384,2.377175],"COGT-US^FE_TIMESERIES(DEPR_AMORT,MEAN,2026/1F,2026/4F,FQ,'BKRACTMED=1,WIN=0,UNITS=AUTO,DATE=NOW')":[0.60405,0.62075,0.57255,0.5795],"COGT-US^FE_TIMESERIES(DEPR_AMORT,MEAN,2025,2025,FY,'BKRACTMED=1,WIN=0,UNITS=AUTO,DATE=NOW')":2.48875,"COGT-US^FE_TIMESERIES(DEPR_AMORT,MEAN,2025/1F,2025/4F,FQ,'BKRACTMED=1,WIN=0,UNITS=AUTO,DATE=NOW')":[null,0.6575,0.5925,0.5925],"COGT-US^FE_TIMESERIES(DEPR_AMORT,MEAN,2023,2024,FY,'BKRACTMED=1,WIN=0,UNITS=AUTO,DATE=NOW')":[2.3,2.5],"COGT-US^FE_TIMESERIES(EBITDA_ADJ,MEAN,2026,2027,FY,'BKRACTMED=1,WIN=0,UNITS=AUTO,DATE=NOW')":[-222.0,-169.0],"COGT-US^FE_TIMESERIES(EBITDA_ADJ,MEAN,2026/1F,2026/4F,FQ,'BKRACTMED=1,WIN=0,UNITS=AUTO,DATE=NOW')":[null,null,null,null],"COGT-US^FE_TIMESERIES(EBITDA_ADJ,MEAN,2025,2025,FY,'BKRACTMED=1,WIN=0,UNITS=AUTO,DATE=NOW')":-204.0,"COGT-US^FE_TIMESERIES(EBITDA_ADJ,MEAN,2025/1F,2025/4F,FQ,'BKRACTMED=1,WIN=0,UNITS=AUTO,DATE=NOW')":[null,null,null,null],"COGT-US^FE_TIMESERIES(EBITDA_ADJ,MEAN,2023,2024,FY,'BKRACTMED=1,WIN=0,UNITS=AUTO,DATE=NOW')":[-95.14,-163.409],"COGT-US^FE_TIMESERIES(EBITDA,MEAN,2026,2027,FY,'BKRACTMED=1,WIN=0,UNITS=AUTO,DATE=NOW')":[-272.635,-218.725],"COGT-US^FE_TIMESERIES(EBITDA,MEAN,2026/1F,2026/4F,FQ,'BKRACTMED=1,WIN=0,UNITS=AUTO,DATE=NOW')":[-81.23,-81.5,-81.89,-78.64],"COGT-US^FE_TIMESERIES(EBITDA,MEAN,2025,2025,FY,'BKRACTMED=1,WIN=0,UNITS=AUTO,DATE=NOW')":-255.63,"COGT-US^FE_TIMESERIES(EBITDA,MEAN,2025/1F,2025/4F,FQ,'BKRACTMED=1,WIN=0,UNITS=AUTO,DATE=NOW')":[null,-74.93,-76.93,-81.36],"COGT-US^FE_TIMESERIES(EBITDA,MEAN,2023,2024,FY,'BKRACTMED=1,WIN=0,UNITS=AUTO,DATE=NOW')":[-150.5,-218.449],"COGT-US^FE_TIMESERIES(RD_EXP,MEAN,2026,2027,FY,'BKRACTMED=1,WIN=0,UNITS=AUTO,DATE=NOW')":[251.1771,246.88667],"COGT-US^FE_TIMESERIES(RD_EXP,MEAN,2026/1F,2026/4F,FQ,'BKRACTMED=1,WIN=0,UNITS=AUTO,DATE=NOW')":[64.1354,65.0478,65.9988,66.8956],"COGT-US^FE_TIMESERIES(RD_EXP,MEAN,2025,2025,FY,'BKRACTMED=1,WIN=0,UNITS=AUTO,DATE=NOW')":251.2682,"COGT-US^FE_TIMESERIES(RD_EXP,MEAN,2025/1F,2025/4F,FQ,'BKRACTMED=1,WIN=0,UNITS=AUTO,DATE=NOW')":[63.0145,62.2015,62.9687,63.0806],"COGT-US^FE_TIMESERIES(RD_EXP,MEAN,2023,2024,FY,'BKRACTMED=1,WIN=0,UNITS=AUTO,DATE=NOW')":[173.7775,232.679],"COGT-US^FE_TIMESERIES(G_A_EXP,MEAN,2026,2027,FY,'BKRACTMED=1,WIN=0,UNITS=AUTO,DATE=NOW')":[104.109,null],"COGT-US^FE_TIMESERIES(G_A_EXP,MEAN,2026/1F,2026/4F,FQ,'BKRACTMED=1,WIN=0,UNITS=AUTO,DATE=NOW')":[20.801,24.545,27.982,30.78],"COGT-US^FE_TIMESERIES(G_A_EXP,MEAN,2025,2025,FY,'BKRACTMED=1,WIN=0,UNITS=AUTO,DATE=NOW')":56.783,"COGT-US^FE_TIMESERIES(G_A_EXP,MEAN,2025/1F,2025/4F,FQ,'BKRACTMED=1,WIN=0,UNITS=AUTO,DATE=NOW')":[11.904,13.379,14.449,17.05],"COGT-US^FE_TIMESERIES(G_A_EXP,MEAN,2023,2024,FY,'BKRACTMED=1,WIN=0,UNITS=AUTO,DATE=NOW')":[34.375,43.281],"COGT-US^FE_TIMESERIES(SGA,MEAN,2026,2027,FY,'BKRACTMED=1,WIN=0,UNITS=AUTO,DATE=NOW')":[82.8621,115.3105],"COGT-US^FE_TIMESERIES(SGA,MEAN,2026/1F,2026/4F,FQ,'BKRACTMED=1,WIN=0,UNITS=AUTO,DATE=NOW')":[15.795,17.1045,18.6675,20.21125],"COGT-US^FE_TIMESERIES(SGA,MEAN,2025,2025,FY,'BKRACTMED=1,WIN=0,UNITS=AUTO,DATE=NOW')":54.2988,"COGT-US^FE_TIMESERIES(SGA,MEAN,2025/1F,2025/4F,FQ,'BKRACTMED=1,WIN=0,UNITS=AUTO,DATE=NOW')":[11.902,13.3795,14.1348,14.9021],"COGT-US^FE_TIMESERIES(SGA,MEAN,2023,2024,FY,'BKRACTMED=1,WIN=0,UNITS=AUTO,DATE=NOW')":[34.3875,43.2905],"COGT-US^FE_TIMESERIES(GROSSINCOME,MEAN,2026,2027,FY,'BKRACTMED=1,WIN=0,UNITS=AUTO,DATE=NOW')":[24.96,150.3075],"COGT-US^FE_TIMESERIES(GROSSINCOME,MEAN,2026/1F,2026/4F,FQ,'BKRACTMED=1,WIN=0,UNITS=AUTO,DATE=NOW')":[0.0,0.0,0.0,3.54],"COGT-US^FE_TIMESERIES(GROSSINCOME,MEAN,2025,2025,FY,'BKRACTMED=1,WIN=0,UNITS=AUTO,DATE=NOW')":0.0,"COGT-US^FE_TIMESERIES(GROSSINCOME,MEAN,2025/1F,2025/4F,FQ,'BKRACTMED=1,WIN=0,UNITS=AUTO,DATE=NOW')":[0.0,0.0,0.0,0.0],"COGT-US^FE_TIMESERIES(GROSSINCOME,MEAN,2023,2024,FY,'BKRACTMED=1,WIN=0,UNITS=AUTO,DATE=NOW')":[0.0,0.0],"COGT-US^FE_TIMESERIES(COS,MEAN,2026,2027,FY,'BKRACTMED=1,WIN=0,UNITS=AUTO,DATE=NOW')":[4.2904,28.9817],"COGT-US^FE_TIMESERIES(COS,MEAN,2026/1F,2026/4F,FQ,'BKRACTMED=1,WIN=0,UNITS=AUTO,DATE=NOW')":[0.0,0.0,0.79,3.4922],"COGT-US^FE_TIMESERIES(COS,MEAN,2025,2025,FY,'BKRACTMED=1,WIN=0,UNITS=AUTO,DATE=NOW')":0.0,"COGT-US^FE_TIMESERIES(COS,MEAN,2025/1F,2025/4F,FQ,'BKRACTMED=1,WIN=0,UNITS=AUTO,DATE=NOW')":[0.0,0.0,0.0,0.0],"COGT-US^FE_TIMESERIES(COS,MEAN,2023,2024,FY,'BKRACTMED=1,WIN=0,UNITS=AUTO,DATE=NOW')":[0.0,0.0],"COGT-US^FE_TIMESERIES(SALES,MEAN,2026,2027,FY,'BKRACTMED=1,WIN=0,UNITS=AUTO,DATE=NOW')":[35.732456,212.11472],"COGT-US^FE_TIMESERIES(SALES,MEAN,2026/1F,2026/4F,FQ,'BKRACTMED=1,WIN=0,UNITS=AUTO,DATE=NOW')":[0.0,0.0,5.492,19.126715],"COGT-US^FE_TIMESERIES(SALES,MEAN,2025,2025,FY,'BKRACTMED=1,WIN=0,UNITS=AUTO,DATE=NOW')":0.0,"COGT-US^FE_TIMESERIES(SALES,MEAN,2025/1F,2025/4F,FQ,'BKRACTMED=1,WIN=0,UNITS=AUTO,DATE=NOW')":[0.0,0.0,0.0,0.0],"COGT-US^FE_TIMESERIES(SALES,MEAN,2023,2024,FY,'BKRACTMED=1,WIN=0,UNITS=AUTO,DATE=NOW')":[0.0,0.0],"COGT-US^FE_TIMESERIES_PERIOD(,2026,2027,FY,'')":["2026","2027"],"COGT-US^FE_TIMESERIES(CUSTOM_EPS,MEAN,2026/1F,2026/4F,FQ,'BKRACTMED=1,WIN=0,UNITS=AUTO,DATE=NOW')":[-0.47666666,-0.47,-0.47333333,-0.39333335],"COGT-US^FE_TIMESERIES(EAG,MEAN,2025,2025,FY,'BKRACTMED=1,WIN=0,UNITS=AUTO,DATE=NOW')":-2.2642858,"COGT-US^FE_TIMESERIES(EAG,MEAN,2025/1F,2025/4F,FQ,'BKRACTMED=1,WIN=0,UNITS=AUTO,DATE=NOW')":[-0.64,-0.64,-0.532,-0.506],"COGT-US^FE_TIMESERIES_PERIOD(,2025,2025,FY,'')":"2025","COGT-US^FE_TIMESERIES_PERIOD(,2025/1F,2025/4F,FQ,'')":["2025/1F","2025/2F","2025/3F","2025/4F"],"COGT-US^FE_TIMESERIES_PERIOD(,2023,2024,FY,'')":["2023","2024"],"COGT-US^FE_TIMESERIES(EPS,MEAN,2025,2025,FY,'BKRACTMED=1,WIN=0,UNITS=AUTO,DATE=NOW')":-2.1972,"COGT-US^FE_TIMESERIES(EPS,MEAN,2025/1F,2025/4F,FQ,'BKRACTMED=1,WIN=0,UNITS=AUTO,DATE=NOW')":[-0.635313,-0.55,-0.525625,-0.505575],"COGT-US^PROPER(CONVERT_DATE(FE_TIMESERIES_PERIOD(,2026,2027,FY,'DISPLAY=YYYYMMDD'),\"MMM 'YY\"))":["Dec '26","Dec '27"],"COGT-US^FE_TIMESERIES(CUSTOM_EPS,MEAN,2026,2026,FY,'BKRACTMED=1,WIN=0,UNITS=AUTO,DATE=NOW')":-1.7198318,"COGT-US^PROPER(CONVERT_DATE(FE_TIMESERIES_PERIOD(,2025,2025,FY,'DISPLAY=YYYYMMDD'),\"MMM 'YY\"))":"Dec '25","COGT-US^PROPER(CONVERT_DATE(FE_TIMESERIES_PERIOD(,2025/1F,2025/4F,FQ,'DISPLAY=YYYYMMDD'),\"MMM 'YY\"))":["Mar '25","Jun '25","Sep '25","Dec '25"],"COGT-US^PROPER(CONVERT_DATE(FE_TIMESERIES_PERIOD(,2023,2024,FY,'DISPLAY=YYYYMMDD'),\"MMM 'YY\"))":["Dec '23","Dec '24"],"COGT-US^FE_TIMESERIES(BFNG,MEAN,2021,2026,FY,'BKRACTMED=1,WIN=0,UNITS=AUTO,DATE=NOW')":[-72.273,-140.241,-192.41,-255.859,-294.13574,-263.12216],"COGT-US^FE_TIMESERIES(NETBG,MEAN,2021,2026,FY,'BKRACTMED=1,WIN=0,UNITS=AUTO,DATE=NOW')":[null,null,-192.41,-255.859,-270.75925,-284.41675],"COGT-US^FE_TIMESERIES(NETPROFIT,MEAN,2021,2026,FY,'BKRACTMED=1,WIN=0,UNITS=AUTO,DATE=NOW')":[-72.273,-140.241,-192.41,-255.859,-293.2236,-282.1738],"COGT-US^FE_TIMESERIES(TAX_EXPENSE,MEAN,2021,2026,FY,'BKRACTMED=1,WIN=0,UNITS=AUTO,DATE=NOW')":[0.0,0.0,0.0,0.0,0.0,0.0],"COGT-US^FE_TIMESERIES(PTPA,MEAN,2021,2026,FY,'BKRACTMED=1,WIN=0,UNITS=AUTO,DATE=NOW')":[null,null,-192.41,-255.859,-241.0,-255.0],"COGT-US^FE_TIMESERIES(PTP,MEAN,2021,2026,FY,'BKRACTMED=1,WIN=0,UNITS=AUTO,DATE=NOW')":[-72.273,-140.241,-192.41,-255.859,-294.35718,-282.1744],"COGT-US^FE_TIMESERIES(INTEXP,MEAN,2021,2026,FY,'BKRACTMED=1,WIN=0,UNITS=AUTO,DATE=NOW')":[null,null,null,null,3.426,9.525],"COGT-US^FE_TIMESERIES(EBIT_ADJ,MEAN,2021,2026,FY,'BKRACTMED=1,WIN=0,UNITS=AUTO,DATE=NOW')":[null,null,-192.41,-255.859,-291.0,-309.0],"COGT-US^FE_TIMESERIES(EBIT,MEAN,2021,2026,FY,'BKRACTMED=1,WIN=0,UNITS=AUTO,DATE=NOW')":[-75.55,-147.839,-208.115,-275.9195,-304.77942,-295.09076],"COGT-US^FE_TIMESERIES(DEPR_AMORT,MEAN,2021,2026,FY,'BKRACTMED=1,WIN=0,UNITS=AUTO,DATE=NOW')":[null,0.8,2.3,2.5,2.48875,2.4384],"COGT-US^FE_TIMESERIES(EBITDA_REP,MEAN,2021,2026,FY,'BKRACTMED=1,WIN=0,UNITS=AUTO,DATE=NOW')":[null,null,-95.14,-163.409,-203.73915,-221.82062],"COGT-US^FE_TIMESERIES(EBITDA,MEAN,2021,2026,FY,'BKRACTMED=1,WIN=0,UNITS=AUTO,DATE=NOW')":[null,null,-150.5,-218.449,-255.63,-272.635],"COGT-US^FE_TIMESERIES(RD_EXP,MEAN,2021,2026,FY,'BKRACTMED=1,WIN=0,UNITS=AUTO,DATE=NOW')":[55.913,121.627,173.7775,232.679,251.2682,251.1771],"COGT-US^FE_TIMESERIES(G_A_EXP,MEAN,2021,2026,FY,'BKRACTMED=1,WIN=0,UNITS=AUTO,DATE=NOW')":[19.64,26.212,34.375,43.281,56.783,104.109],"COGT-US^FE_TIMESERIES(S_M_EXP,MEAN,2021,2026,FY,'BKRACTMED=1,WIN=0,UNITS=AUTO,DATE=NOW')":[null,null,null,null,null,null],"COGT-US^FE_TIMESERIES(SALES,MEAN,2019,2020,FY,'BKRACTMED=1,WIN=0,UNITS=AUTO,DATE=NOW')":[22.499,7.871],"COGT-US^FE_TIMESERIES(SGA,MEAN,2021,2026,FY,'BKRACTMED=1,WIN=0,UNITS=AUTO,DATE=NOW')":[19.637,26.212,34.3875,43.2905,54.2988,82.8621],"COGT-US^FE_TIMESERIES(GROSSINCOME,MEAN,2021,2026,FY,'BKRACTMED=1,WIN=0,UNITS=AUTO,DATE=NOW')":[null,0.0,0.0,0.0,0.0,24.96],"COGT-US^FE_TIMESERIES(COS,MEAN,2021,2026,FY,'BKRACTMED=1,WIN=0,UNITS=AUTO,DATE=NOW')":[0.0,0.0,0.0,0.0,0.0,4.2904],"COGT-US^FE_TIMESERIES(SALES,MEAN,2021,2026,FY,'BKRACTMED=1,WIN=0,UNITS=AUTO,DATE=NOW')":[0.0,0.0,0.0,0.0,0.0,35.732456],"COGT-US^PROPER(CONVERT_DATE(FE_TIMESERIES_PERIOD(,2021,2026,FY,'DISPLAY=YYYYMMDD'),\"MMM 'YY\"))":["Dec '21","Dec '22","Dec '23","Dec '24","Dec '25","Dec '26"],"COGT-US^FE_TIMESERIES(BFNG,MEAN,2024,2024,FY,'BKRACTMED=1,WIN=0,UNITS=AUTO,DATE=NOW')":-255.859,"COGT-US^FE_TIMESERIES(BFNG,MEAN,2024/1F,2024/4F,FQ,'BKRACTMED=1,WIN=0,UNITS=AUTO,DATE=NOW')":[-58.348,-58.95,-70.634,-67.9135],"COGT-US^FE_TIMESERIES(BFNG,MEAN,2023,2023,FY,'BKRACTMED=1,WIN=0,UNITS=AUTO,DATE=NOW')":-192.41,"COGT-US^FE_TIMESERIES(BFNG,MEAN,2023/1F,2023/4F,FQ,'BKRACTMED=1,WIN=0,UNITS=AUTO,DATE=NOW')":[-38.587,-44.076,-55.382,-54.365],"COGT-US^FE_TIMESERIES(BFNG,MEAN,2022,2022,FY,'BKRACTMED=1,WIN=0,UNITS=AUTO,DATE=NOW')":-140.241,"COGT-US^FE_TIMESERIES(BFNG,MEAN,2022/1F,2022/4F,FQ,'BKRACTMED=1,WIN=0,UNITS=AUTO,DATE=NOW')":[-30.634,-34.927,-35.062,-39.618],"COGT-US^FE_TIMESERIES(BFNG,MEAN,2021,2021,FY,'BKRACTMED=1,WIN=0,UNITS=AUTO,DATE=NOW')":-72.273,"COGT-US^FE_TIMESERIES(BFNG,MEAN,2021/1F,2021/4F,FQ,'BKRACTMED=1,WIN=0,UNITS=AUTO,DATE=NOW')":[-11.728,-16.549,null,-24.912],"COGT-US^FE_TIMESERIES(BFNG,MEAN,2019,2020,FY,'BKRACTMED=1,WIN=0,UNITS=AUTO,DATE=NOW')":[null,-127.004],"COGT-US^FE_TIMESERIES(NETBG,MEAN,2024,2024,FY,'BKRACTMED=1,WIN=0,UNITS=AUTO,DATE=NOW')":-255.859,"COGT-US^FE_TIMESERIES(NETBG,MEAN,2024/1F,2024/4F,FQ,'BKRACTMED=1,WIN=0,UNITS=AUTO,DATE=NOW')":[null,null,-70.817,-55.657],"COGT-US^FE_TIMESERIES(NETBG,MEAN,2023,2023,FY,'BKRACTMED=1,WIN=0,UNITS=AUTO,DATE=NOW')":-192.41,"COGT-US^FE_TIMESERIES(NETBG,MEAN,2023/1F,2023/4F,FQ,'BKRACTMED=1,WIN=0,UNITS=AUTO,DATE=NOW')":[null,null,-55.191,null],"COGT-US^FE_TIMESERIES(NETBG,MEAN,2022,2022,FY,'BKRACTMED=1,WIN=0,UNITS=AUTO,DATE=NOW')":null,"COGT-US^FE_TIMESERIES(NETBG,MEAN,2022/1F,2022/4F,FQ,'BKRACTMED=1,WIN=0,UNITS=AUTO,DATE=NOW')":[null,null,null,null],"COGT-US^FE_TIMESERIES(NETBG,MEAN,2021,2021,FY,'BKRACTMED=1,WIN=0,UNITS=AUTO,DATE=NOW')":null,"COGT-US^FE_TIMESERIES(NETBG,MEAN,2021/1F,2021/4F,FQ,'BKRACTMED=1,WIN=0,UNITS=AUTO,DATE=NOW')":[null,null,null,null],"COGT-US^FE_TIMESERIES(NETBG,MEAN,2019,2020,FY,'BKRACTMED=1,WIN=0,UNITS=AUTO,DATE=NOW')":[null,null],"COGT-US^FE_TIMESERIES(NETPROFIT,MEAN,2024,2024,FY,'BKRACTMED=1,WIN=0,UNITS=AUTO,DATE=NOW')":-255.859,"COGT-US^FE_TIMESERIES(NETPROFIT,MEAN,2024/1F,2024/4F,FQ,'BKRACTMED=1,WIN=0,UNITS=AUTO,DATE=NOW')":[-58.348,-58.95,-70.634,-67.927],"COGT-US^FE_TIMESERIES(NETPROFIT,MEAN,2023,2023,FY,'BKRACTMED=1,WIN=0,UNITS=AUTO,DATE=NOW')":-192.41,"COGT-US^FE_TIMESERIES(NETPROFIT,MEAN,2023/1F,2023/4F,FQ,'BKRACTMED=1,WIN=0,UNITS=AUTO,DATE=NOW')":[-38.587,-44.1,-55.382,-54.365],"COGT-US^FE_TIMESERIES(NETPROFIT,MEAN,2022,2022,FY,'BKRACTMED=1,WIN=0,UNITS=AUTO,DATE=NOW')":-140.241,"COGT-US^FE_TIMESERIES(NETPROFIT,MEAN,2022/1F,2022/4F,FQ,'BKRACTMED=1,WIN=0,UNITS=AUTO,DATE=NOW')":[-30.634,-34.927,-35.062,-39.618],"COGT-US^FE_TIMESERIES(NETPROFIT,MEAN,2021,2021,FY,'BKRACTMED=1,WIN=0,UNITS=AUTO,DATE=NOW')":-72.273,"COGT-US^FE_TIMESERIES(NETPROFIT,MEAN,2021/1F,2021/4F,FQ,'BKRACTMED=1,WIN=0,UNITS=AUTO,DATE=NOW')":[-11.728,-16.549,-19.084,-24.912],"COGT-US^FE_TIMESERIES(NETPROFIT,MEAN,2019,2020,FY,'BKRACTMED=1,WIN=0,UNITS=AUTO,DATE=NOW')":[-31.833,-179.208],"COGT-US^FE_TIMESERIES(TAX_EXPENSE,MEAN,2024,2024,FY,'BKRACTMED=1,WIN=0,UNITS=AUTO,DATE=NOW')":0.0,"COGT-US^FE_TIMESERIES(TAX_EXPENSE,MEAN,2024/1F,2024/4F,FQ,'BKRACTMED=1,WIN=0,UNITS=AUTO,DATE=NOW')":[0.0,0.0,0.0,0.0],"COGT-US^FE_TIMESERIES(TAX_EXPENSE,MEAN,2023,2023,FY,'BKRACTMED=1,WIN=0,UNITS=AUTO,DATE=NOW')":0.0,"COGT-US^FE_TIMESERIES(TAX_EXPENSE,MEAN,2023/1F,2023/4F,FQ,'BKRACTMED=1,WIN=0,UNITS=AUTO,DATE=NOW')":[0.0,0.0,0.0,0.0],"COGT-US^FE_TIMESERIES(TAX_EXPENSE,MEAN,2022,2022,FY,'BKRACTMED=1,WIN=0,UNITS=AUTO,DATE=NOW')":0.0,"COGT-US^FE_TIMESERIES(TAX_EXPENSE,MEAN,2022/1F,2022/4F,FQ,'BKRACTMED=1,WIN=0,UNITS=AUTO,DATE=NOW')":[0.0,0.0,0.0,0.0],"COGT-US^FE_TIMESERIES(TAX_EXPENSE,MEAN,2021,2021,FY,'BKRACTMED=1,WIN=0,UNITS=AUTO,DATE=NOW')":0.0,"COGT-US^FE_TIMESERIES(TAX_EXPENSE,MEAN,2021/1F,2021/4F,FQ,'BKRACTMED=1,WIN=0,UNITS=AUTO,DATE=NOW')":[0.0,0.0,null,null],"COGT-US^FE_TIMESERIES(TAX_EXPENSE,MEAN,2019,2020,FY,'BKRACTMED=1,WIN=0,UNITS=AUTO,DATE=NOW')":[0.0,0.0],"COGT-US^FE_TIMESERIES(PTPA,MEAN,2024,2024,FY,'BKRACTMED=1,WIN=0,UNITS=AUTO,DATE=NOW')":-255.859,"COGT-US^FE_TIMESERIES(PTPA,MEAN,2024/1F,2024/4F,FQ,'BKRACTMED=1,WIN=0,UNITS=AUTO,DATE=NOW')":[null,null,-71.0,null],"COGT-US^FE_TIMESERIES(PTPA,MEAN,2023,2023,FY,'BKRACTMED=1,WIN=0,UNITS=AUTO,DATE=NOW')":-192.41,"COGT-US^FE_TIMESERIES(PTPA,MEAN,2023/1F,2023/4F,FQ,'BKRACTMED=1,WIN=0,UNITS=AUTO,DATE=NOW')":[null,null,-55.0,null],"COGT-US^FE_TIMESERIES(PTPA,MEAN,2022,2022,FY,'BKRACTMED=1,WIN=0,UNITS=AUTO,DATE=NOW')":null,"COGT-US^FE_TIMESERIES(PTPA,MEAN,2022/1F,2022/4F,FQ,'BKRACTMED=1,WIN=0,UNITS=AUTO,DATE=NOW')":[null,null,null,null],"COGT-US^FE_TIMESERIES(PTPA,MEAN,2021,2021,FY,'BKRACTMED=1,WIN=0,UNITS=AUTO,DATE=NOW')":null,"COGT-US^FE_TIMESERIES(PTPA,MEAN,2021/1F,2021/4F,FQ,'BKRACTMED=1,WIN=0,UNITS=AUTO,DATE=NOW')":[null,null,null,null],"COGT-US^FE_TIMESERIES(PTPA,MEAN,2019,2020,FY,'BKRACTMED=1,WIN=0,UNITS=AUTO,DATE=NOW')":[null,null],"COGT-US^FE_TIMESERIES(PTP,MEAN,2024,2024,FY,'BKRACTMED=1,WIN=0,UNITS=AUTO,DATE=NOW')":-255.859,"COGT-US^FE_TIMESERIES(PTP,MEAN,2024/1F,2024/4F,FQ,'BKRACTMED=1,WIN=0,UNITS=AUTO,DATE=NOW')":[-58.348,-58.95,-70.634,-67.927],"COGT-US^FE_TIMESERIES(PTP,MEAN,2023,2023,FY,'BKRACTMED=1,WIN=0,UNITS=AUTO,DATE=NOW')":-192.41,"COGT-US^FE_TIMESERIES(PTP,MEAN,2023/1F,2023/4F,FQ,'BKRACTMED=1,WIN=0,UNITS=AUTO,DATE=NOW')":[-38.587,-44.076,-55.382,-54.365],"COGT-US^FE_TIMESERIES(PTP,MEAN,2022,2022,FY,'BKRACTMED=1,WIN=0,UNITS=AUTO,DATE=NOW')":-140.241,"COGT-US^FE_TIMESERIES(PTP,MEAN,2022/1F,2022/4F,FQ,'BKRACTMED=1,WIN=0,UNITS=AUTO,DATE=NOW')":[-30.617,-34.9135,-35.1,-39.618],"COGT-US^FE_TIMESERIES(PTP,MEAN,2021,2021,FY,'BKRACTMED=1,WIN=0,UNITS=AUTO,DATE=NOW')":-72.273,"COGT-US^FE_TIMESERIES(PTP,MEAN,2021/1F,2021/4F,FQ,'BKRACTMED=1,WIN=0,UNITS=AUTO,DATE=NOW')":[-11.728,-16.549,-19.084,-24.912],"COGT-US^FE_TIMESERIES(PTP,MEAN,2019,2020,FY,'BKRACTMED=1,WIN=0,UNITS=AUTO,DATE=NOW')":[-31.833,-74.808],"COGT-US^FE_TIMESERIES(INTEXP,MEAN,2024,2024,FY,'BKRACTMED=1,WIN=0,UNITS=AUTO,DATE=NOW')":null,"COGT-US^FE_TIMESERIES(INTEXP,MEAN,2024/1F,2024/4F,FQ,'BKRACTMED=1,WIN=0,UNITS=AUTO,DATE=NOW')":[null,null,null,null],"COGT-US^FE_TIMESERIES(INTEXP,MEAN,2023,2023,FY,'BKRACTMED=1,WIN=0,UNITS=AUTO,DATE=NOW')":null,"COGT-US^FE_TIMESERIES(INTEXP,MEAN,2023/1F,2023/4F,FQ,'BKRACTMED=1,WIN=0,UNITS=AUTO,DATE=NOW')":[null,null,null,null],"COGT-US^FE_TIMESERIES(INTEXP,MEAN,2022,2022,FY,'BKRACTMED=1,WIN=0,UNITS=AUTO,DATE=NOW')":null,"COGT-US^FE_TIMESERIES(INTEXP,MEAN,2022/1F,2022/4F,FQ,'BKRACTMED=1,WIN=0,UNITS=AUTO,DATE=NOW')":[null,null,null,null],"COGT-US^FE_TIMESERIES(INTEXP,MEAN,2021,2021,FY,'BKRACTMED=1,WIN=0,UNITS=AUTO,DATE=NOW')":null,"COGT-US^FE_TIMESERIES(INTEXP,MEAN,2021/1F,2021/4F,FQ,'BKRACTMED=1,WIN=0,UNITS=AUTO,DATE=NOW')":[null,null,null,null],"COGT-US^FE_TIMESERIES(INTEXP,MEAN,2019,2020,FY,'BKRACTMED=1,WIN=0,UNITS=AUTO,DATE=NOW')":[null,0.0],"COGT-US^FE_TIMESERIES(EBIT_ADJ,MEAN,2024,2024,FY,'BKRACTMED=1,WIN=0,UNITS=AUTO,DATE=NOW')":-255.859,"COGT-US^FE_TIMESERIES(EBIT_ADJ,MEAN,2024/1F,2024/4F,FQ,'BKRACTMED=1,WIN=0,UNITS=AUTO,DATE=NOW')":[-58.348,-58.95,-71.0,null],"COGT-US^FE_TIMESERIES(EBIT_ADJ,MEAN,2023,2023,FY,'BKRACTMED=1,WIN=0,UNITS=AUTO,DATE=NOW')":-192.41,"COGT-US^FE_TIMESERIES(EBIT_ADJ,MEAN,2023/1F,2023/4F,FQ,'BKRACTMED=1,WIN=0,UNITS=AUTO,DATE=NOW')":[null,null,-55.0,null],"COGT-US^FE_TIMESERIES(EBIT_ADJ,MEAN,2022,2022,FY,'BKRACTMED=1,WIN=0,UNITS=AUTO,DATE=NOW')":null,"COGT-US^FE_TIMESERIES(EBIT_ADJ,MEAN,2022/1F,2022/4F,FQ,'BKRACTMED=1,WIN=0,UNITS=AUTO,DATE=NOW')":[null,null,null,null],"COGT-US^FE_TIMESERIES(EBIT_ADJ,MEAN,2021,2021,FY,'BKRACTMED=1,WIN=0,UNITS=AUTO,DATE=NOW')":null,"COGT-US^FE_TIMESERIES(EBIT_ADJ,MEAN,2021/1F,2021/4F,FQ,'BKRACTMED=1,WIN=0,UNITS=AUTO,DATE=NOW')":[null,null,null,null],"COGT-US^FE_TIMESERIES(EBIT_ADJ,MEAN,2019,2020,FY,'BKRACTMED=1,WIN=0,UNITS=AUTO,DATE=NOW')":[null,null],"COGT-US^FE_TIMESERIES(EBIT,MEAN,2024,2024,FY,'BKRACTMED=1,WIN=0,UNITS=AUTO,DATE=NOW')":-275.9195,"COGT-US^FE_TIMESERIES(EBIT,MEAN,2024/1F,2024/4F,FQ,'BKRACTMED=1,WIN=0,UNITS=AUTO,DATE=NOW')":[-62.402,-64.387,-75.414,-73.734],"COGT-US^FE_TIMESERIES(EBIT,MEAN,2023,2023,FY,'BKRACTMED=1,WIN=0,UNITS=AUTO,DATE=NOW')":-208.115,"COGT-US^FE_TIMESERIES(EBIT,MEAN,2023/1F,2023/4F,FQ,'BKRACTMED=1,WIN=0,UNITS=AUTO,DATE=NOW')":[-43.237,-47.085,-59.58,-58.228],"COGT-US^FE_TIMESERIES(EBIT,MEAN,2022,2022,FY,'BKRACTMED=1,WIN=0,UNITS=AUTO,DATE=NOW')":-147.839,"COGT-US^FE_TIMESERIES(EBIT,MEAN,2022/1F,2022/4F,FQ,'BKRACTMED=1,WIN=0,UNITS=AUTO,DATE=NOW')":[-31.409,-35.8775,-36.8,-43.745],"COGT-US^FE_TIMESERIES(EBIT,MEAN,2021,2021,FY,'BKRACTMED=1,WIN=0,UNITS=AUTO,DATE=NOW')":-75.55,"COGT-US^FE_TIMESERIES(EBIT,MEAN,2021/1F,2021/4F,FQ,'BKRACTMED=1,WIN=0,UNITS=AUTO,DATE=NOW')":[-12.8,-17.292,-19.819,-25.639],"COGT-US^FE_TIMESERIES(EBIT,MEAN,2019,2020,FY,'BKRACTMED=1,WIN=0,UNITS=AUTO,DATE=NOW')":[-32.178,-82.199],"COGT-US^FE_TIMESERIES(DEPR_AMORT,MEAN,2024,2024,FY,'BKRACTMED=1,WIN=0,UNITS=AUTO,DATE=NOW')":2.5,"COGT-US^FE_TIMESERIES(DEPR_AMORT,MEAN,2024/1F,2024/4F,FQ,'BKRACTMED=1,WIN=0,UNITS=AUTO,DATE=NOW')":[null,null,null,null],"COGT-US^FE_TIMESERIES(DEPR_AMORT,MEAN,2023,2023,FY,'BKRACTMED=1,WIN=0,UNITS=AUTO,DATE=NOW')":2.3,"COGT-US^FE_TIMESERIES(DEPR_AMORT,MEAN,2023/1F,2023/4F,FQ,'BKRACTMED=1,WIN=0,UNITS=AUTO,DATE=NOW')":[null,null,null,null],"COGT-US^FE_TIMESERIES(DEPR_AMORT,MEAN,2022,2022,FY,'BKRACTMED=1,WIN=0,UNITS=AUTO,DATE=NOW')":0.8,"COGT-US^FE_TIMESERIES(DEPR_AMORT,MEAN,2022/1F,2022/4F,FQ,'BKRACTMED=1,WIN=0,UNITS=AUTO,DATE=NOW')":[null,null,null,null],"COGT-US^FE_TIMESERIES(DEPR_AMORT,MEAN,2021,2021,FY,'BKRACTMED=1,WIN=0,UNITS=AUTO,DATE=NOW')":null,"COGT-US^FE_TIMESERIES(DEPR_AMORT,MEAN,2021/1F,2021/4F,FQ,'BKRACTMED=1,WIN=0,UNITS=AUTO,DATE=NOW')":[null,null,null,null],"COGT-US^FE_TIMESERIES(DEPR_AMORT,MEAN,2019,2020,FY,'BKRACTMED=1,WIN=0,UNITS=AUTO,DATE=NOW')":[null,null],"COGT-US^FE_TIMESERIES(EBITDA_REP,MEAN,2024,2024,FY,'BKRACTMED=1,WIN=0,UNITS=AUTO,DATE=NOW')":-163.409,"COGT-US^FE_TIMESERIES(EBITDA_REP,MEAN,2024/1F,2024/4F,FQ,'BKRACTMED=1,WIN=0,UNITS=AUTO,DATE=NOW')":[null,null,null,null],"COGT-US^FE_TIMESERIES(EBITDA_REP,MEAN,2023,2023,FY,'BKRACTMED=1,WIN=0,UNITS=AUTO,DATE=NOW')":-95.14,"COGT-US^FE_TIMESERIES(EBITDA_REP,MEAN,2023/1F,2023/4F,FQ,'BKRACTMED=1,WIN=0,UNITS=AUTO,DATE=NOW')":[null,null,41.618,null],"COGT-US^FE_TIMESERIES(EBITDA_REP,MEAN,2022,2022,FY,'BKRACTMED=1,WIN=0,UNITS=AUTO,DATE=NOW')":null,"COGT-US^FE_TIMESERIES(EBITDA_REP,MEAN,2022/1F,2022/4F,FQ,'BKRACTMED=1,WIN=0,UNITS=AUTO,DATE=NOW')":[null,null,null,null],"COGT-US^FE_TIMESERIES(EBITDA_REP,MEAN,2021,2021,FY,'BKRACTMED=1,WIN=0,UNITS=AUTO,DATE=NOW')":null,"COGT-US^FE_TIMESERIES(EBITDA_REP,MEAN,2021/1F,2021/4F,FQ,'BKRACTMED=1,WIN=0,UNITS=AUTO,DATE=NOW')":[null,null,null,null],"COGT-US^FE_TIMESERIES(EBITDA_REP,MEAN,2019,2020,FY,'BKRACTMED=1,WIN=0,UNITS=AUTO,DATE=NOW')":[null,null],"COGT-US^FE_TIMESERIES(EBITDA,MEAN,2024,2024,FY,'BKRACTMED=1,WIN=0,UNITS=AUTO,DATE=NOW')":-218.449,"COGT-US^FE_TIMESERIES(EBITDA,MEAN,2024/1F,2024/4F,FQ,'BKRACTMED=1,WIN=0,UNITS=AUTO,DATE=NOW')":[null,null,-75.414,null],"COGT-US^FE_TIMESERIES(EBITDA,MEAN,2023,2023,FY,'BKRACTMED=1,WIN=0,UNITS=AUTO,DATE=NOW')":-150.5,"COGT-US^FE_TIMESERIES(EBITDA,MEAN,2023/1F,2023/4F,FQ,'BKRACTMED=1,WIN=0,UNITS=AUTO,DATE=NOW')":[null,null,-8.79,null],"COGT-US^FE_TIMESERIES(EBITDA,MEAN,2022,2022,FY,'BKRACTMED=1,WIN=0,UNITS=AUTO,DATE=NOW')":null,"COGT-US^FE_TIMESERIES(EBITDA,MEAN,2022/1F,2022/4F,FQ,'BKRACTMED=1,WIN=0,UNITS=AUTO,DATE=NOW')":[null,null,null,null],"COGT-US^FE_TIMESERIES(EBITDA,MEAN,2021,2021,FY,'BKRACTMED=1,WIN=0,UNITS=AUTO,DATE=NOW')":null,"COGT-US^FE_TIMESERIES(EBITDA,MEAN,2021/1F,2021/4F,FQ,'BKRACTMED=1,WIN=0,UNITS=AUTO,DATE=NOW')":[null,null,null,null],"COGT-US^FE_TIMESERIES(EBITDA,MEAN,2019,2020,FY,'BKRACTMED=1,WIN=0,UNITS=AUTO,DATE=NOW')":[null,null],"COGT-US^FE_TIMESERIES(RD_EXP,MEAN,2024,2024,FY,'BKRACTMED=1,WIN=0,UNITS=AUTO,DATE=NOW')":232.679,"COGT-US^FE_TIMESERIES(RD_EXP,MEAN,2024/1F,2024/4F,FQ,'BKRACTMED=1,WIN=0,UNITS=AUTO,DATE=NOW')":[52.705,54.294,63.614,62.045],"COGT-US^FE_TIMESERIES(RD_EXP,MEAN,2023,2023,FY,'BKRACTMED=1,WIN=0,UNITS=AUTO,DATE=NOW')":173.7775,"COGT-US^FE_TIMESERIES(RD_EXP,MEAN,2023/1F,2023/4F,FQ,'BKRACTMED=1,WIN=0,UNITS=AUTO,DATE=NOW')":[36.038,38.871,50.127,48.719],"COGT-US^FE_TIMESERIES(RD_EXP,MEAN,2022,2022,FY,'BKRACTMED=1,WIN=0,UNITS=AUTO,DATE=NOW')":121.627,"COGT-US^FE_TIMESERIES(RD_EXP,MEAN,2022/1F,2022/4F,FQ,'BKRACTMED=1,WIN=0,UNITS=AUTO,DATE=NOW')":[25.485,29.4895,29.9,36.742],"COGT-US^FE_TIMESERIES(RD_EXP,MEAN,2021,2021,FY,'BKRACTMED=1,WIN=0,UNITS=AUTO,DATE=NOW')":55.913,"COGT-US^FE_TIMESERIES(RD_EXP,MEAN,2021/1F,2021/4F,FQ,'BKRACTMED=1,WIN=0,UNITS=AUTO,DATE=NOW')":[8.213,12.388,14.8,20.512],"COGT-US^FE_TIMESERIES(RD_EXP,MEAN,2019,2020,FY,'BKRACTMED=1,WIN=0,UNITS=AUTO,DATE=NOW')":[43.709,25.738],"COGT-US^FE_TIMESERIES(G_A_EXP,MEAN,2024,2024,FY,'BKRACTMED=1,WIN=0,UNITS=AUTO,DATE=NOW')":43.281,"COGT-US^FE_TIMESERIES(G_A_EXP,MEAN,2024/1F,2024/4F,FQ,'BKRACTMED=1,WIN=0,UNITS=AUTO,DATE=NOW')":[9.699,10.093,11.8,11.689],"COGT-US^FE_TIMESERIES(G_A_EXP,MEAN,2023,2023,FY,'BKRACTMED=1,WIN=0,UNITS=AUTO,DATE=NOW')":34.375,"COGT-US^FE_TIMESERIES(G_A_EXP,MEAN,2023/1F,2023/4F,FQ,'BKRACTMED=1,WIN=0,UNITS=AUTO,DATE=NOW')":[7.199,8.214,9.453,9.509],"COGT-US^FE_TIMESERIES(G_A_EXP,MEAN,2022,2022,FY,'BKRACTMED=1,WIN=0,UNITS=AUTO,DATE=NOW')":26.212,"COGT-US^FE_TIMESERIES(G_A_EXP,MEAN,2022/1F,2022/4F,FQ,'BKRACTMED=1,WIN=0,UNITS=AUTO,DATE=NOW')":[null,null,null,7.003],"COGT-US^FE_TIMESERIES(G_A_EXP,MEAN,2021,2021,FY,'BKRACTMED=1,WIN=0,UNITS=AUTO,DATE=NOW')":19.64,"COGT-US^FE_TIMESERIES(G_A_EXP,MEAN,2021/1F,2021/4F,FQ,'BKRACTMED=1,WIN=0,UNITS=AUTO,DATE=NOW')":[null,4.9,5.02,5.13],"COGT-US^FE_TIMESERIES(G_A_EXP,MEAN,2019,2020,FY,'BKRACTMED=1,WIN=0,UNITS=AUTO,DATE=NOW')":[null,null],"COGT-US^FE_TIMESERIES(S_M_EXP,MEAN,2024,2024,FY,'BKRACTMED=1,WIN=0,UNITS=AUTO,DATE=NOW')":null,"COGT-US^FE_TIMESERIES(S_M_EXP,MEAN,2024/1F,2024/4F,FQ,'BKRACTMED=1,WIN=0,UNITS=AUTO,DATE=NOW')":[null,null,null,null],"COGT-US^FE_TIMESERIES(S_M_EXP,MEAN,2023,2023,FY,'BKRACTMED=1,WIN=0,UNITS=AUTO,DATE=NOW')":null,"COGT-US^FE_TIMESERIES(S_M_EXP,MEAN,2023/1F,2023/4F,FQ,'BKRACTMED=1,WIN=0,UNITS=AUTO,DATE=NOW')":[null,null,null,null],"COGT-US^FE_TIMESERIES(S_M_EXP,MEAN,2022,2022,FY,'BKRACTMED=1,WIN=0,UNITS=AUTO,DATE=NOW')":null,"COGT-US^FE_TIMESERIES(S_M_EXP,MEAN,2022/1F,2022/4F,FQ,'BKRACTMED=1,WIN=0,UNITS=AUTO,DATE=NOW')":[null,null,null,null],"COGT-US^FE_TIMESERIES(S_M_EXP,MEAN,2021,2021,FY,'BKRACTMED=1,WIN=0,UNITS=AUTO,DATE=NOW')":null,"COGT-US^FE_TIMESERIES(S_M_EXP,MEAN,2021/1F,2021/4F,FQ,'BKRACTMED=1,WIN=0,UNITS=AUTO,DATE=NOW')":[null,null,null,null],"COGT-US^FE_TIMESERIES(S_M_EXP,MEAN,2019,2020,FY,'BKRACTMED=1,WIN=0,UNITS=AUTO,DATE=NOW')":[null,null],"COGT-US^FE_TIMESERIES(SGA,MEAN,2024,2024,FY,'BKRACTMED=1,WIN=0,UNITS=AUTO,DATE=NOW')":43.2905,"COGT-US^FE_TIMESERIES(SGA,MEAN,2024/1F,2024/4F,FQ,'BKRACTMED=1,WIN=0,UNITS=AUTO,DATE=NOW')":[9.6995,10.0965,11.8,11.6945],"COGT-US^FE_TIMESERIES(SGA,MEAN,2023,2023,FY,'BKRACTMED=1,WIN=0,UNITS=AUTO,DATE=NOW')":34.3875,"COGT-US^FE_TIMESERIES(SGA,MEAN,2023/1F,2023/4F,FQ,'BKRACTMED=1,WIN=0,UNITS=AUTO,DATE=NOW')":[7.1995,8.207,9.453,9.5045],"COGT-US^FE_TIMESERIES(SGA,MEAN,2022,2022,FY,'BKRACTMED=1,WIN=0,UNITS=AUTO,DATE=NOW')":26.212,"COGT-US^FE_TIMESERIES(SGA,MEAN,2022/1F,2022/4F,FQ,'BKRACTMED=1,WIN=0,UNITS=AUTO,DATE=NOW')":[5.924,6.388,6.9,7.0015],"COGT-US^FE_TIMESERIES(SGA,MEAN,2021,2021,FY,'BKRACTMED=1,WIN=0,UNITS=AUTO,DATE=NOW')":19.637,"COGT-US^FE_TIMESERIES(SGA,MEAN,2021/1F,2021/4F,FQ,'BKRACTMED=1,WIN=0,UNITS=AUTO,DATE=NOW')":[4.587,4.904,5.0105,5.125],"COGT-US^FE_TIMESERIES(SGA,MEAN,2019,2020,FY,'BKRACTMED=1,WIN=0,UNITS=AUTO,DATE=NOW')":[10.968,17.422],"COGT-US^FE_TIMESERIES(GROSSINCOME,MEAN,2024,2024,FY,'BKRACTMED=1,WIN=0,UNITS=AUTO,DATE=NOW')":0.0,"COGT-US^FE_TIMESERIES(GROSSINCOME,MEAN,2024/1F,2024/4F,FQ,'BKRACTMED=1,WIN=0,UNITS=AUTO,DATE=NOW')":[0.0,0.0,0.0,0.0],"COGT-US^FE_TIMESERIES(GROSSINCOME,MEAN,2023,2023,FY,'BKRACTMED=1,WIN=0,UNITS=AUTO,DATE=NOW')":0.0,"COGT-US^FE_TIMESERIES(GROSSINCOME,MEAN,2023/1F,2023/4F,FQ,'BKRACTMED=1,WIN=0,UNITS=AUTO,DATE=NOW')":[0.0,0.0,0.0,0.0],"COGT-US^FE_TIMESERIES(GROSSINCOME,MEAN,2022,2022,FY,'BKRACTMED=1,WIN=0,UNITS=AUTO,DATE=NOW')":0.0,"COGT-US^FE_TIMESERIES(GROSSINCOME,MEAN,2022/1F,2022/4F,FQ,'BKRACTMED=1,WIN=0,UNITS=AUTO,DATE=NOW')":[null,null,0.0,0.0],"COGT-US^FE_TIMESERIES(GROSSINCOME,MEAN,2021,2021,FY,'BKRACTMED=1,WIN=0,UNITS=AUTO,DATE=NOW')":null,"COGT-US^FE_TIMESERIES(GROSSINCOME,MEAN,2021/1F,2021/4F,FQ,'BKRACTMED=1,WIN=0,UNITS=AUTO,DATE=NOW')":[null,null,null,null],"COGT-US^FE_TIMESERIES(GROSSINCOME,MEAN,2019,2020,FY,'BKRACTMED=1,WIN=0,UNITS=AUTO,DATE=NOW')":[null,null],"COGT-US^FE_TIMESERIES(COS,MEAN,2024,2024,FY,'BKRACTMED=1,WIN=0,UNITS=AUTO,DATE=NOW')":0.0,"COGT-US^FE_TIMESERIES(COS,MEAN,2024/1F,2024/4F,FQ,'BKRACTMED=1,WIN=0,UNITS=AUTO,DATE=NOW')":[0.0,0.0,0.0,0.0],"COGT-US^FE_TIMESERIES(COS,MEAN,2023,2023,FY,'BKRACTMED=1,WIN=0,UNITS=AUTO,DATE=NOW')":0.0,"COGT-US^FE_TIMESERIES(COS,MEAN,2023/1F,2023/4F,FQ,'BKRACTMED=1,WIN=0,UNITS=AUTO,DATE=NOW')":[0.0,0.0,0.0,0.0],"COGT-US^FE_TIMESERIES(COS,MEAN,2022,2022,FY,'BKRACTMED=1,WIN=0,UNITS=AUTO,DATE=NOW')":0.0,"COGT-US^FE_TIMESERIES(COS,MEAN,2022/1F,2022/4F,FQ,'BKRACTMED=1,WIN=0,UNITS=AUTO,DATE=NOW')":[0.0,0.0,0.0,0.0],"COGT-US^FE_TIMESERIES(COS,MEAN,2021,2021,FY,'BKRACTMED=1,WIN=0,UNITS=AUTO,DATE=NOW')":0.0,"COGT-US^FE_TIMESERIES(COS,MEAN,2021/1F,2021/4F,FQ,'BKRACTMED=1,WIN=0,UNITS=AUTO,DATE=NOW')":[0.0,0.0,null,null],"COGT-US^FE_TIMESERIES(COS,MEAN,2019,2020,FY,'BKRACTMED=1,WIN=0,UNITS=AUTO,DATE=NOW')":[0.0,0.0],"COGT-US^FE_TIMESERIES(SALES,MEAN,2024,2024,FY,'BKRACTMED=1,WIN=0,UNITS=AUTO,DATE=NOW')":0.0,"COGT-US^FE_TIMESERIES(SALES,MEAN,2024/1F,2024/4F,FQ,'BKRACTMED=1,WIN=0,UNITS=AUTO,DATE=NOW')":[0.0,0.0,0.0,0.0],"COGT-US^FE_TIMESERIES(SALES,MEAN,2023,2023,FY,'BKRACTMED=1,WIN=0,UNITS=AUTO,DATE=NOW')":0.0,"COGT-US^FE_TIMESERIES(SALES,MEAN,2023/1F,2023/4F,FQ,'BKRACTMED=1,WIN=0,UNITS=AUTO,DATE=NOW')":[0.0,0.0,0.0,0.0],"COGT-US^FE_TIMESERIES(EAG,MEAN,2024,2025,FY,'BKRACTMED=1,WIN=0,UNITS=AUTO,DATE=NOW')":[-2.46,-2.2642858],"COGT-US^FE_TIMESERIES(EAG,MEAN,2024/1F,2024/4F,FQ,'BKRACTMED=1,WIN=0,UNITS=AUTO,DATE=NOW')":[-0.62,-0.59,-0.64,-0.61],"COGT-US^FE_TIMESERIES(EAG,MEAN,2023,2023,FY,'BKRACTMED=1,WIN=0,UNITS=AUTO,DATE=NOW')":-2.42,"COGT-US^FE_TIMESERIES(EAG,MEAN,2023/1F,2023/4F,FQ,'BKRACTMED=1,WIN=0,UNITS=AUTO,DATE=NOW')":[-0.54,-0.59,-0.64,-0.63],"COGT-US^FE_TIMESERIES(EAG,MEAN,2022,2022,FY,'BKRACTMED=1,WIN=0,UNITS=AUTO,DATE=NOW')":-2.39,"COGT-US^FE_TIMESERIES(EAG,MEAN,2022/1F,2022/4F,FQ,'BKRACTMED=1,WIN=0,UNITS=AUTO,DATE=NOW')":[-0.68,-0.71,-0.5,-0.56],"COGT-US^FE_TIMESERIES(EAG,MEAN,2021,2021,FY,'BKRACTMED=1,WIN=0,UNITS=AUTO,DATE=NOW')":-1.87,"COGT-US^FE_TIMESERIES(EAG,MEAN,2021/1F,2021/4F,FQ,'BKRACTMED=1,WIN=0,UNITS=AUTO,DATE=NOW')":[-0.34,-0.43,-0.48,-0.585],"COGT-US^FE_TIMESERIES(EAG,MEAN,2019,2020,FY,'BKRACTMED=1,WIN=0,UNITS=AUTO,DATE=NOW')":[-4.2,-16.17],"COGT-US^FE_TIMESERIES(EPS,MEAN,2024,2025,FY,'BKRACTMED=1,WIN=0,UNITS=AUTO,DATE=NOW')":[-2.46,-2.1972],"COGT-US^FE_TIMESERIES(EPS,MEAN,2024/1F,2024/4F,FQ,'BKRACTMED=1,WIN=0,UNITS=AUTO,DATE=NOW')":[-0.62,-0.59,-0.64,-0.61],"COGT-US^FE_TIMESERIES(EPS,MEAN,2023,2023,FY,'BKRACTMED=1,WIN=0,UNITS=AUTO,DATE=NOW')":-2.42,"COGT-US^FE_TIMESERIES(EPS,MEAN,2023/1F,2023/4F,FQ,'BKRACTMED=1,WIN=0,UNITS=AUTO,DATE=NOW')":[-0.54,-0.59,-0.64,-0.63],"COGT-US^FE_TIMESERIES(EPS,MEAN,2022,2022,FY,'BKRACTMED=1,WIN=0,UNITS=AUTO,DATE=NOW')":-2.39,"COGT-US^FE_TIMESERIES(EPS,MEAN,2022/1F,2022/4F,FQ,'BKRACTMED=1,WIN=0,UNITS=AUTO,DATE=NOW')":[-0.68,-0.71,-0.5,-0.56],"COGT-US^FE_TIMESERIES(EPS,MEAN,2021,2021,FY,'BKRACTMED=1,WIN=0,UNITS=AUTO,DATE=NOW')":-1.87,"COGT-US^FE_TIMESERIES(EPS,MEAN,2021/1F,2021/4F,FQ,'BKRACTMED=1,WIN=0,UNITS=AUTO,DATE=NOW')":[-0.34,-0.43,-0.48,-0.6],"COGT-US^FE_TIMESERIES(EPS,MEAN,2019,2020,FY,'BKRACTMED=1,WIN=0,UNITS=AUTO,DATE=NOW')":[-4.16,-16.17],"COGT-US^FE_TIMESERIES(SALES,MEAN,2022,2022,FY,'BKRACTMED=1,WIN=0,UNITS=AUTO,DATE=NOW')":0.0,"COGT-US^FE_TIMESERIES(SALES,MEAN,2022/1F,2022/4F,FQ,'BKRACTMED=1,WIN=0,UNITS=AUTO,DATE=NOW')":[0.0,0.0,0.0,0.0],"COGT-US^FE_TIMESERIES(SALES,MEAN,2021,2021,FY,'BKRACTMED=1,WIN=0,UNITS=AUTO,DATE=NOW')":0.0,"COGT-US^FE_TIMESERIES(SALES,MEAN,2021/1F,2021/4F,FQ,'BKRACTMED=1,WIN=0,UNITS=AUTO,DATE=NOW')":[0.0,0.0,0.0,0.0],"COGT-US^FE_TIMESERIES_PERIOD(,2024,2025,FY,'')":["2024","2025"],"COGT-US^FE_TIMESERIES_PERIOD(,2024/1F,2024/4F,FQ,'')":["2024/1F","2024/2F","2024/3F","2024/4F"],"COGT-US^FE_TIMESERIES_PERIOD(,2023,2023,FY,'')":"2023","COGT-US^FE_TIMESERIES_PERIOD(,2023/1F,2023/4F,FQ,'')":["2023/1F","2023/2F","2023/3F","2023/4F"],"COGT-US^FE_TIMESERIES_PERIOD(,2022,2022,FY,'')":"2022","COGT-US^FE_TIMESERIES_PERIOD(,2022/1F,2022/4F,FQ,'')":["2022/1F","2022/2F","2022/3F","2022/4F"],"COGT-US^FE_TIMESERIES_PERIOD(,2021,2021,FY,'')":"2021","COGT-US^FE_TIMESERIES_PERIOD(,2021/1F,2021/4F,FQ,'')":["2021/1F","2021/2F","2021/3F","2021/4F"],"COGT-US^FE_TIMESERIES_PERIOD(,2019,2020,FY,'')":["2019","2020"],"COGT-US^PROPER(CONVERT_DATE(FE_TIMESERIES_PERIOD(,2024,2025,FY,'DISPLAY=YYYYMMDD'),\"MMM 'YY\"))":["Dec '24","Dec '25"],"COGT-US^PROPER(CONVERT_DATE(FE_TIMESERIES_PERIOD(,2024/1F,2024/4F,FQ,'DISPLAY=YYYYMMDD'),\"MMM 'YY\"))":["Mar '24","Jun '24","Sep '24","Dec '24"],"COGT-US^PROPER(CONVERT_DATE(FE_TIMESERIES_PERIOD(,2023,2023,FY,'DISPLAY=YYYYMMDD'),\"MMM 'YY\"))":"Dec '23","COGT-US^PROPER(CONVERT_DATE(FE_TIMESERIES_PERIOD(,2023/1F,2023/4F,FQ,'DISPLAY=YYYYMMDD'),\"MMM 'YY\"))":["Mar '23","Jun '23","Sep '23","Dec '23"],"COGT-US^PROPER(CONVERT_DATE(FE_TIMESERIES_PERIOD(,2022,2022,FY,'DISPLAY=YYYYMMDD'),\"MMM 'YY\"))":"Dec '22","COGT-US^PROPER(CONVERT_DATE(FE_TIMESERIES_PERIOD(,2022/1F,2022/4F,FQ,'DISPLAY=YYYYMMDD'),\"MMM 'YY\"))":["Mar '22","Jun '22","Sep '22","Dec '22"],"COGT-US^PROPER(CONVERT_DATE(FE_TIMESERIES_PERIOD(,2021,2021,FY,'DISPLAY=YYYYMMDD'),\"MMM 'YY\"))":"Dec '21","COGT-US^PROPER(CONVERT_DATE(FE_TIMESERIES_PERIOD(,2021/1F,2021/4F,FQ,'DISPLAY=YYYYMMDD'),\"MMM 'YY\"))":["Mar '21","Jun '21","Sep '21","Dec '21"],"COGT-US^PROPER(CONVERT_DATE(FE_TIMESERIES_PERIOD(,2019,2020,FY,'DISPLAY=YYYYMMDD'),\"MMM 'YY\"))":["Dec '19","Dec '20"],"COGT-US^FE_TIMESERIES(EBG,MEAN,2021,2026,FY,'BKRACTMED=1,WIN=0,UNITS=AUTO,DATE=NOW')":[null,null,null,null,null,null],"COGT-US^FE_TIMESERIES(CUSTOM_EPS,MEAN,2021,2026,FY,'BKRACTMED=1,WIN=0,UNITS=AUTO,DATE=NOW')":[-1.715,-2.06,-2.2086644,-2.06,-2.06,-1.678],"COGT-US^FE_TIMESERIES(EAG,MEAN,2021,2026,FY,'BKRACTMED=1,WIN=0,UNITS=AUTO,DATE=NOW')":[-1.87,-2.39,-2.42,-2.46,-2.2642858,-1.8257142],"COGT-US^FE_TIMESERIES(EPS,MEAN,2021,2026,FY,'BKRACTMED=1,WIN=0,UNITS=AUTO,DATE=NOW')":[-1.87,-2.39,-2.42,-2.46,-2.1972,-1.87345],"COGT-US^FE_TIMESERIES(EBG,MEAN,2023,2023,FY,'BKRACTMED=1,WIN=0,UNITS=AUTO,DATE=NOW')":null,"COGT-US^FE_TIMESERIES(EBG,MEAN,2023/1F,2023/4F,FQ,'BKRACTMED=1,WIN=0,UNITS=AUTO,DATE=NOW')":[null,null,null,null],"COGT-US^FE_TIMESERIES(EBG,MEAN,2022,2022,FY,'BKRACTMED=1,WIN=0,UNITS=AUTO,DATE=NOW')":null,"COGT-US^FE_TIMESERIES(EBG,MEAN,2022/1F,2022/4F,FQ,'BKRACTMED=1,WIN=0,UNITS=AUTO,DATE=NOW')":[null,null,null,null],"COGT-US^FE_TIMESERIES(EBG,MEAN,2021,2021,FY,'BKRACTMED=1,WIN=0,UNITS=AUTO,DATE=NOW')":null,"COGT-US^FE_TIMESERIES(EBG,MEAN,2021/1F,2021/4F,FQ,'BKRACTMED=1,WIN=0,UNITS=AUTO,DATE=NOW')":[null,null,null,null],"COGT-US^FE_TIMESERIES(EBG,MEAN,2019,2020,FY,'BKRACTMED=1,WIN=0,UNITS=AUTO,DATE=NOW')":[null,null],"COGT-US^FE_TIMESERIES(CUSTOM_EPS,MEAN,2025,2025,FY,'BKRACTMED=1,WIN=0,UNITS=AUTO,DATE=NOW')":-2.06,"COGT-US^FE_TIMESERIES(CUSTOM_EPS,MEAN,2025/1F,2025/4F,FQ,'BKRACTMED=1,WIN=0,UNITS=AUTO,DATE=NOW')":[-0.52,-0.54,-0.494,-0.47],"COGT-US^FE_TIMESERIES(CUSTOM_EPS,MEAN,2024,2025,FY,'BKRACTMED=1,WIN=0,UNITS=AUTO,DATE=NOW')":[-2.06,-2.06],"COGT-US^FE_TIMESERIES(CUSTOM_EPS,MEAN,2024/1F,2024/4F,FQ,'BKRACTMED=1,WIN=0,UNITS=AUTO,DATE=NOW')":[-0.5627275,-0.54200715,-0.59,-0.5],"COGT-US^FE_TIMESERIES(CUSTOM_EPS,MEAN,2023,2023,FY,'BKRACTMED=1,WIN=0,UNITS=AUTO,DATE=NOW')":-2.2086644,"COGT-US^FE_TIMESERIES(CUSTOM_EPS,MEAN,2023/1F,2023/4F,FQ,'BKRACTMED=1,WIN=0,UNITS=AUTO,DATE=NOW')":[-0.46,-0.49,-0.585,-0.52],"COGT-US^FE_TIMESERIES(CUSTOM_EPS,MEAN,2022,2022,FY,'BKRACTMED=1,WIN=0,UNITS=AUTO,DATE=NOW')":-2.06,"COGT-US^FE_TIMESERIES(CUSTOM_EPS,MEAN,2022/1F,2022/4F,FQ,'BKRACTMED=1,WIN=0,UNITS=AUTO,DATE=NOW')":[-0.59,-0.61,-0.43,-0.48],"COGT-US^FE_TIMESERIES(CUSTOM_EPS,MEAN,2021,2021,FY,'BKRACTMED=1,WIN=0,UNITS=AUTO,DATE=NOW')":-1.715,"COGT-US^FE_TIMESERIES(CUSTOM_EPS,MEAN,2021/1F,2021/4F,FQ,'BKRACTMED=1,WIN=0,UNITS=AUTO,DATE=NOW')":[-0.28,-0.36,null,-0.55],"COGT-US^FE_TIMESERIES(CUSTOM_EPS,MEAN,2019,2020,FY,'BKRACTMED=1,WIN=0,UNITS=AUTO,DATE=NOW')":[-3.76,-15.56],"COGT-US^FREF_MARKET_VALUE_COMPANY(0,,,,,0)":513.492628827618,"^P_DATE(0)":"04/02/2026","COGT^P_PRICE(45772)":4.64,"COGT-US^FF_CASH_ST(LTMSG,04/24/2025,,,,LOCAL)":287.077,"COGT^P_PRICE(45874)":11.53,"COGT^P_PRICE(45951)":16.235,"COGT-US^FE_TIMESERIES(EAG,MEAN,2026/1F,2026/4F,FQ,'BKRACTMED=1,WIN=0,UNITS=AUTO,DATE=NOW')":[-0.511008,-0.52599233,-0.47454366,-0.40253331999999997],"COGT-US^FE_TIMESERIES(EAG,MEAN,2026,2026,FY,'BKRACTMED=1,WIN=0,UNITS=AUTO,DATE=NOW')":-1.8299536,"COGT-US^FE_TIMESERIES(EPS,MEAN,2026/1F,2026/4F,FQ,'BKRACTMED=1,WIN=0,UNITS=AUTO,DATE=NOW')":[-0.501628,-0.51974714,-0.5104539,-0.44345],"COGT-US^FE_TIMESERIES(EPS,MEAN,2026,2026,FY,'BKRACTMED=1,WIN=0,UNITS=AUTO,DATE=NOW')":-1.8022268,"COGT-US^FE_TIMESERIES_PERIOD(,2026/1F,2026/4F,FQ,'')":["2026/1F","2026/2F","2026/3F","2026/4F"],"COGT-US^FE_TIMESERIES_PERIOD(,2026,2026,FY,'')":"2026","COGT-US^PROPER(CONVERT_DATE(FE_TIMESERIES_PERIOD(,2026/1F,2026/4F,FQ,'DISPLAY=YYYYMMDD'),\"MMM 'YY\"))":["Mar '26","Jun '26","Sep '26","Dec '26"],"COGT-US^PROPER(CONVERT_DATE(FE_TIMESERIES_PERIOD(,2026,2026,FY,'DISPLAY=YYYYMMDD'),\"MMM 'YY\"))":"Dec '26","COGT^P_PRICE(46045)":36.97,"MPLT^FE_TIMESERIES(NETBG,MEAN,2025,2025,FY,'BKRACTMED=1,WIN=0,UNITS=AUTO,DATE=NOW')":null,"MPLT^FE_TIMESERIES(NETBG,MEAN,2023,2024,FY,'BKRACTMED=1,WIN=0,UNITS=AUTO,DATE=NOW')":[null,null],"MPLT^FE_TIMESERIES(NETPROFIT,MEAN,2026/1F,2026/4F,FQ,'BKRACTMED=1,WIN=0,UNITS=AUTO,DATE=NOW')":[-39.1,-42.3,-48.4,-54.3],"MPLT^FE_TIMESERIES(PTPBG,MEAN,2025/1F,2025/4F,FQ,'BKRACTMED=1,WIN=0,UNITS=AUTO,DATE=NOW')":[null,null,null,null],"MPLT^FE_TIMESERIES(INTEXP,MEAN,2026,2027,FY,'BKRACTMED=1,WIN=0,UNITS=AUTO,DATE=NOW')":[null,null],"MPLT^FE_TIMESERIES(EBIT,MEAN,2025,2025,FY,'BKRACTMED=1,WIN=0,UNITS=AUTO,DATE=NOW')":-135.0082,"MPLT^FE_TIMESERIES(EBIT,MEAN,2023,2024,FY,'BKRACTMED=1,WIN=0,UNITS=AUTO,DATE=NOW')":[null,null],"MPLT^FE_TIMESERIES(DEPR_AMORT,MEAN,2026/1F,2026/4F,FQ,'BKRACTMED=1,WIN=0,UNITS=AUTO,DATE=NOW')":[null,null,null,null],"MPLT^FE_TIMESERIES(EBITDA,MEAN,2025/1F,2025/4F,FQ,'BKRACTMED=1,WIN=0,UNITS=AUTO,DATE=NOW')":[null,null,null,null],"MPLT^FE_TIMESERIES(SGA,MEAN,2026,2027,FY,'BKRACTMED=1,WIN=0,UNITS=AUTO,DATE=NOW')":[22.0,27.5],"MPLT^FE_TIMESERIES(COS,MEAN,2025,2025,FY,'BKRACTMED=1,WIN=0,UNITS=AUTO,DATE=NOW')":0.0,"MPLT^FE_TIMESERIES(COS,MEAN,2023,2024,FY,'BKRACTMED=1,WIN=0,UNITS=AUTO,DATE=NOW')":[null,null],"MPLT^FE_TIMESERIES(SALES,MEAN,2026/1F,2026/4F,FQ,'BKRACTMED=1,WIN=0,UNITS=AUTO,DATE=NOW')":[null,null,null,null],"MPLT^PROPER(CONVERT_DATE(FE_TIMESERIES_PERIOD(,2026/1F,2026/4F,FQ,'DISPLAY=YYYYMMDD'),\"MMM 'YY\"))":["Mar '26","Jun '26","Sep '26","Dec '26"],"MPLT^FE_TIMESERIES(NETPROFIT,MEAN,2021,2026,FY,'BKRACTMED=1,WIN=0,UNITS=AUTO,DATE=NOW')":[null,null,null,null,-128.3364,-183.52563],"MPLT^FE_TIMESERIES(EBITDA_REP,MEAN,2021,2026,FY,'BKRACTMED=1,WIN=0,UNITS=AUTO,DATE=NOW')":[null,null,null,null,null,null],"MPLT^FE_TIMESERIES(SALES,MEAN,2021,2026,FY,'BKRACTMED=1,WIN=0,UNITS=AUTO,DATE=NOW')":[null,null,null,null,0.0,0.0],"MPLT^FE_TIMESERIES(BFNG,MEAN,2024,2024,FY,'BKRACTMED=1,WIN=0,UNITS=AUTO,DATE=NOW')":null,"MPLT^FE_TIMESERIES(NETBG,MEAN,2024/1F,2024/4F,FQ,'BKRACTMED=1,WIN=0,UNITS=AUTO,DATE=NOW')":[null,null,null,null],"MPLT^FE_TIMESERIES(NETPROFIT,MEAN,2021,2021,FY,'BKRACTMED=1,WIN=0,UNITS=AUTO,DATE=NOW')":null,"MPLT^FE_TIMESERIES(NETPROFIT,MEAN,2019,2020,FY,'BKRACTMED=1,WIN=0,UNITS=AUTO,DATE=NOW')":[null,null],"MPLT^FE_TIMESERIES(TAX_EXPENSE,MEAN,2021/1F,2021/4F,FQ,'BKRACTMED=1,WIN=0,UNITS=AUTO,DATE=NOW')":[null,null,null,null],"MPLT^FE_TIMESERIES(PTPA,MEAN,2022,2022,FY,'BKRACTMED=1,WIN=0,UNITS=AUTO,DATE=NOW')":null,"MPLT^FE_TIMESERIES(PTP,MEAN,2022/1F,2022/4F,FQ,'BKRACTMED=1,WIN=0,UNITS=AUTO,DATE=NOW')":[null,null,null,null],"MPLT^FE_TIMESERIES(INTEXP,MEAN,2023,2023,FY,'BKRACTMED=1,WIN=0,UNITS=AUTO,DATE=NOW')":null,"MPLT^FE_TIMESERIES(EBIT_ADJ,MEAN,2023/1F,2023/4F,FQ,'BKRACTMED=1,WIN=0,UNITS=AUTO,DATE=NOW')":[null,null,null,null],"MPLT^FE_TIMESERIES(EBIT,MEAN,2024,2024,FY,'BKRACTMED=1,WIN=0,UNITS=AUTO,DATE=NOW')":null,"MPLT^FE_TIMESERIES(DEPR_AMORT,MEAN,2024/1F,2024/4F,FQ,'BKRACTMED=1,WIN=0,UNITS=AUTO,DATE=NOW')":[null,null,null,null],"MPLT^FE_TIMESERIES(NETBG,MEAN,2026,2027,FY,'BKRACTMED=1,WIN=0,UNITS=AUTO,DATE=NOW')":[null,null],"MPLT^FE_TIMESERIES(TAX_EXPENSE,MEAN,2025,2025,FY,'BKRACTMED=1,WIN=0,UNITS=AUTO,DATE=NOW')":0.0,"MPLT^FE_TIMESERIES(TAX_EXPENSE,MEAN,2023,2024,FY,'BKRACTMED=1,WIN=0,UNITS=AUTO,DATE=NOW')":[null,null],"MPLT^FE_TIMESERIES(PTPBG,MEAN,2026/1F,2026/4F,FQ,'BKRACTMED=1,WIN=0,UNITS=AUTO,DATE=NOW')":[null,null,null,null],"MPLT^FE_TIMESERIES(PTP,MEAN,2025/1F,2025/4F,FQ,'BKRACTMED=1,WIN=0,UNITS=AUTO,DATE=NOW')":[null,-28.6,-29.4,-36.8],"MPLT^FE_TIMESERIES(EBIT,MEAN,2026,2027,FY,'BKRACTMED=1,WIN=0,UNITS=AUTO,DATE=NOW')":[-193.48814,-225.59659],"MPLT^FE_TIMESERIES(EBITDA_ADJ,MEAN,2025,2025,FY,'BKRACTMED=1,WIN=0,UNITS=AUTO,DATE=NOW')":null,"MPLT^FE_TIMESERIES(EBITDA_ADJ,MEAN,2023,2024,FY,'BKRACTMED=1,WIN=0,UNITS=AUTO,DATE=NOW')":[null,null],"MPLT^FE_TIMESERIES(EBITDA,MEAN,2026/1F,2026/4F,FQ,'BKRACTMED=1,WIN=0,UNITS=AUTO,DATE=NOW')":[null,null,null,null],"MPLT^FE_TIMESERIES(G_A_EXP,MEAN,2025/1F,2025/4F,FQ,'BKRACTMED=1,WIN=0,UNITS=AUTO,DATE=NOW')":[null,null,null,null],"MPLT^FE_TIMESERIES(COS,MEAN,2026,2027,FY,'BKRACTMED=1,WIN=0,UNITS=AUTO,DATE=NOW')":[0.0,0.0],"MPLT^FE_TIMESERIES_PERIOD(,2026/1F,2026/4F,FQ,'')":["2026/1F","2026/2F","2026/3F","2026/4F"],"MPLT^FE_TIMESERIES_PERIOD(,2025/1F,2025/4F,FQ,'')":["2025/1F","2025/2F","2025/3F","2025/4F"],"MPLT^FE_TIMESERIES_PERIOD(,2023,2024,FY,'')":["2023","2024"],"MPLT^FE_TIMESERIES(BFNG,MEAN,2021,2026,FY,'BKRACTMED=1,WIN=0,UNITS=AUTO,DATE=NOW')":[null,null,null,null,-118.7,-184.0],"MPLT^FE_TIMESERIES(EBIT,MEAN,2021,2026,FY,'BKRACTMED=1,WIN=0,UNITS=AUTO,DATE=NOW')":[null,null,null,null,-135.0082,-193.48814],"MPLT^FE_TIMESERIES(GROSSINCOME,MEAN,2021,2026,FY,'BKRACTMED=1,WIN=0,UNITS=AUTO,DATE=NOW')":[null,null,null,null,0.0,0.0],"MPLT^FE_TIMESERIES(BFNG,MEAN,2021,2021,FY,'BKRACTMED=1,WIN=0,UNITS=AUTO,DATE=NOW')":null,"MPLT^FE_TIMESERIES(BFNG,MEAN,2019,2020,FY,'BKRACTMED=1,WIN=0,UNITS=AUTO,DATE=NOW')":[null,null],"MPLT^FE_TIMESERIES(NETBG,MEAN,2021/1F,2021/4F,FQ,'BKRACTMED=1,WIN=0,UNITS=AUTO,DATE=NOW')":[null,null,null,null],"MPLT^FE_TIMESERIES(NETPROFIT,MEAN,2022,2022,FY,'BKRACTMED=1,WIN=0,UNITS=AUTO,DATE=NOW')":null,"MPLT^FE_TIMESERIES(TAX_EXPENSE,MEAN,2022/1F,2022/4F,FQ,'BKRACTMED=1,WIN=0,UNITS=AUTO,DATE=NOW')":[null,null,null,null],"MPLT^FE_TIMESERIES(PTPA,MEAN,2023,2023,FY,'BKRACTMED=1,WIN=0,UNITS=AUTO,DATE=NOW')":null,"MPLT^FE_TIMESERIES(PTP,MEAN,2023/1F,2023/4F,FQ,'BKRACTMED=1,WIN=0,UNITS=AUTO,DATE=NOW')":[null,null,null,null],"MPLT^FE_TIMESERIES(INTEXP,MEAN,2024,2024,FY,'BKRACTMED=1,WIN=0,UNITS=AUTO,DATE=NOW')":null,"MPLT^FE_TIMESERIES(EBIT_ADJ,MEAN,2024/1F,2024/4F,FQ,'BKRACTMED=1,WIN=0,UNITS=AUTO,DATE=NOW')":[null,null,null,null],"MPLT^FE_TIMESERIES(EBIT,MEAN,2021,2021,FY,'BKRACTMED=1,WIN=0,UNITS=AUTO,DATE=NOW')":null,"MPLT^FE_TIMESERIES(EBIT,MEAN,2019,2020,FY,'BKRACTMED=1,WIN=0,UNITS=AUTO,DATE=NOW')":[null,null],"MPLT^FE_TIMESERIES(NETPROFIT,MEAN,2026,2027,FY,'BKRACTMED=1,WIN=0,UNITS=AUTO,DATE=NOW')":[-183.52563,-214.76784],"MPLT^FE_TIMESERIES(BFNG,MEAN,2025/1F,2025/4F,FQ,'BKRACTMED=1,WIN=0,UNITS=AUTO,DATE=NOW')":[null,null,-29.4,-37.1],"MPLT^FE_TIMESERIES(TAX_EXPENSE,MEAN,2026,2027,FY,'BKRACTMED=1,WIN=0,UNITS=AUTO,DATE=NOW')":[0.0,0.0],"MPLT^FE_TIMESERIES(PTPA,MEAN,2025,2025,FY,'BKRACTMED=1,WIN=0,UNITS=AUTO,DATE=NOW')":-118.7,"MPLT^FE_TIMESERIES(PTPA,MEAN,2023,2024,FY,'BKRACTMED=1,WIN=0,UNITS=AUTO,DATE=NOW')":[null,null],"MPLT^FE_TIMESERIES(PTP,MEAN,2026/1F,2026/4F,FQ,'BKRACTMED=1,WIN=0,UNITS=AUTO,DATE=NOW')":[-39.1,-42.3,-48.4,-54.3],"MPLT^FE_TIMESERIES(EBIT_ADJ,MEAN,2025/1F,2025/4F,FQ,'BKRACTMED=1,WIN=0,UNITS=AUTO,DATE=NOW')":[null,null,null,null],"MPLT^FE_TIMESERIES(EBITDA_ADJ,MEAN,2026,2027,FY,'BKRACTMED=1,WIN=0,UNITS=AUTO,DATE=NOW')":[null,null],"MPLT^FE_TIMESERIES(RD_EXP,MEAN,2025,2025,FY,'BKRACTMED=1,WIN=0,UNITS=AUTO,DATE=NOW')":107.85,"MPLT^FE_TIMESERIES(RD_EXP,MEAN,2023,2024,FY,'BKRACTMED=1,WIN=0,UNITS=AUTO,DATE=NOW')":[null,null],"MPLT^FE_TIMESERIES(G_A_EXP,MEAN,2026/1F,2026/4F,FQ,'BKRACTMED=1,WIN=0,UNITS=AUTO,DATE=NOW')":[null,null,null,null],"MPLT^FE_TIMESERIES(GROSSINCOME,MEAN,2025/1F,2025/4F,FQ,'BKRACTMED=1,WIN=0,UNITS=AUTO,DATE=NOW')":[null,0.0,0.0,0.0],"MPLT^FE_TIMESERIES_PERIOD(,2026,2027,FY,'')":["2026","2027"],"MPLT^FE_TIMESERIES(INTEXP,MEAN,2021,2026,FY,'BKRACTMED=1,WIN=0,UNITS=AUTO,DATE=NOW')":[null,null,null,null,null,null],"MPLT^FE_TIMESERIES(S_M_EXP,MEAN,2021,2026,FY,'BKRACTMED=1,WIN=0,UNITS=AUTO,DATE=NOW')":[null,null,null,null,null,null],"MPLT^FE_TIMESERIES(BFNG,MEAN,2022,2022,FY,'BKRACTMED=1,WIN=0,UNITS=AUTO,DATE=NOW')":null,"MPLT^FE_TIMESERIES(NETBG,MEAN,2022/1F,2022/4F,FQ,'BKRACTMED=1,WIN=0,UNITS=AUTO,DATE=NOW')":[null,null,null,null],"MPLT^FE_TIMESERIES(NETPROFIT,MEAN,2023,2023,FY,'BKRACTMED=1,WIN=0,UNITS=AUTO,DATE=NOW')":null,"MPLT^FE_TIMESERIES(TAX_EXPENSE,MEAN,2023/1F,2023/4F,FQ,'BKRACTMED=1,WIN=0,UNITS=AUTO,DATE=NOW')":[null,null,null,null],"MPLT^FE_TIMESERIES(PTPA,MEAN,2024,2024,FY,'BKRACTMED=1,WIN=0,UNITS=AUTO,DATE=NOW')":null,"MPLT^FE_TIMESERIES(PTP,MEAN,2024/1F,2024/4F,FQ,'BKRACTMED=1,WIN=0,UNITS=AUTO,DATE=NOW')":[null,null,null,null],"MPLT^FE_TIMESERIES(INTEXP,MEAN,2021,2021,FY,'BKRACTMED=1,WIN=0,UNITS=AUTO,DATE=NOW')":null,"MPLT^FE_TIMESERIES(INTEXP,MEAN,2019,2020,FY,'BKRACTMED=1,WIN=0,UNITS=AUTO,DATE=NOW')":[null,null],"MPLT^FE_TIMESERIES(EBIT_ADJ,MEAN,2021/1F,2021/4F,FQ,'BKRACTMED=1,WIN=0,UNITS=AUTO,DATE=NOW')":[null,null,null,null],"MPLT^FE_TIMESERIES(EBIT,MEAN,2022,2022,FY,'BKRACTMED=1,WIN=0,UNITS=AUTO,DATE=NOW')":null,"MPLT^FE_TIMESERIES(BFNG,MEAN,2026,2027,FY,'BKRACTMED=1,WIN=0,UNITS=AUTO,DATE=NOW')":[-184.0,-277.8],"MPLT^FE_TIMESERIES(PTPA,MEAN,2026,2027,FY,'BKRACTMED=1,WIN=0,UNITS=AUTO,DATE=NOW')":[-184.0,-277.8],"MPLT^FE_TIMESERIES(INTEXP,MEAN,2026/1F,2026/4F,FQ,'BKRACTMED=1,WIN=0,UNITS=AUTO,DATE=NOW')":[null,null,null,null],"MPLT^FE_TIMESERIES(EBIT_ADJ,MEAN,2026,2027,FY,'BKRACTMED=1,WIN=0,UNITS=AUTO,DATE=NOW')":[null,null],"MPLT^FE_TIMESERIES(RD_EXP,MEAN,2026/1F,2026/4F,FQ,'BKRACTMED=1,WIN=0,UNITS=AUTO,DATE=NOW')":[null,null,null,null],"MPLT^FE_TIMESERIES(G_A_EXP,MEAN,2026,2027,FY,'BKRACTMED=1,WIN=0,UNITS=AUTO,DATE=NOW')":[null,null],"MPLT^FE_TIMESERIES(G_A_EXP,MEAN,2023,2024,FY,'BKRACTMED=1,WIN=0,UNITS=AUTO,DATE=NOW')":[null,null],"MPLT^FE_TIMESERIES(GROSSINCOME,MEAN,2026/1F,2026/4F,FQ,'BKRACTMED=1,WIN=0,UNITS=AUTO,DATE=NOW')":[null,null,null,null],"MPLT^FE_TIMESERIES_PERIOD(,2026,2030,FY,'')":["2026","2027","2028","2029","2030"],"MPLT^PROPER(CONVERT_DATE(FE_TIMESERIES_PERIOD(,2025,2025,FY,'DISPLAY=YYYYMMDD'),\"MMM 'YY\"))":"Dec '25","MPLT^PROPER(CONVERT_DATE(FE_TIMESERIES_PERIOD(,2021,2026,FY,'DISPLAY=YYYYMMDD'),\"MMM 'YY\"))":["Dec '21","Dec '22","Dec '23","Dec '24","Dec '25","Dec '26"],"MPLT^FE_TIMESERIES(NETBG,MEAN,2023/1F,2023/4F,FQ,'BKRACTMED=1,WIN=0,UNITS=AUTO,DATE=NOW')":[null,null,null,null],"MPLT^FE_TIMESERIES(NETPROFIT,MEAN,2021/1F,2021/4F,FQ,'BKRACTMED=1,WIN=0,UNITS=AUTO,DATE=NOW')":[null,null,null,null],"MPLT^FE_TIMESERIES(PTP,MEAN,2023,2023,FY,'BKRACTMED=1,WIN=0,UNITS=AUTO,DATE=NOW')":null,"MPLT^FE_TIMESERIES(PTP,MEAN,2021,2021,FY,'BKRACTMED=1,WIN=0,UNITS=AUTO,DATE=NOW')":null,"MPLT^FE_TIMESERIES(BFNG,MEAN,2026/1F,2026/4F,FQ,'BKRACTMED=1,WIN=0,UNITS=AUTO,DATE=NOW')":[-39.1,-42.3,-48.4,-54.3],"MPLT^FE_TIMESERIES(TAX_EXPENSE,MEAN,2025/1F,2025/4F,FQ,'BKRACTMED=1,WIN=0,UNITS=AUTO,DATE=NOW')":[null,0.0,0.0,0.0],"MPLT^FE_TIMESERIES(EBITDA,MEAN,2026,2027,FY,'BKRACTMED=1,WIN=0,UNITS=AUTO,DATE=NOW')":[-203.94557,-219.41995],"MPLT^FE_TIMESERIES(SALES,MEAN,2026,2027,FY,'BKRACTMED=1,WIN=0,UNITS=AUTO,DATE=NOW')":[0.0,0.0],"MPLT^FE_TIMESERIES(TAX_EXPENSE,MEAN,2021,2026,FY,'BKRACTMED=1,WIN=0,UNITS=AUTO,DATE=NOW')":[null,null,null,null,0.0,0.0],"MPLT^FE_TIMESERIES(PTP,MEAN,2021,2026,FY,'BKRACTMED=1,WIN=0,UNITS=AUTO,DATE=NOW')":[null,null,null,null,-128.3364,-183.52563],"MPLT^FE_TIMESERIES(NETPROFIT,MEAN,2024,2024,FY,'BKRACTMED=1,WIN=0,UNITS=AUTO,DATE=NOW')":null,"MPLT^FE_TIMESERIES(TAX_EXPENSE,MEAN,2022,2022,FY,'BKRACTMED=1,WIN=0,UNITS=AUTO,DATE=NOW')":null,"MPLT^FE_TIMESERIES(PTPA,MEAN,2021/1F,2021/4F,FQ,'BKRACTMED=1,WIN=0,UNITS=AUTO,DATE=NOW')":[null,null,null,null],"MPLT^FE_TIMESERIES(EBIT_ADJ,MEAN,2023,2023,FY,'BKRACTMED=1,WIN=0,UNITS=AUTO,DATE=NOW')":null,"MPLT^FE_TIMESERIES(EBIT_ADJ,MEAN,2021,2021,FY,'BKRACTMED=1,WIN=0,UNITS=AUTO,DATE=NOW')":null,"MPLT^FE_TIMESERIES(EBIT,MEAN,2024/1F,2024/4F,FQ,'BKRACTMED=1,WIN=0,UNITS=AUTO,DATE=NOW')":[null,null,null,null],"MPLT^FE_TIMESERIES(EBIT,MEAN,2022/1F,2022/4F,FQ,'BKRACTMED=1,WIN=0,UNITS=AUTO,DATE=NOW')":[null,null,null,null],"MPLT^FE_TIMESERIES(DEPR_AMORT,MEAN,2022,2022,FY,'BKRACTMED=1,WIN=0,UNITS=AUTO,DATE=NOW')":null,"MPLT^FE_TIMESERIES(EBITDA_REP,MEAN,2022/1F,2022/4F,FQ,'BKRACTMED=1,WIN=0,UNITS=AUTO,DATE=NOW')":[null,null,null,null],"MPLT^FE_TIMESERIES(EBITDA,MEAN,2023,2023,FY,'BKRACTMED=1,WIN=0,UNITS=AUTO,DATE=NOW')":null,"MPLT^FE_TIMESERIES(RD_EXP,MEAN,2023/1F,2023/4F,FQ,'BKRACTMED=1,WIN=0,UNITS=AUTO,DATE=NOW')":[null,null,null,null],"MPLT^FE_TIMESERIES(G_A_EXP,MEAN,2024,2024,FY,'BKRACTMED=1,WIN=0,UNITS=AUTO,DATE=NOW')":null,"MPLT^FE_TIMESERIES(S_M_EXP,MEAN,2024/1F,2024/4F,FQ,'BKRACTMED=1,WIN=0,UNITS=AUTO,DATE=NOW')":[null,null,null,null],"MPLT^FE_TIMESERIES(SGA,MEAN,2021,2021,FY,'BKRACTMED=1,WIN=0,UNITS=AUTO,DATE=NOW')":null,"MPLT^FE_TIMESERIES(SGA,MEAN,2019,2020,FY,'BKRACTMED=1,WIN=0,UNITS=AUTO,DATE=NOW')":[null,null],"MPLT^FE_TIMESERIES(GROSSINCOME,MEAN,2021/1F,2021/4F,FQ,'BKRACTMED=1,WIN=0,UNITS=AUTO,DATE=NOW')":[null,null,null,null],"MPLT^FE_TIMESERIES(COS,MEAN,2022,2022,FY,'BKRACTMED=1,WIN=0,UNITS=AUTO,DATE=NOW')":null,"MPLT^FE_TIMESERIES(SALES,MEAN,2022/1F,2022/4F,FQ,'BKRACTMED=1,WIN=0,UNITS=AUTO,DATE=NOW')":[null,null,null,null],"MPLT^FE_TIMESERIES_PERIOD(,2022,2022,FY,'')":"2022","MPLT^FE_TIMESERIES(BFNG,MEAN,2025,2025,FY,'BKRACTMED=1,WIN=0,UNITS=AUTO,DATE=NOW')":-118.7,"MPLT^FE_TIMESERIES(NETBG,MEAN,2026/1F,2026/4F,FQ,'BKRACTMED=1,WIN=0,UNITS=AUTO,DATE=NOW')":[null,null,null,null],"MPLT^FE_TIMESERIES(PTPA,MEAN,2026/1F,2026/4F,FQ,'BKRACTMED=1,WIN=0,UNITS=AUTO,DATE=NOW')":[-39.1,-42.3,-48.4,-54.3],"MPLT^FE_TIMESERIES(PTP,MEAN,2026,2027,FY,'BKRACTMED=1,WIN=0,UNITS=AUTO,DATE=NOW')":[-183.52563,-214.76784],"MPLT^FE_TIMESERIES(PTP,MEAN,2023,2024,FY,'BKRACTMED=1,WIN=0,UNITS=AUTO,DATE=NOW')":[null,null],"MPLT^FE_TIMESERIES(EBIT_ADJ,MEAN,2026/1F,2026/4F,FQ,'BKRACTMED=1,WIN=0,UNITS=AUTO,DATE=NOW')":[null,null,null,null],"MPLT^FE_TIMESERIES(EBITDA_ADJ,MEAN,2026/1F,2026/4F,FQ,'BKRACTMED=1,WIN=0,UNITS=AUTO,DATE=NOW')":[null,null,null,null],"MPLT^FE_TIMESERIES(EBITDA,MEAN,2023,2024,FY,'BKRACTMED=1,WIN=0,UNITS=AUTO,DATE=NOW')":[null,null],"MPLT^FE_TIMESERIES(G_A_EXP,MEAN,2025,2025,FY,'BKRACTMED=1,WIN=0,UNITS=AUTO,DATE=NOW')":null,"MPLT^FE_TIMESERIES(SGA,MEAN,2023,2024,FY,'BKRACTMED=1,WIN=0,UNITS=AUTO,DATE=NOW')":[null,null],"MPLT^FE_TIMESERIES(COS,MEAN,2026/1F,2026/4F,FQ,'BKRACTMED=1,WIN=0,UNITS=AUTO,DATE=NOW')":[null,null,null,null],"MPLT^FE_TIMESERIES(SALES,MEAN,2023,2024,FY,'BKRACTMED=1,WIN=0,UNITS=AUTO,DATE=NOW')":[null,null],"MPLT^PROPER(CONVERT_DATE(FE_TIMESERIES_PERIOD(,2026,2030,FY,'DISPLAY=YYYYMMDD'),\"MMM 'YY\"))":["Dec '26","Dec '27","Dec '28","Dec '29","Dec '30"],"MPLT^FE_TIMESERIES(EBIT_ADJ,MEAN,2021,2026,FY,'BKRACTMED=1,WIN=0,UNITS=AUTO,DATE=NOW')":[null,null,null,null,null,null],"MPLT^FE_TIMESERIES(BFNG,MEAN,2024/1F,2024/4F,FQ,'BKRACTMED=1,WIN=0,UNITS=AUTO,DATE=NOW')":[null,null,null,null],"MPLT^FE_TIMESERIES(BFNG,MEAN,2022/1F,2022/4F,FQ,'BKRACTMED=1,WIN=0,UNITS=AUTO,DATE=NOW')":[null,null,null,null],"MPLT^FE_TIMESERIES(TAX_EXPENSE,MEAN,2024,2024,FY,'BKRACTMED=1,WIN=0,UNITS=AUTO,DATE=NOW')":null,"MPLT^FE_TIMESERIES(TAX_EXPENSE,MEAN,2019,2020,FY,'BKRACTMED=1,WIN=0,UNITS=AUTO,DATE=NOW')":[null,null],"MPLT^FE_TIMESERIES(PTPA,MEAN,2023/1F,2023/4F,FQ,'BKRACTMED=1,WIN=0,UNITS=AUTO,DATE=NOW')":[null,null,null,null],"MPLT^FE_TIMESERIES(PTP,MEAN,2021/1F,2021/4F,FQ,'BKRACTMED=1,WIN=0,UNITS=AUTO,DATE=NOW')":[null,null,null,null],"MPLT^FE_TIMESERIES(EBIT,MEAN,2023,2023,FY,'BKRACTMED=1,WIN=0,UNITS=AUTO,DATE=NOW')":null,"MPLT^FE_TIMESERIES(EBITDA_REP,MEAN,2021,2021,FY,'BKRACTMED=1,WIN=0,UNITS=AUTO,DATE=NOW')":null,"MPLT^FE_TIMESERIES(EBITDA_REP,MEAN,2019,2020,FY,'BKRACTMED=1,WIN=0,UNITS=AUTO,DATE=NOW')":[null,null],"MPLT^FE_TIMESERIES(EBITDA,MEAN,2021/1F,2021/4F,FQ,'BKRACTMED=1,WIN=0,UNITS=AUTO,DATE=NOW')":[null,null,null,null],"MPLT^FE_TIMESERIES(RD_EXP,MEAN,2022,2022,FY,'BKRACTMED=1,WIN=0,UNITS=AUTO,DATE=NOW')":null,"MPLT^FE_TIMESERIES(G_A_EXP,MEAN,2022/1F,2022/4F,FQ,'BKRACTMED=1,WIN=0,UNITS=AUTO,DATE=NOW')":[null,null,null,null],"MPLT^FE_TIMESERIES(S_M_EXP,MEAN,2023,2023,FY,'BKRACTMED=1,WIN=0,UNITS=AUTO,DATE=NOW')":null,"MPLT^FE_TIMESERIES(SGA,MEAN,2023/1F,2023/4F,FQ,'BKRACTMED=1,WIN=0,UNITS=AUTO,DATE=NOW')":[null,null,null,null],"MPLT^FE_TIMESERIES(GROSSINCOME,MEAN,2024,2024,FY,'BKRACTMED=1,WIN=0,UNITS=AUTO,DATE=NOW')":null,"MPLT^FE_TIMESERIES(COS,MEAN,2024/1F,2024/4F,FQ,'BKRACTMED=1,WIN=0,UNITS=AUTO,DATE=NOW')":[null,null,null,null],"MPLT^FE_TIMESERIES(SALES,MEAN,2021,2021,FY,'BKRACTMED=1,WIN=0,UNITS=AUTO,DATE=NOW')":null,"MPLT^FE_TIMESERIES(SALES,MEAN,2019,2020,FY,'BKRACTMED=1,WIN=0,UNITS=AUTO,DATE=NOW')":[null,null],"MPLT^FE_TIMESERIES_PERIOD(,2024/1F,2024/4F,FQ,'')":["2024/1F","2024/2F","2024/3F","2024/4F"],"MPLT^FE_TIMESERIES(NETPROFIT,MEAN,2025,2025,FY,'BKRACTMED=1,WIN=0,UNITS=AUTO,DATE=NOW')":-128.3364,"MPLT^FE_TIMESERIES(INTEXP,MEAN,2025/1F,2025/4F,FQ,'BKRACTMED=1,WIN=0,UNITS=AUTO,DATE=NOW')":[null,null,null,null],"MPLT^FE_TIMESERIES(EBIT_ADJ,MEAN,2025,2025,FY,'BKRACTMED=1,WIN=0,UNITS=AUTO,DATE=NOW')":null,"MPLT^FE_TIMESERIES(DEPR_AMORT,MEAN,2025/1F,2025/4F,FQ,'BKRACTMED=1,WIN=0,UNITS=AUTO,DATE=NOW')":[null,null,0.1,0.2],"MPLT^FE_TIMESERIES(RD_EXP,MEAN,2025/1F,2025/4F,FQ,'BKRACTMED=1,WIN=0,UNITS=AUTO,DATE=NOW')":[null,24.6,27.1,34.15],"MPLT^FE_TIMESERIES_PERIOD(,2025,2025,FY,'')":"2025","MPLT^FE_TIMESERIES(DEPR_AMORT,MEAN,2021,2026,FY,'BKRACTMED=1,WIN=0,UNITS=AUTO,DATE=NOW')":[null,null,null,null,0.65,1.8],"MPLT^FE_TIMESERIES(BFNG,MEAN,2023,2023,FY,'BKRACTMED=1,WIN=0,UNITS=AUTO,DATE=NOW')":null,"MPLT^FE_TIMESERIES(NETBG,MEAN,2021,2021,FY,'BKRACTMED=1,WIN=0,UNITS=AUTO,DATE=NOW')":null,"MPLT^FE_TIMESERIES(PTPA,MEAN,2019,2020,FY,'BKRACTMED=1,WIN=0,UNITS=AUTO,DATE=NOW')":[null,null],"MPLT^FE_TIMESERIES(PTP,MEAN,2022,2022,FY,'BKRACTMED=1,WIN=0,UNITS=AUTO,DATE=NOW')":null,"MPLT^FE_TIMESERIES(INTEXP,MEAN,2023/1F,2023/4F,FQ,'BKRACTMED=1,WIN=0,UNITS=AUTO,DATE=NOW')":[null,null,null,null],"MPLT^FE_TIMESERIES(INTEXP,MEAN,2021/1F,2021/4F,FQ,'BKRACTMED=1,WIN=0,UNITS=AUTO,DATE=NOW')":[null,null,null,null],"MPLT^FE_TIMESERIES(DEPR_AMORT,MEAN,2023,2023,FY,'BKRACTMED=1,WIN=0,UNITS=AUTO,DATE=NOW')":null,"MPLT^FE_TIMESERIES(EBITDA_REP,MEAN,2023/1F,2023/4F,FQ,'BKRACTMED=1,WIN=0,UNITS=AUTO,DATE=NOW')":[null,null,null,null],"MPLT^FE_TIMESERIES(EBITDA,MEAN,2024,2024,FY,'BKRACTMED=1,WIN=0,UNITS=AUTO,DATE=NOW')":null,"MPLT^FE_TIMESERIES(RD_EXP,MEAN,2024/1F,2024/4F,FQ,'BKRACTMED=1,WIN=0,UNITS=AUTO,DATE=NOW')":[null,null,null,null],"MPLT^FE_TIMESERIES(G_A_EXP,MEAN,2021,2021,FY,'BKRACTMED=1,WIN=0,UNITS=AUTO,DATE=NOW')":null,"MPLT^FE_TIMESERIES(G_A_EXP,MEAN,2019,2020,FY,'BKRACTMED=1,WIN=0,UNITS=AUTO,DATE=NOW')":[null,null],"MPLT^FE_TIMESERIES(S_M_EXP,MEAN,2021/1F,2021/4F,FQ,'BKRACTMED=1,WIN=0,UNITS=AUTO,DATE=NOW')":[null,null,null,null],"MPLT^FE_TIMESERIES(SGA,MEAN,2022,2022,FY,'BKRACTMED=1,WIN=0,UNITS=AUTO,DATE=NOW')":null,"MPLT^FE_TIMESERIES(GROSSINCOME,MEAN,2022/1F,2022/4F,FQ,'BKRACTMED=1,WIN=0,UNITS=AUTO,DATE=NOW')":[null,null,null,null],"MPLT^FE_TIMESERIES(COS,MEAN,2023,2023,FY,'BKRACTMED=1,WIN=0,UNITS=AUTO,DATE=NOW')":null,"MPLT^FE_TIMESERIES(SALES,MEAN,2023/1F,2023/4F,FQ,'BKRACTMED=1,WIN=0,UNITS=AUTO,DATE=NOW')":[null,null,null,null],"MPLT^FE_TIMESERIES_PERIOD(,2023,2023,FY,'')":"2023","MPLT^FE_TIMESERIES(NETPROFIT,MEAN,2023,2024,FY,'BKRACTMED=1,WIN=0,UNITS=AUTO,DATE=NOW')":[null,null],"MPLT^FE_TIMESERIES(PTPBG,MEAN,2025,2025,FY,'BKRACTMED=1,WIN=0,UNITS=AUTO,DATE=NOW')":null,"MPLT^FE_TIMESERIES(INTEXP,MEAN,2025,2025,FY,'BKRACTMED=1,WIN=0,UNITS=AUTO,DATE=NOW')":null,"MPLT^FE_TIMESERIES(EBIT_ADJ,MEAN,2023,2024,FY,'BKRACTMED=1,WIN=0,UNITS=AUTO,DATE=NOW')":[null,null],"MPLT^FE_TIMESERIES(DEPR_AMORT,MEAN,2025,2025,FY,'BKRACTMED=1,WIN=0,UNITS=AUTO,DATE=NOW')":0.65,"MPLT^FE_TIMESERIES(GROSSINCOME,MEAN,2025,2025,FY,'BKRACTMED=1,WIN=0,UNITS=AUTO,DATE=NOW')":0.0,"MPLT^FE_TIMESERIES(NETBG,MEAN,2022,2022,FY,'BKRACTMED=1,WIN=0,UNITS=AUTO,DATE=NOW')":null,"MPLT^FE_TIMESERIES(NETPROFIT,MEAN,2023/1F,2023/4F,FQ,'BKRACTMED=1,WIN=0,UNITS=AUTO,DATE=NOW')":[null,null,null,null],"MPLT^FE_TIMESERIES(EBIT_ADJ,MEAN,2024,2024,FY,'BKRACTMED=1,WIN=0,UNITS=AUTO,DATE=NOW')":null,"MPLT^FE_TIMESERIES(EBIT_ADJ,MEAN,2022/1F,2022/4F,FQ,'BKRACTMED=1,WIN=0,UNITS=AUTO,DATE=NOW')":[null,null,null,null],"MPLT^FE_TIMESERIES(DEPR_AMORT,MEAN,2021,2021,FY,'BKRACTMED=1,WIN=0,UNITS=AUTO,DATE=NOW')":null,"MPLT^FE_TIMESERIES(EBITDA_REP,MEAN,2024/1F,2024/4F,FQ,'BKRACTMED=1,WIN=0,UNITS=AUTO,DATE=NOW')":[null,null,null,null],"MPLT^FE_TIMESERIES(EBITDA,MEAN,2022/1F,2022/4F,FQ,'BKRACTMED=1,WIN=0,UNITS=AUTO,DATE=NOW')":[null,null,null,null],"MPLT^FE_TIMESERIES(RD_EXP,MEAN,2019,2020,FY,'BKRACTMED=1,WIN=0,UNITS=AUTO,DATE=NOW')":[null,null],"MPLT^FE_TIMESERIES(S_M_EXP,MEAN,2024,2024,FY,'BKRACTMED=1,WIN=0,UNITS=AUTO,DATE=NOW')":null,"MPLT^FE_TIMESERIES(S_M_EXP,MEAN,2023/1F,2023/4F,FQ,'BKRACTMED=1,WIN=0,UNITS=AUTO,DATE=NOW')":[null,null,null,null],"MPLT^FE_TIMESERIES(SGA,MEAN,2021/1F,2021/4F,FQ,'BKRACTMED=1,WIN=0,UNITS=AUTO,DATE=NOW')":[null,null,null,null],"MPLT^FE_TIMESERIES(SALES,MEAN,2023,2023,FY,'BKRACTMED=1,WIN=0,UNITS=AUTO,DATE=NOW')":null,"MPLT^PROPER(CONVERT_DATE(FE_TIMESERIES_PERIOD(,2022/1F,2022/4F,FQ,'DISPLAY=YYYYMMDD'),\"MMM 'YY\"))":["Mar '22","Jun '22","Sep '22","Dec '22"],"MPLT^FE_TIMESERIES(EBG,MEAN,2021,2026,FY,'BKRACTMED=1,WIN=0,UNITS=AUTO,DATE=NOW')":[null,null,null,null,null,null],"MPLT^FE_TIMESERIES(EBG,MEAN,2022/1F,2022/4F,FQ,'BKRACTMED=1,WIN=0,UNITS=AUTO,DATE=NOW')":[null,null,null,null],"MPLT^FE_TIMESERIES(CUSTOM_EPS,MEAN,2026,2026,FY,'BKRACTMED=1,WIN=0,UNITS=AUTO,DATE=NOW')":null,"MPLT^FE_TIMESERIES(CUSTOM_EPS,MEAN,2021/1F,2021/4F,FQ,'BKRACTMED=1,WIN=0,UNITS=AUTO,DATE=NOW')":[null,null,null,null],"MPLT^FE_TIMESERIES(EAG,MEAN,2026/1F,2026/4F,FQ,'BKRACTMED=1,WIN=0,UNITS=AUTO,DATE=NOW')":[-0.86,-0.93,-0.96,-1.07],"MPLT^FE_TIMESERIES(EAG,MEAN,2025/1F,2025/4F,FQ,'BKRACTMED=1,WIN=0,UNITS=AUTO,DATE=NOW')":[null,null,-37.18,-0.78],"MPLT^FE_TIMESERIES(EAG,MEAN,2024/1F,2024/4F,FQ,'BKRACTMED=1,WIN=0,UNITS=AUTO,DATE=NOW')":[null,null,null,null],"MPLT^FE_TIMESERIES(EPS,MEAN,2023/1F,2023/4F,FQ,'BKRACTMED=1,WIN=0,UNITS=AUTO,DATE=NOW')":[null,null,null,null],"MPLT^FE_TIMESERIES_PERIOD(,2022/1F,2022/4F,FQ,'')":["2022/1F","2022/2F","2022/3F","2022/4F"],"MPLT^PROPER(CONVERT_DATE(FE_TIMESERIES_PERIOD(,2026,2026,FY,'DISPLAY=YYYYMMDD'),\"MMM 'YY\"))":"Dec '26","MPLT^PROPER(CONVERT_DATE(FE_TIMESERIES_PERIOD(,2021/1F,2021/4F,FQ,'DISPLAY=YYYYMMDD'),\"MMM 'YY\"))":["Mar '21","Jun '21","Sep '21","Dec '21"],"MPLT^FE_TIMESERIES(TAX_EXPENSE,MEAN,2026/1F,2026/4F,FQ,'BKRACTMED=1,WIN=0,UNITS=AUTO,DATE=NOW')":[null,null,null,null],"MPLT^FE_TIMESERIES(PTPBG,MEAN,2023,2024,FY,'BKRACTMED=1,WIN=0,UNITS=AUTO,DATE=NOW')":[null,null],"MPLT^FE_TIMESERIES(PTP,MEAN,2025,2025,FY,'BKRACTMED=1,WIN=0,UNITS=AUTO,DATE=NOW')":-128.3364,"MPLT^FE_TIMESERIES(INTEXP,MEAN,2023,2024,FY,'BKRACTMED=1,WIN=0,UNITS=AUTO,DATE=NOW')":[null,null],"MPLT^FE_TIMESERIES(EBIT,MEAN,2026/1F,2026/4F,FQ,'BKRACTMED=1,WIN=0,UNITS=AUTO,DATE=NOW')":[-43.4,-48.0,-53.6,-60.2],"MPLT^FE_TIMESERIES(DEPR_AMORT,MEAN,2023,2024,FY,'BKRACTMED=1,WIN=0,UNITS=AUTO,DATE=NOW')":[null,null],"MPLT^FE_TIMESERIES(EBITDA,MEAN,2025,2025,FY,'BKRACTMED=1,WIN=0,UNITS=AUTO,DATE=NOW')":-164.86467,"MPLT^FE_TIMESERIES(SGA,MEAN,2025,2025,FY,'BKRACTMED=1,WIN=0,UNITS=AUTO,DATE=NOW')":17.15,"MPLT^FE_TIMESERIES(GROSSINCOME,MEAN,2023,2024,FY,'BKRACTMED=1,WIN=0,UNITS=AUTO,DATE=NOW')":[null,null],"MPLT^FE_TIMESERIES(SALES,MEAN,2025,2025,FY,'BKRACTMED=1,WIN=0,UNITS=AUTO,DATE=NOW')":0.0,"MPLT^FE_TIMESERIES(PTPA,MEAN,2021,2026,FY,'BKRACTMED=1,WIN=0,UNITS=AUTO,DATE=NOW')":[null,null,null,null,-118.7,-184.0],"MPLT^FE_TIMESERIES(SGA,MEAN,2021,2026,FY,'BKRACTMED=1,WIN=0,UNITS=AUTO,DATE=NOW')":[null,null,null,null,17.15,22.0],"MPLT^FE_TIMESERIES(TAX_EXPENSE,MEAN,2021,2021,FY,'BKRACTMED=1,WIN=0,UNITS=AUTO,DATE=NOW')":null,"MPLT^FE_TIMESERIES(PTPA,MEAN,2022/1F,2022/4F,FQ,'BKRACTMED=1,WIN=0,UNITS=AUTO,DATE=NOW')":[null,null,null,null],"MPLT^FE_TIMESERIES(INTEXP,MEAN,2022,2022,FY,'BKRACTMED=1,WIN=0,UNITS=AUTO,DATE=NOW')":null,"MPLT^FE_TIMESERIES(DEPR_AMORT,MEAN,2021/1F,2021/4F,FQ,'BKRACTMED=1,WIN=0,UNITS=AUTO,DATE=NOW')":[null,null,null,null],"MPLT^FE_TIMESERIES(EBITDA,MEAN,2024/1F,2024/4F,FQ,'BKRACTMED=1,WIN=0,UNITS=AUTO,DATE=NOW')":[null,null,null,null],"MPLT^FE_TIMESERIES(RD_EXP,MEAN,2023,2023,FY,'BKRACTMED=1,WIN=0,UNITS=AUTO,DATE=NOW')":null,"MPLT^FE_TIMESERIES(RD_EXP,MEAN,2022/1F,2022/4F,FQ,'BKRACTMED=1,WIN=0,UNITS=AUTO,DATE=NOW')":[null,null,null,null],"MPLT^FE_TIMESERIES(SGA,MEAN,2024,2024,FY,'BKRACTMED=1,WIN=0,UNITS=AUTO,DATE=NOW')":null,"MPLT^FE_TIMESERIES(GROSSINCOME,MEAN,2022,2022,FY,'BKRACTMED=1,WIN=0,UNITS=AUTO,DATE=NOW')":null,"MPLT^FE_TIMESERIES(GROSSINCOME,MEAN,2019,2020,FY,'BKRACTMED=1,WIN=0,UNITS=AUTO,DATE=NOW')":[null,null],"MPLT^PROPER(CONVERT_DATE(FE_TIMESERIES_PERIOD(,2023/1F,2023/4F,FQ,'DISPLAY=YYYYMMDD'),\"MMM 'YY\"))":["Mar '23","Jun '23","Sep '23","Dec '23"],"MPLT^FE_TIMESERIES(EBG,MEAN,2023/1F,2023/4F,FQ,'BKRACTMED=1,WIN=0,UNITS=AUTO,DATE=NOW')":[null,null,null,null],"MPLT^FE_TIMESERIES(CUSTOM_EPS,MEAN,2022/1F,2022/4F,FQ,'BKRACTMED=1,WIN=0,UNITS=AUTO,DATE=NOW')":[null,null,null,null],"MPLT^FE_TIMESERIES(EAG,MEAN,2026,2026,FY,'BKRACTMED=1,WIN=0,UNITS=AUTO,DATE=NOW')":-3.31,"MPLT^FE_TIMESERIES(EAG,MEAN,2021/1F,2021/4F,FQ,'BKRACTMED=1,WIN=0,UNITS=AUTO,DATE=NOW')":[null,null,null,null],"MPLT^FE_TIMESERIES(EPS,MEAN,2026/1F,2026/4F,FQ,'BKRACTMED=1,WIN=0,UNITS=AUTO,DATE=NOW')":[-0.76,-0.905,-1.025,-1.17],"MPLT^FE_TIMESERIES(EPS,MEAN,2025/1F,2025/4F,FQ,'BKRACTMED=1,WIN=0,UNITS=AUTO,DATE=NOW')":[null,-1.14,-37.18,-0.995],"MPLT^FE_TIMESERIES(EPS,MEAN,2024/1F,2024/4F,FQ,'BKRACTMED=1,WIN=0,UNITS=AUTO,DATE=NOW')":[null,null,null,null],"MPLT^FE_TIMESERIES_PERIOD(,2023/1F,2023/4F,FQ,'')":["2023/1F","2023/2F","2023/3F","2023/4F"],"MPLT^PROPER(CONVERT_DATE(FE_TIMESERIES_PERIOD(,2026,2027,FY,'DISPLAY=YYYYMMDD'),\"MMM 'YY\"))":["Dec '26","Dec '27"],"MPLT^FE_TIMESERIES(BFNG,MEAN,2021/1F,2021/4F,FQ,'BKRACTMED=1,WIN=0,UNITS=AUTO,DATE=NOW')":[null,null,null,null],"MPLT^FE_TIMESERIES(PTPA,MEAN,2021,2021,FY,'BKRACTMED=1,WIN=0,UNITS=AUTO,DATE=NOW')":null,"MPLT^FE_TIMESERIES(EBIT_ADJ,MEAN,2019,2020,FY,'BKRACTMED=1,WIN=0,UNITS=AUTO,DATE=NOW')":[null,null],"MPLT^FE_TIMESERIES(RD_EXP,MEAN,2021,2021,FY,'BKRACTMED=1,WIN=0,UNITS=AUTO,DATE=NOW')":null,"MPLT^FE_TIMESERIES(G_A_EXP,MEAN,2024/1F,2024/4F,FQ,'BKRACTMED=1,WIN=0,UNITS=AUTO,DATE=NOW')":[null,null,null,null],"MPLT^FE_TIMESERIES(S_M_EXP,MEAN,2022/1F,2022/4F,FQ,'BKRACTMED=1,WIN=0,UNITS=AUTO,DATE=NOW')":[null,null,null,null],"MPLT^FE_TIMESERIES(COS,MEAN,2024,2024,FY,'BKRACTMED=1,WIN=0,UNITS=AUTO,DATE=NOW')":null,"MPLT^FE_TIMESERIES(COS,MEAN,2023/1F,2023/4F,FQ,'BKRACTMED=1,WIN=0,UNITS=AUTO,DATE=NOW')":[null,null,null,null],"MPLT^FE_TIMESERIES(SALES,MEAN,2022,2022,FY,'BKRACTMED=1,WIN=0,UNITS=AUTO,DATE=NOW')":null,"MPLT^FE_TIMESERIES(SALES,MEAN,2021/1F,2021/4F,FQ,'BKRACTMED=1,WIN=0,UNITS=AUTO,DATE=NOW')":[null,null,null,null],"MPLT^PROPER(CONVERT_DATE(FE_TIMESERIES_PERIOD(,2022,2022,FY,'DISPLAY=YYYYMMDD'),\"MMM 'YY\"))":"Dec '22","MPLT^FE_TIMESERIES(EBG,MEAN,2022,2022,FY,'BKRACTMED=1,WIN=0,UNITS=AUTO,DATE=NOW')":null,"MPLT^FE_TIMESERIES(CUSTOM_EPS,MEAN,2021,2021,FY,'BKRACTMED=1,WIN=0,UNITS=AUTO,DATE=NOW')":null,"MPLT^FE_TIMESERIES(CUSTOM_EPS,MEAN,2019,2020,FY,'BKRACTMED=1,WIN=0,UNITS=AUTO,DATE=NOW')":[null,null],"MPLT^FE_TIMESERIES(EAG,MEAN,2025,2025,FY,'BKRACTMED=1,WIN=0,UNITS=AUTO,DATE=NOW')":-8.21,"MPLT^FE_TIMESERIES(EAG,MEAN,2024,2025,FY,'BKRACTMED=1,WIN=0,UNITS=AUTO,DATE=NOW')":[null,-8.21],"MPLT^FE_TIMESERIES(EPS,MEAN,2023,2023,FY,'BKRACTMED=1,WIN=0,UNITS=AUTO,DATE=NOW')":null,"MPLT^PROPER(CONVERT_DATE(FE_TIMESERIES_PERIOD(,2021,2021,FY,'DISPLAY=YYYYMMDD'),\"MMM 'YY\"))":"Dec '21","MPLT^PROPER(CONVERT_DATE(FE_TIMESERIES_PERIOD(,2019,2020,FY,'DISPLAY=YYYYMMDD'),\"MMM 'YY\"))":["Dec '19","Dec '20"],"MPLT^FE_TIMESERIES(NETBG,MEAN,2025/1F,2025/4F,FQ,'BKRACTMED=1,WIN=0,UNITS=AUTO,DATE=NOW')":[null,null,null,null],"MPLT^FE_TIMESERIES(SALES,MEAN,2025/1F,2025/4F,FQ,'BKRACTMED=1,WIN=0,UNITS=AUTO,DATE=NOW')":[null,0.0,0.0,0.0],"MPLT^FE_TIMESERIES(EBITDA,MEAN,2021,2026,FY,'BKRACTMED=1,WIN=0,UNITS=AUTO,DATE=NOW')":[null,null,null,null,-164.86467,-203.94557],"MPLT^FE_TIMESERIES(NETBG,MEAN,2024,2024,FY,'BKRACTMED=1,WIN=0,UNITS=AUTO,DATE=NOW')":null,"MPLT^FE_TIMESERIES(DEPR_AMORT,MEAN,2019,2020,FY,'BKRACTMED=1,WIN=0,UNITS=AUTO,DATE=NOW')":[null,null],"MPLT^FE_TIMESERIES(EBITDA,MEAN,2022,2022,FY,'BKRACTMED=1,WIN=0,UNITS=AUTO,DATE=NOW')":null,"MPLT^FE_TIMESERIES(S_M_EXP,MEAN,2022,2022,FY,'BKRACTMED=1,WIN=0,UNITS=AUTO,DATE=NOW')":null,"MPLT^FE_TIMESERIES_PERIOD(,2024,2025,FY,'')":["2024","2025"],"MPLT^FE_TIMESERIES_PERIOD(,2021,2021,FY,'')":"2021","MPLT^PROPER(CONVERT_DATE(FE_TIMESERIES_PERIOD(,2024,2025,FY,'DISPLAY=YYYYMMDD'),\"MMM 'YY\"))":["Dec '24","Dec '25"],"MPLT^FE_TIMESERIES(CUSTOM_EPS,MEAN,2025,2025,FY,'BKRACTMED=1,WIN=0,UNITS=AUTO,DATE=NOW')":null,"MPLT^FE_TIMESERIES(CUSTOM_EPS,MEAN,2024/1F,2024/4F,FQ,'BKRACTMED=1,WIN=0,UNITS=AUTO,DATE=NOW')":[null,null,null,null],"MPLT^FE_TIMESERIES(PTP,MEAN,2019,2020,FY,'BKRACTMED=1,WIN=0,UNITS=AUTO,DATE=NOW')":[null,null],"MPLT^FE_TIMESERIES(EBITDA,MEAN,2021,2021,FY,'BKRACTMED=1,WIN=0,UNITS=AUTO,DATE=NOW')":null,"MPLT^FE_TIMESERIES(GROSSINCOME,MEAN,2024/1F,2024/4F,FQ,'BKRACTMED=1,WIN=0,UNITS=AUTO,DATE=NOW')":[null,null,null,null],"MPLT^FE_TIMESERIES(EAG,MEAN,2021,2021,FY,'BKRACTMED=1,WIN=0,UNITS=AUTO,DATE=NOW')":null,"MPLT^PROPER(CONVERT_DATE(FE_TIMESERIES_PERIOD(,2023,2023,FY,'DISPLAY=YYYYMMDD'),\"MMM 'YY\"))":"Dec '23","MPLT^FE_TIMESERIES(RD_EXP,MEAN,2026,2027,FY,'BKRACTMED=1,WIN=0,UNITS=AUTO,DATE=NOW')":[160.0,162.5],"MPLT^FE_TIMESERIES(RD_EXP,MEAN,2021,2026,FY,'BKRACTMED=1,WIN=0,UNITS=AUTO,DATE=NOW')":[null,null,null,null,107.85,160.0],"MPLT^FE_TIMESERIES(COS,MEAN,2021,2026,FY,'BKRACTMED=1,WIN=0,UNITS=AUTO,DATE=NOW')":[null,null,null,null,0.0,0.0],"MPLT^FE_TIMESERIES(NETBG,MEAN,2023,2023,FY,'BKRACTMED=1,WIN=0,UNITS=AUTO,DATE=NOW')":null,"MPLT^FE_TIMESERIES(NETPROFIT,MEAN,2022/1F,2022/4F,FQ,'BKRACTMED=1,WIN=0,UNITS=AUTO,DATE=NOW')":[null,null,null,null],"MPLT^FE_TIMESERIES(EBITDA_REP,MEAN,2024,2024,FY,'BKRACTMED=1,WIN=0,UNITS=AUTO,DATE=NOW')":null,"MPLT^FE_TIMESERIES(EBITDA_REP,MEAN,2021/1F,2021/4F,FQ,'BKRACTMED=1,WIN=0,UNITS=AUTO,DATE=NOW')":[null,null,null,null],"MPLT^FE_TIMESERIES(S_M_EXP,MEAN,2021,2021,FY,'BKRACTMED=1,WIN=0,UNITS=AUTO,DATE=NOW')":null,"MPLT^FE_TIMESERIES(COS,MEAN,2022/1F,2022/4F,FQ,'BKRACTMED=1,WIN=0,UNITS=AUTO,DATE=NOW')":[null,null,null,null],"MPLT^FE_TIMESERIES(CUSTOM_EPS,MEAN,2021,2026,FY,'BKRACTMED=1,WIN=0,UNITS=AUTO,DATE=NOW')":[null,null,null,null,null,null],"MPLT^FE_TIMESERIES(EPS,MEAN,2021,2026,FY,'BKRACTMED=1,WIN=0,UNITS=AUTO,DATE=NOW')":[null,null,null,null,-6.3525,-3.6925],"MPLT^FE_TIMESERIES(EBG,MEAN,2021/1F,2021/4F,FQ,'BKRACTMED=1,WIN=0,UNITS=AUTO,DATE=NOW')":[null,null,null,null],"MPLT^FE_TIMESERIES(CUSTOM_EPS,MEAN,2023,2023,FY,'BKRACTMED=1,WIN=0,UNITS=AUTO,DATE=NOW')":null,"MPLT^FE_TIMESERIES(EAG,MEAN,2022/1F,2022/4F,FQ,'BKRACTMED=1,WIN=0,UNITS=AUTO,DATE=NOW')":[null,null,null,null],"MPLT^FE_TIMESERIES(EPS,MEAN,2024,2025,FY,'BKRACTMED=1,WIN=0,UNITS=AUTO,DATE=NOW')":[null,-6.3525],"MPLT^FE_TIMESERIES(EPS,MEAN,2022,2022,FY,'BKRACTMED=1,WIN=0,UNITS=AUTO,DATE=NOW')":null,"MPLT^PROPER(CONVERT_DATE(FE_TIMESERIES_PERIOD(,2024/1F,2024/4F,FQ,'DISPLAY=YYYYMMDD'),\"MMM 'YY\"))":["Mar '24","Jun '24","Sep '24","Dec '24"],"MPLT^FE_TIMESERIES(EBIT,MEAN,2025/1F,2025/4F,FQ,'BKRACTMED=1,WIN=0,UNITS=AUTO,DATE=NOW')":[null,-29.7,-31.5,-39.133335],"MPLT^FE_TIMESERIES(EBITDA_ADJ,MEAN,2025/1F,2025/4F,FQ,'BKRACTMED=1,WIN=0,UNITS=AUTO,DATE=NOW')":[null,null,null,null],"MPLT^FE_TIMESERIES(NETBG,MEAN,2021,2026,FY,'BKRACTMED=1,WIN=0,UNITS=AUTO,DATE=NOW')":[null,null,null,null,null,null],"MPLT^FE_TIMESERIES(G_A_EXP,MEAN,2021,2026,FY,'BKRACTMED=1,WIN=0,UNITS=AUTO,DATE=NOW')":[null,null,null,null,null,null],"MPLT^FE_TIMESERIES(PTPA,MEAN,2024/1F,2024/4F,FQ,'BKRACTMED=1,WIN=0,UNITS=AUTO,DATE=NOW')":[null,null,null,null],"MPLT^FE_TIMESERIES(DEPR_AMORT,MEAN,2023/1F,2023/4F,FQ,'BKRACTMED=1,WIN=0,UNITS=AUTO,DATE=NOW')":[null,null,null,null],"MPLT^FE_TIMESERIES(G_A_EXP,MEAN,2023,2023,FY,'BKRACTMED=1,WIN=0,UNITS=AUTO,DATE=NOW')":null,"MPLT^FE_TIMESERIES(G_A_EXP,MEAN,2021/1F,2021/4F,FQ,'BKRACTMED=1,WIN=0,UNITS=AUTO,DATE=NOW')":[null,null,null,null],"MPLT^FE_TIMESERIES(COS,MEAN,2021,2021,FY,'BKRACTMED=1,WIN=0,UNITS=AUTO,DATE=NOW')":null,"MPLT^FE_TIMESERIES(EPS,MEAN,2019,2020,FY,'BKRACTMED=1,WIN=0,UNITS=AUTO,DATE=NOW')":[null,null],"MPLT^FE_TIMESERIES_PERIOD(,2021/1F,2021/4F,FQ,'')":["2021/1F","2021/2F","2021/3F","2021/4F"],"MPLT^FE_TIMESERIES(SGA,MEAN,2026/1F,2026/4F,FQ,'BKRACTMED=1,WIN=0,UNITS=AUTO,DATE=NOW')":[null,null,null,null],"MPLT^FE_TIMESERIES(DEPR_AMORT,MEAN,2026,2027,FY,'BKRACTMED=1,WIN=0,UNITS=AUTO,DATE=NOW')":[1.8,0.7],"MPLT^FE_TIMESERIES(EBIT,MEAN,2023/1F,2023/4F,FQ,'BKRACTMED=1,WIN=0,UNITS=AUTO,DATE=NOW')":[null,null,null,null],"MPLT^FE_TIMESERIES(EBITDA_REP,MEAN,2023,2023,FY,'BKRACTMED=1,WIN=0,UNITS=AUTO,DATE=NOW')":null,"MPLT^FE_TIMESERIES(GROSSINCOME,MEAN,2023,2023,FY,'BKRACTMED=1,WIN=0,UNITS=AUTO,DATE=NOW')":null,"MPLT^FE_TIMESERIES(COS,MEAN,2021/1F,2021/4F,FQ,'BKRACTMED=1,WIN=0,UNITS=AUTO,DATE=NOW')":[null,null,null,null],"MPLT^FE_TIMESERIES(EBG,MEAN,2019,2020,FY,'BKRACTMED=1,WIN=0,UNITS=AUTO,DATE=NOW')":[null,null],"MPLT^FE_TIMESERIES(CUSTOM_EPS,MEAN,2025/1F,2025/4F,FQ,'BKRACTMED=1,WIN=0,UNITS=AUTO,DATE=NOW')":[null,null,null,null],"MPLT^FE_TIMESERIES(CUSTOM_EPS,MEAN,2023/1F,2023/4F,FQ,'BKRACTMED=1,WIN=0,UNITS=AUTO,DATE=NOW')":[null,null,null,null],"MPLT^FE_TIMESERIES(EAG,MEAN,2023,2023,FY,'BKRACTMED=1,WIN=0,UNITS=AUTO,DATE=NOW')":null,"MPLT^FE_TIMESERIES(EPS,MEAN,2026,2026,FY,'BKRACTMED=1,WIN=0,UNITS=AUTO,DATE=NOW')":-3.6925,"MPLT^FE_TIMESERIES(NETPROFIT,MEAN,2025/1F,2025/4F,FQ,'BKRACTMED=1,WIN=0,UNITS=AUTO,DATE=NOW')":[null,-27.4,-29.418,-36.8],"MPLT^FE_TIMESERIES(TAX_EXPENSE,MEAN,2024/1F,2024/4F,FQ,'BKRACTMED=1,WIN=0,UNITS=AUTO,DATE=NOW')":[null,null,null,null],"MPLT^FE_TIMESERIES(EBIT_ADJ,MEAN,2022,2022,FY,'BKRACTMED=1,WIN=0,UNITS=AUTO,DATE=NOW')":null,"MPLT^FE_TIMESERIES(EBITDA_REP,MEAN,2022,2022,FY,'BKRACTMED=1,WIN=0,UNITS=AUTO,DATE=NOW')":null,"MPLT^FE_TIMESERIES(G_A_EXP,MEAN,2023/1F,2023/4F,FQ,'BKRACTMED=1,WIN=0,UNITS=AUTO,DATE=NOW')":[null,null,null,null],"MPLT^FE_TIMESERIES(SGA,MEAN,2022/1F,2022/4F,FQ,'BKRACTMED=1,WIN=0,UNITS=AUTO,DATE=NOW')":[null,null,null,null],"MPLT^FE_TIMESERIES(GROSSINCOME,MEAN,2023/1F,2023/4F,FQ,'BKRACTMED=1,WIN=0,UNITS=AUTO,DATE=NOW')":[null,null,null,null],"MPLT^FE_TIMESERIES(COS,MEAN,2019,2020,FY,'BKRACTMED=1,WIN=0,UNITS=AUTO,DATE=NOW')":[null,null],"MPLT^FE_TIMESERIES(CUSTOM_EPS,MEAN,2022,2022,FY,'BKRACTMED=1,WIN=0,UNITS=AUTO,DATE=NOW')":null,"MPLT^FE_TIMESERIES(EPS,MEAN,2025,2025,FY,'BKRACTMED=1,WIN=0,UNITS=AUTO,DATE=NOW')":-6.3525,"MPLT^FE_TIMESERIES(EPS,MEAN,2022/1F,2022/4F,FQ,'BKRACTMED=1,WIN=0,UNITS=AUTO,DATE=NOW')":[null,null,null,null],"MPLT^FE_TIMESERIES_PERIOD(,2019,2020,FY,'')":["2019","2020"],"MPLT^FE_TIMESERIES(COS,MEAN,2025/1F,2025/4F,FQ,'BKRACTMED=1,WIN=0,UNITS=AUTO,DATE=NOW')":[null,0.0,0.0,0.0],"MPLT^FE_TIMESERIES(PTPBG,MEAN,2026,2027,FY,'BKRACTMED=1,WIN=0,UNITS=AUTO,DATE=NOW')":[null,null],"MPLT^FE_TIMESERIES(RD_EXP,MEAN,2024,2024,FY,'BKRACTMED=1,WIN=0,UNITS=AUTO,DATE=NOW')":null,"MPLT^FE_TIMESERIES(EBG,MEAN,2023,2023,FY,'BKRACTMED=1,WIN=0,UNITS=AUTO,DATE=NOW')":null,"MPLT^FE_TIMESERIES(CUSTOM_EPS,MEAN,2024,2025,FY,'BKRACTMED=1,WIN=0,UNITS=AUTO,DATE=NOW')":[null,null],"MPLT^FE_TIMESERIES(EPS,MEAN,2021,2021,FY,'BKRACTMED=1,WIN=0,UNITS=AUTO,DATE=NOW')":null,"MPLT^FE_TIMESERIES(EPS,MEAN,2021/1F,2021/4F,FQ,'BKRACTMED=1,WIN=0,UNITS=AUTO,DATE=NOW')":[null,null,null,null],"MPLT^FE_TIMESERIES(CUSTOM_EPS,MEAN,2026/1F,2026/4F,FQ,'BKRACTMED=1,WIN=0,UNITS=AUTO,DATE=NOW')":[null,null,null,null],"MPLT^FE_TIMESERIES(EBITDA,MEAN,2019,2020,FY,'BKRACTMED=1,WIN=0,UNITS=AUTO,DATE=NOW')":[null,null],"MPLT^FE_TIMESERIES(PTPA,MEAN,2025/1F,2025/4F,FQ,'BKRACTMED=1,WIN=0,UNITS=AUTO,DATE=NOW')":[null,null,-29.4,-37.1],"MPLT^FE_TIMESERIES(SGA,MEAN,2025/1F,2025/4F,FQ,'BKRACTMED=1,WIN=0,UNITS=AUTO,DATE=NOW')":[null,4.1,4.4,5.15],"MPLT^FE_TIMESERIES(SALES,MEAN,2024/1F,2024/4F,FQ,'BKRACTMED=1,WIN=0,UNITS=AUTO,DATE=NOW')":[null,null,null,null],"MPLT^FE_TIMESERIES(EAG,MEAN,2019,2020,FY,'BKRACTMED=1,WIN=0,UNITS=AUTO,DATE=NOW')":[null,null],"MPLT^FE_TIMESERIES(GROSSINCOME,MEAN,2026,2027,FY,'BKRACTMED=1,WIN=0,UNITS=AUTO,DATE=NOW')":[0.0,0.0],"MPLT^FE_TIMESERIES(BFNG,MEAN,2023/1F,2023/4F,FQ,'BKRACTMED=1,WIN=0,UNITS=AUTO,DATE=NOW')":[null,null,null,null],"MPLT^FE_TIMESERIES(PTP,MEAN,2024,2024,FY,'BKRACTMED=1,WIN=0,UNITS=AUTO,DATE=NOW')":null,"MPLT^FE_TIMESERIES(GROSSINCOME,MEAN,2021,2021,FY,'BKRACTMED=1,WIN=0,UNITS=AUTO,DATE=NOW')":null,"MPLT^FE_TIMESERIES(DEPR_AMORT,MEAN,2022/1F,2022/4F,FQ,'BKRACTMED=1,WIN=0,UNITS=AUTO,DATE=NOW')":[null,null,null,null],"MPLT^FE_TIMESERIES(EAG,MEAN,2022,2022,FY,'BKRACTMED=1,WIN=0,UNITS=AUTO,DATE=NOW')":null,"MPLT^FE_TIMESERIES(TAX_EXPENSE,MEAN,2023,2023,FY,'BKRACTMED=1,WIN=0,UNITS=AUTO,DATE=NOW')":null,"MPLT^FE_TIMESERIES(SALES,MEAN,2024,2024,FY,'BKRACTMED=1,WIN=0,UNITS=AUTO,DATE=NOW')":null,"MPLT^FE_TIMESERIES(EBIT,MEAN,2021/1F,2021/4F,FQ,'BKRACTMED=1,WIN=0,UNITS=AUTO,DATE=NOW')":[null,null,null,null],"MPLT^FE_TIMESERIES(RD_EXP,MEAN,2021/1F,2021/4F,FQ,'BKRACTMED=1,WIN=0,UNITS=AUTO,DATE=NOW')":[null,null,null,null],"MPLT^FE_TIMESERIES(S_M_EXP,MEAN,2019,2020,FY,'BKRACTMED=1,WIN=0,UNITS=AUTO,DATE=NOW')":[null,null],"MPLT^FE_TIMESERIES(EBG,MEAN,2021,2021,FY,'BKRACTMED=1,WIN=0,UNITS=AUTO,DATE=NOW')":null,"MPLT^FE_TIMESERIES(NETBG,MEAN,2019,2020,FY,'BKRACTMED=1,WIN=0,UNITS=AUTO,DATE=NOW')":[null,null],"MPLT^FE_TIMESERIES(SGA,MEAN,2024/1F,2024/4F,FQ,'BKRACTMED=1,WIN=0,UNITS=AUTO,DATE=NOW')":[null,null,null,null],"MPLT^FE_TIMESERIES(EAG,MEAN,2021,2026,FY,'BKRACTMED=1,WIN=0,UNITS=AUTO,DATE=NOW')":[null,null,null,null,-8.21,-3.31],"MPLT^FE_TIMESERIES_PERIOD(,2026,2026,FY,'')":"2026","MPLT^FE_TIMESERIES(NETPROFIT,MEAN,2024/1F,2024/4F,FQ,'BKRACTMED=1,WIN=0,UNITS=AUTO,DATE=NOW')":[null,null,null,null],"MPLT^FE_TIMESERIES(INTEXP,MEAN,2024/1F,2024/4F,FQ,'BKRACTMED=1,WIN=0,UNITS=AUTO,DATE=NOW')":[null,null,null,null],"MPLT^FE_TIMESERIES(DEPR_AMORT,MEAN,2024,2024,FY,'BKRACTMED=1,WIN=0,UNITS=AUTO,DATE=NOW')":null,"MPLT^FE_TIMESERIES(G_A_EXP,MEAN,2022,2022,FY,'BKRACTMED=1,WIN=0,UNITS=AUTO,DATE=NOW')":null,"MPLT^FE_TIMESERIES(SGA,MEAN,2023,2023,FY,'BKRACTMED=1,WIN=0,UNITS=AUTO,DATE=NOW')":null,"MPLT^FE_TIMESERIES(EAG,MEAN,2023/1F,2023/4F,FQ,'BKRACTMED=1,WIN=0,UNITS=AUTO,DATE=NOW')":[null,null,null,null],"MPLT^FE_TIMESERIES(BFNG,MEAN,2023,2024,FY,'BKRACTMED=1,WIN=0,UNITS=AUTO,DATE=NOW')":[null,null],"MPLT^FE_TIMESERIES(EBITDA,MEAN,2023/1F,2023/4F,FQ,'BKRACTMED=1,WIN=0,UNITS=AUTO,DATE=NOW')":[null,null,null,null],"MPLT^FE_TIMESERIES(INTEXP,MEAN,2022/1F,2022/4F,FQ,'BKRACTMED=1,WIN=0,UNITS=AUTO,DATE=NOW')":[null,null,null,null],"MPLT^PROPER(CONVERT_DATE(FE_TIMESERIES_PERIOD(,2025/1F,2025/4F,FQ,'DISPLAY=YYYYMMDD'),\"MMM 'YY\"))":["Mar '25","Jun '25","Sep '25","Dec '25"],"MPLT^PROPER(CONVERT_DATE(FE_TIMESERIES_PERIOD(,2023,2024,FY,'DISPLAY=YYYYMMDD'),\"MMM 'YY\"))":["Dec '23","Dec '24"],"MPLT-US^FE_TIMESERIES(PTP,MEAN,2024,2030,FY,'BKRACTMED=1,WIN=0,UNITS=AUTO,DATE=NOW')":[null,-161.2,-186.84521,-228.53249,-286.71274,-292.96667,-318.8],"MPLT-US^FE_TIMESERIES(GROSSINCOME,MEAN,2023,2024,FY,'BKRACTMED=1,WIN=0,UNITS=AUTO,DATE=NOW')":[null,null],"MPLT-US^FE_TIMESERIES(INT_INCOME,MEAN,2024,2030,FY,'BKRACTMED=1,WIN=0,UNITS=AUTO,DATE=NOW')":[null,null,null,null,null,null,null],"MPLT-US^FE_TIMESERIES(SALES,MEAN,2026/1F,2026/4F,FQ,'BKRACTMED=1,WIN=0,UNITS=AUTO,DATE=NOW')":[0.0,0.0,0.0,0.0],"MPLT-US^FE_TIMESERIES(TAX_EXPENSE,MEAN,2024,2030,FY,'BKRACTMED=1,WIN=0,UNITS=AUTO,DATE=NOW')":[null,0.0,0.0,0.0,0.0,0.0,0.0],"MPLT-US^FE_TIMESERIES(COS,MEAN,2026/1F,2026/4F,FQ,'BKRACTMED=1,WIN=0,UNITS=AUTO,DATE=NOW')":[0.0,0.0,0.0,0.0],"MPLT-US^FE_TIMESERIES(SALES,MEAN,2023,2024,FY,'BKRACTMED=1,WIN=0,UNITS=AUTO,DATE=NOW')":[null,null],"MPLT-US^FE_TIMESERIES(PTPA,MEAN,2024,2030,FY,'BKRACTMED=1,WIN=0,UNITS=AUTO,DATE=NOW')":[null,-161.2,-185.0,-279.1,-316.9,null,null],"MPLT-US^FE_TIMESERIES(COS,MEAN,2026,2027,FY,'BKRACTMED=1,WIN=0,UNITS=AUTO,DATE=NOW')":[0.0,0.0],"MPLT-US^FE_TIMESERIES(SALES,MEAN,2025/1F,2025/4F,FQ,'BKRACTMED=1,WIN=0,UNITS=AUTO,DATE=NOW')":[null,0.0,0.0,0.0],"MPLT-US^FE_TIMESERIES_PERIOD(,2026,2027,FY,'')":["2026","2027"],"MPLT-US^FE_TIMESERIES(COS,MEAN,2025,2025,FY,'BKRACTMED=1,WIN=0,UNITS=AUTO,DATE=NOW')":0.0,"MPLT-US^FE_TIMESERIES(BFNG,MEAN,2024,2030,FY,'BKRACTMED=1,WIN=0,UNITS=AUTO,DATE=NOW')":[null,-161.2,-199.15,-254.25,-290.7,-264.6,-245.8],"MPLT-US^FE_TIMESERIES(SALES,MEAN,2026,2027,FY,'BKRACTMED=1,WIN=0,UNITS=AUTO,DATE=NOW')":[0.0,0.0],"MPLT-US^FE_TIMESERIES(COS,MEAN,2023,2024,FY,'BKRACTMED=1,WIN=0,UNITS=AUTO,DATE=NOW')":[null,null],"MPLT-US^FE_TIMESERIES(SALES,MEAN,2025,2025,FY,'BKRACTMED=1,WIN=0,UNITS=AUTO,DATE=NOW')":0.0,"MPLT-US^FE_TIMESERIES(NETPROFIT,MEAN,2024,2030,FY,'BKRACTMED=1,WIN=0,UNITS=AUTO,DATE=NOW')":[null,-161.152,-186.84521,-228.53249,-286.71274,-292.96667,-318.8],"MPLT-US^FE_TIMESERIES(COS,MEAN,2025/1F,2025/4F,FQ,'BKRACTMED=1,WIN=0,UNITS=AUTO,DATE=NOW')":[null,0.0,0.0,0.0],"MPLT-US^PROPER(CONVERT_DATE(FE_TIMESERIES_PERIOD(,2025,2025,FY,'DISPLAY=YYYYMMDD'),\"MMM 'YY\"))":"Dec '25","MPLT-US^FE_TIMESERIES_PERIOD(,2025/1F,2025/4F,FQ,'')":["2025/1F","2025/2F","2025/3F","2025/4F"],"MPLT-US^FE_TIMESERIES_PERIOD(,2026/1F,2026/4F,FQ,'')":["2026/1F","2026/2F","2026/3F","2026/4F"],"MPLT-US^FE_TIMESERIES(EBITR,MEAN,2024,2030,FY,'BKRACTMED=1,WIN=0,UNITS=AUTO,DATE=NOW')":[null,-169.1,-205.2,-302.0,-341.2,null,null],"MPLT-US^FE_TIMESERIES_PERIOD(,2025,2025,FY,'')":"2025","MPLT-US^PROPER(CONVERT_DATE(FE_TIMESERIES_PERIOD(,2026/1F,2026/4F,FQ,'DISPLAY=YYYYMMDD'),\"MMM 'YY\"))":["Mar '26","Jun '26","Sep '26","Dec '26"],"MPLT-US^FE_TIMESERIES_PERIOD(,2023,2024,FY,'')":["2023","2024"],"MPLT-US^PROPER(CONVERT_DATE(FE_TIMESERIES_PERIOD(,2026,2027,FY,'DISPLAY=YYYYMMDD'),\"MMM 'YY\"))":["Dec '26","Dec '27"],"MPLT-US^FE_TIMESERIES(EBITDA,MEAN,2024,2030,FY,'BKRACTMED=1,WIN=0,UNITS=AUTO,DATE=NOW')":[null,-169.5525,-210.85167,-227.40497,-298.0468,-264.0,-245.1],"MPLT-US^FE_TIMESERIES(SGA,MEAN,2024,2030,FY,'BKRACTMED=1,WIN=0,UNITS=AUTO,DATE=NOW')":[null,30.7,37.433334,42.1,47.8,50.7,196.6],"MPLT-US^FE_TIMESERIES(COS,MEAN,2024,2030,FY,'BKRACTMED=1,WIN=0,UNITS=AUTO,DATE=NOW')":[null,0.0,0.0,0.0,0.0,0.0,2.55],"MPLT-US^FE_TIMESERIES(BFNG,MEAN,2026/1F,2026/4F,FQ,'BKRACTMED=1,WIN=0,UNITS=AUTO,DATE=NOW')":[-43.95,-47.25,-51.75,-56.2],"MPLT-US^FE_TIMESERIES(NETPROFIT,MEAN,2025,2025,FY,'BKRACTMED=1,WIN=0,UNITS=AUTO,DATE=NOW')":-161.152,"MPLT-US^FE_TIMESERIES(RD_EXP,MEAN,2025,2025,FY,'BKRACTMED=1,WIN=0,UNITS=AUTO,DATE=NOW')":138.3,"MPLT-US^FE_TIMESERIES(DEPR_AMORT,MEAN,2024,2030,FY,'BKRACTMED=1,WIN=0,UNITS=AUTO,DATE=NOW')":[null,0.6,1.3,0.55,0.8,0.8,0.8],"MPLT-US^FE_TIMESERIES(SALES,MEAN,2024,2030,FY,'BKRACTMED=1,WIN=0,UNITS=AUTO,DATE=NOW')":[null,0.0,0.0,0.0,0.0,0.0,49.1],"MPLT-US^FE_TIMESERIES(EPS,MEAN,2024,2030,FY,'BKRACTMED=1,WIN=0,UNITS=AUTO,DATE=NOW')":[null,-18.56,-3.946,-4.1,-4.77,-4.56,-4.67],"MPLT-US^FE_TIMESERIES(TOTASSET,MEAN,2024,2030,FY,'BKRACTMED=1,WIN=0,UNITS=AUTO,DATE=NOW')":[null,479.5,492.8,510.86667,310.6,320.4,243.2],"MPLT-US^FE_TIMESERIES(SGA,MEAN,2023,2024,FY,'BKRACTMED=1,WIN=0,UNITS=AUTO,DATE=NOW')":[null,null],"MPLT-US^FE_TIMESERIES(RD_EXP,MEAN,2024,2030,FY,'BKRACTMED=1,WIN=0,UNITS=AUTO,DATE=NOW')":[null,138.3,150.66667,175.0,212.5,207.5,147.5],"MPLT-US^FE_TIMESERIES(EBIT,MEAN,2024,2030,FY,'BKRACTMED=1,WIN=0,UNITS=AUTO,DATE=NOW')":[null,-169.1,-195.55608,-240.46242,-298.63568,-300.73334,-328.1],"MPLT-US^FE_TIMESERIES(EBIT,MEAN,2026,2027,FY,'BKRACTMED=1,WIN=0,UNITS=AUTO,DATE=NOW')":[-195.55608,-240.46242],"MPLT-US^FE_TIMESERIES(GROSSINCOME,MEAN,2024,2030,FY,'BKRACTMED=1,WIN=0,UNITS=AUTO,DATE=NOW')":[null,0.0,0.0,0.0,0.0,0.0,53.65],"MPLT-US^PROPER(CONVERT_DATE(FE_TIMESERIES_PERIOD(,2025/1F,2025/4F,FQ,'DISPLAY=YYYYMMDD'),\"MMM 'YY\"))":["Mar '25","Jun '25","Sep '25","Dec '25"],"MPLT-US^FE_TIMESERIES(BFNG,MEAN,2025/1F,2025/4F,FQ,'BKRACTMED=1,WIN=0,UNITS=AUTO,DATE=NOW')":[null,null,-29.4,-79.5],"MPLT-US^FE_TIMESERIES(SHEQUITY,MEAN,2024,2030,FY,'BKRACTMED=1,WIN=0,UNITS=AUTO,DATE=NOW')":[null,458.4,474.0,468.25,324.65,279.55,225.35],"MPLT-US^FE_TIMESERIES(PTP,MEAN,2023,2024,FY,'BKRACTMED=1,WIN=0,UNITS=AUTO,DATE=NOW')":[null,null],"MPLT-US^FE_TIMESERIES(EAG,MEAN,2024,2030,FY,'BKRACTMED=1,WIN=0,UNITS=AUTO,DATE=NOW')":[null,-18.625,-4.0866666,-4.735,-5.17,-4.995,-4.79],"MPLT-US^FE_TIMESERIES(NETPROFIT,MEAN,2026,2027,FY,'BKRACTMED=1,WIN=0,UNITS=AUTO,DATE=NOW')":[-186.84521,-228.53249],"MPLT-US^FE_TIMESERIES(PTPA,MEAN,2025,2025,FY,'BKRACTMED=1,WIN=0,UNITS=AUTO,DATE=NOW')":-161.2,"MPLT-US^FE_TIMESERIES(INT_INCOME,MEAN,2023,2024,FY,'BKRACTMED=1,WIN=0,UNITS=AUTO,DATE=NOW')":[null,null],"MPLT-US^FE_TIMESERIES(DEPR_AMORT,MEAN,2026/1F,2026/4F,FQ,'BKRACTMED=1,WIN=0,UNITS=AUTO,DATE=NOW')":[0.4,0.4,0.4,0.4],"MPLT-US^FE_TIMESERIES(DEPR_AMORT,MEAN,2025/1F,2025/4F,FQ,'BKRACTMED=1,WIN=0,UNITS=AUTO,DATE=NOW')":[null,null,0.1,0.1],"MPLT-US^FE_TIMESERIES(EBITDA,MEAN,2026,2027,FY,'BKRACTMED=1,WIN=0,UNITS=AUTO,DATE=NOW')":[-210.85167,-227.40497],"MPLT-US^FE_TIMESERIES(SGA,MEAN,2025,2025,FY,'BKRACTMED=1,WIN=0,UNITS=AUTO,DATE=NOW')":30.7,"MPLT-US^FE_TIMESERIES(EAG,MEAN,2025,2025,FY,'BKRACTMED=1,WIN=0,UNITS=AUTO,DATE=NOW')":-18.625,"MPLT-US^FE_TIMESERIES(TAX_EXPENSE,MEAN,2026/1F,2026/4F,FQ,'BKRACTMED=1,WIN=0,UNITS=AUTO,DATE=NOW')":[0.0,0.0,0.0,0.0],"MPLT-US^FE_TIMESERIES(PTPA,MEAN,2026,2027,FY,'BKRACTMED=1,WIN=0,UNITS=AUTO,DATE=NOW')":[-185.0,-279.1],"MPLT-US^FE_TIMESERIES(EBIT,MEAN,2023,2024,FY,'BKRACTMED=1,WIN=0,UNITS=AUTO,DATE=NOW')":[null,null],"MPLT-US^FE_TIMESERIES(RD_EXP,MEAN,2025/1F,2025/4F,FQ,'BKRACTMED=1,WIN=0,UNITS=AUTO,DATE=NOW')":[null,24.6,27.1,64.6],"MPLT-US^FE_TIMESERIES(CURRENTLIABILITIES,MEAN,2025/1F,2025/4F,FQ,'BKRACTMED=1,WIN=0,UNITS=AUTO,DATE=NOW')":[null,null,null,16.2],"MPLT-US^FE_TIMESERIES(NETDEBT,MEAN,2024,2030,FY,'BKRACTMED=1,WIN=0,UNITS=AUTO,DATE=NOW')":[null,-453.1,-438.47427,-335.03198,-353.34064,-266.6,-260.5],"MPLT-US^FE_TIMESERIES(PTPA,MEAN,2025/1F,2025/4F,FQ,'BKRACTMED=1,WIN=0,UNITS=AUTO,DATE=NOW')":[null,null,-29.4,-79.5],"MPLT-US^FE_TIMESERIES(DEPR_AMORT,MEAN,2023,2024,FY,'BKRACTMED=1,WIN=0,UNITS=AUTO,DATE=NOW')":[null,null],"MPLT-US^FE_TIMESERIES(SGA,MEAN,2025/1F,2025/4F,FQ,'BKRACTMED=1,WIN=0,UNITS=AUTO,DATE=NOW')":[null,4.1,4.4,18.8],"MPLT-US^FE_TIMESERIES(PTPA,MEAN,2023,2024,FY,'BKRACTMED=1,WIN=0,UNITS=AUTO,DATE=NOW')":[null,null],"MPLT-US^FE_TIMESERIES(EBITDA,MEAN,2025,2025,FY,'BKRACTMED=1,WIN=0,UNITS=AUTO,DATE=NOW')":-169.5525,"MPLT-US^FE_TIMESERIES(TOTASSET,MEAN,2026/1F,2026/4F,FQ,'BKRACTMED=1,WIN=0,UNITS=AUTO,DATE=NOW')":[436.35,390.0,511.3,456.15],"MPLT-US^FE_TIMESERIES(BFNG,MEAN,2026,2027,FY,'BKRACTMED=1,WIN=0,UNITS=AUTO,DATE=NOW')":[-199.15,-254.25],"MPLT-US^FE_TIMESERIES(DEPR_AMORT,MEAN,2026,2027,FY,'BKRACTMED=1,WIN=0,UNITS=AUTO,DATE=NOW')":[1.3,0.55],"MPLT-US^FE_TIMESERIES(CURRENTLIABILITIES,MEAN,2024,2030,FY,'BKRACTMED=1,WIN=0,UNITS=AUTO,DATE=NOW')":[null,16.2,16.2,8.1,8.1,8.1,12.55],"MPLT-US^FE_TIMESERIES(NETPROFIT,MEAN,2026/1F,2026/4F,FQ,'BKRACTMED=1,WIN=0,UNITS=AUTO,DATE=NOW')":[-41.575,-44.175,-47.3,-51.15],"MPLT-US^FE_TIMESERIES(NETPROFIT,MEAN,2025/1F,2025/4F,FQ,'BKRACTMED=1,WIN=0,UNITS=AUTO,DATE=NOW')":[null,-27.4,-29.418,-79.548],"MPLT-US^FE_TIMESERIES(TAX_EXPENSE,MEAN,2026,2027,FY,'BKRACTMED=1,WIN=0,UNITS=AUTO,DATE=NOW')":[0.0,0.0],"MPLT-US^FE_TIMESERIES(PTP,MEAN,2025,2025,FY,'BKRACTMED=1,WIN=0,UNITS=AUTO,DATE=NOW')":-161.2,"MPLT-US^FE_TIMESERIES(EBITR,MEAN,2023,2024,FY,'BKRACTMED=1,WIN=0,UNITS=AUTO,DATE=NOW')":[null,null],"MPLT-US^FE_TIMESERIES(EBITDA,MEAN,2026/1F,2026/4F,FQ,'BKRACTMED=1,WIN=0,UNITS=AUTO,DATE=NOW')":[-48.9,-51.9,-54.9,-57.9],"MPLT-US^FE_TIMESERIES(EBITDA,MEAN,2025/1F,2025/4F,FQ,'BKRACTMED=1,WIN=0,UNITS=AUTO,DATE=NOW')":[null,null,null,-84.7],"MPLT-US^FE_TIMESERIES(RD_EXP,MEAN,2026,2027,FY,'BKRACTMED=1,WIN=0,UNITS=AUTO,DATE=NOW')":[150.66667,175.0],"MPLT-US^FE_TIMESERIES(GROSSINCOME,MEAN,2025,2025,FY,'BKRACTMED=1,WIN=0,UNITS=AUTO,DATE=NOW')":0.0,"MPLT-US^PROPER(CONVERT_DATE(FE_TIMESERIES_PERIOD(,2024,2030,FY,'DISPLAY=YYYYMMDD'),\"MMM 'YY\"))":["Dec '24","Dec '25","Dec '26","Dec '27","Dec '28","Dec '29","Dec '30"],"MPLT-US^FE_TIMESERIES(TAX_EXPENSE,MEAN,2025/1F,2025/4F,FQ,'BKRACTMED=1,WIN=0,UNITS=AUTO,DATE=NOW')":[null,0.0,0.0,0.0],"MPLT-US^FE_TIMESERIES(INT_INCOME,MEAN,2025,2025,FY,'BKRACTMED=1,WIN=0,UNITS=AUTO,DATE=NOW')":null,"MPLT-US^FE_TIMESERIES(RD_EXP,MEAN,2026/1F,2026/4F,FQ,'BKRACTMED=1,WIN=0,UNITS=AUTO,DATE=NOW')":[35.1,36.766666,38.1,40.766666],"MPLT-US^FE_TIMESERIES(SGA,MEAN,2026,2027,FY,'BKRACTMED=1,WIN=0,UNITS=AUTO,DATE=NOW')":[37.433334,42.1],"MPLT-US^FE_TIMESERIES(BFNG,MEAN,2023,2024,FY,'BKRACTMED=1,WIN=0,UNITS=AUTO,DATE=NOW')":[null,null],"MPLT-US^FE_TIMESERIES(PTPA,MEAN,2026/1F,2026/4F,FQ,'BKRACTMED=1,WIN=0,UNITS=AUTO,DATE=NOW')":[-39.1,-42.6,-48.7,-54.6],"MPLT-US^FE_TIMESERIES(PTP,MEAN,2026,2027,FY,'BKRACTMED=1,WIN=0,UNITS=AUTO,DATE=NOW')":[-186.84521,-228.53249],"MPLT-US^FE_TIMESERIES(EBITR,MEAN,2025,2025,FY,'BKRACTMED=1,WIN=0,UNITS=AUTO,DATE=NOW')":-169.1,"MPLT-US^FE_TIMESERIES(SGA,MEAN,2026/1F,2026/4F,FQ,'BKRACTMED=1,WIN=0,UNITS=AUTO,DATE=NOW')":[8.5,9.033334,9.733334,10.166667],"MPLT-US^FE_TIMESERIES(NETDEBT,MEAN,2023,2024,FY,'BKRACTMED=1,WIN=0,UNITS=AUTO,DATE=NOW')":[null,null],"MPLT-US^FE_TIMESERIES(EBITR,MEAN,2025/1F,2025/4F,FQ,'BKRACTMED=1,WIN=0,UNITS=AUTO,DATE=NOW')":[null,null,-31.5,-83.4],"MPLT-US^FE_TIMESERIES(TAX_EXPENSE,MEAN,2025,2025,FY,'BKRACTMED=1,WIN=0,UNITS=AUTO,DATE=NOW')":0.0,"MPLT-US^FE_TIMESERIES(EBIT,MEAN,2026/1F,2026/4F,FQ,'BKRACTMED=1,WIN=0,UNITS=AUTO,DATE=NOW')":[-43.55,-46.35,-49.275,-53.25],"MPLT-US^FE_TIMESERIES(GROSSINCOME,MEAN,2026,2027,FY,'BKRACTMED=1,WIN=0,UNITS=AUTO,DATE=NOW')":[0.0,0.0],"MPLT-US^FE_TIMESERIES(CURRENTASSETS,MEAN,2024,2030,FY,'BKRACTMED=1,WIN=0,UNITS=AUTO,DATE=NOW')":[null,324.7,340.3,400.75,256.65,211.0,161.35],"MPLT-US^FE_TIMESERIES(EBIT,MEAN,2025/1F,2025/4F,FQ,'BKRACTMED=1,WIN=0,UNITS=AUTO,DATE=NOW')":[null,-29.7,-31.5,-83.4],"MPLT-US^FE_TIMESERIES(SHEQUITY,MEAN,2025,2025,FY,'BKRACTMED=1,WIN=0,UNITS=AUTO,DATE=NOW')":458.4,"MPLT-US^FE_TIMESERIES(CASH_ST,MEAN,2024,2030,FY,'BKRACTMED=1,WIN=0,UNITS=AUTO,DATE=NOW')":[null,453.1,392.23334,430.15,286.05,240.5,221.15],"MPLT-US^FE_TIMESERIES(NETPROFIT,MEAN,2023,2024,FY,'BKRACTMED=1,WIN=0,UNITS=AUTO,DATE=NOW')":[null,null],"MPLT-US^FE_TIMESERIES(PTP,MEAN,2026/1F,2026/4F,FQ,'BKRACTMED=1,WIN=0,UNITS=AUTO,DATE=NOW')":[-41.575,-44.175,-47.3,-51.15],"MPLT-US^FE_TIMESERIES(PTP,MEAN,2025/1F,2025/4F,FQ,'BKRACTMED=1,WIN=0,UNITS=AUTO,DATE=NOW')":[null,-28.6,-29.4,-79.5],"MPLT-US^FE_TIMESERIES(INT_INCOME,MEAN,2026,2027,FY,'BKRACTMED=1,WIN=0,UNITS=AUTO,DATE=NOW')":[null,null],"MPLT-US^FE_TIMESERIES(EBIT,MEAN,2025,2025,FY,'BKRACTMED=1,WIN=0,UNITS=AUTO,DATE=NOW')":-169.1,"MPLT-US^FE_TIMESERIES(EBITDA,MEAN,2023,2024,FY,'BKRACTMED=1,WIN=0,UNITS=AUTO,DATE=NOW')":[null,null],"MPLT-US^FE_TIMESERIES(GROSSINCOME,MEAN,2026/1F,2026/4F,FQ,'BKRACTMED=1,WIN=0,UNITS=AUTO,DATE=NOW')":[0.0,0.0,0.0,0.0],"MPLT-US^FE_TIMESERIES(GROSSINCOME,MEAN,2025/1F,2025/4F,FQ,'BKRACTMED=1,WIN=0,UNITS=AUTO,DATE=NOW')":[null,0.0,0.0,0.0],"MPLT-US^FE_TIMESERIES(SHEQUITY,MEAN,2023,2024,FY,'BKRACTMED=1,WIN=0,UNITS=AUTO,DATE=NOW')":[null,null],"MPLT-US^PROPER(CONVERT_DATE(FE_TIMESERIES_PERIOD(,2023,2024,FY,'DISPLAY=YYYYMMDD'),\"MMM 'YY\"))":["Dec '23","Dec '24"],"MPLT-US^FE_TIMESERIES(BFNG,MEAN,2025,2025,FY,'BKRACTMED=1,WIN=0,UNITS=AUTO,DATE=NOW')":-161.2,"MPLT-US^FE_TIMESERIES(TAX_EXPENSE,MEAN,2023,2024,FY,'BKRACTMED=1,WIN=0,UNITS=AUTO,DATE=NOW')":[null,null],"MPLT-US^FE_TIMESERIES(INT_INCOME,MEAN,2026/1F,2026/4F,FQ,'BKRACTMED=1,WIN=0,UNITS=AUTO,DATE=NOW')":[null,null,null,null],"MPLT-US^FE_TIMESERIES(INT_INCOME,MEAN,2025/1F,2025/4F,FQ,'BKRACTMED=1,WIN=0,UNITS=AUTO,DATE=NOW')":[null,null,1.5,null],"MPLT-US^FE_TIMESERIES(EBITR,MEAN,2026,2027,FY,'BKRACTMED=1,WIN=0,UNITS=AUTO,DATE=NOW')":[-205.2,-302.0],"MPLT-US^FE_TIMESERIES(DEPR_AMORT,MEAN,2025,2025,FY,'BKRACTMED=1,WIN=0,UNITS=AUTO,DATE=NOW')":0.6,"MPLT-US^FE_TIMESERIES(RD_EXP,MEAN,2023,2024,FY,'BKRACTMED=1,WIN=0,UNITS=AUTO,DATE=NOW')":[null,null],"MPLT-US^FE_TIMESERIES(NETDEBT,MEAN,2026/1F,2026/4F,FQ,'BKRACTMED=1,WIN=0,UNITS=AUTO,DATE=NOW')":[-409.15,-362.9,-540.95,-492.5],"MPLT-US^FE_TIMESERIES(CASH_ST,MEAN,2026,2027,FY,'BKRACTMED=1,WIN=0,UNITS=AUTO,DATE=NOW')":[392.23334,430.15],"MPLT-US^FE_TIMESERIES(EAG,MEAN,2023,2024,FY,'BKRACTMED=1,WIN=0,UNITS=AUTO,DATE=NOW')":[null,null],"MPLT-US^FE_TIMESERIES(INVENTORIES,MEAN,2024,2030,FY,'BKRACTMED=1,WIN=0,UNITS=AUTO,DATE=NOW')":[null,0.0,0.0,0.0,0.0,0.0,0.2],"MPLT-US^FE_TIMESERIES(EBITR,MEAN,2026/1F,2026/4F,FQ,'BKRACTMED=1,WIN=0,UNITS=AUTO,DATE=NOW')":[-43.4,-48.0,-53.6,-60.2],"MPLT-US^FE_TIMESERIES(EPS,MEAN,2026/1F,2026/4F,FQ,'BKRACTMED=1,WIN=0,UNITS=AUTO,DATE=NOW')":[-0.948,-0.99,-0.98,-1.028],"MPLT-US^FE_TIMESERIES(RECEIV_NET,MEAN,2024,2030,FY,'BKRACTMED=1,WIN=0,UNITS=AUTO,DATE=NOW')":[null,0.0,0.0,0.0,0.0,0.0,2.75],"MPLT-US^FE_TIMESERIES(INVENTORIES,MEAN,2025/1F,2025/4F,FQ,'BKRACTMED=1,WIN=0,UNITS=AUTO,DATE=NOW')":[null,null,null,0.0],"MPLT-US^FE_TIMESERIES(CURRENTASSETS,MEAN,2026,2027,FY,'BKRACTMED=1,WIN=0,UNITS=AUTO,DATE=NOW')":[340.3,400.75],"MPLT-US^FE_TIMESERIES(EPS,MEAN,2025,2025,FY,'BKRACTMED=1,WIN=0,UNITS=AUTO,DATE=NOW')":-18.56,"MPLT-US^FE_TIMESERIES(EPS,MEAN,2023,2024,FY,'BKRACTMED=1,WIN=0,UNITS=AUTO,DATE=NOW')":[null,null],"MPLT-US^FE_TIMESERIES(CURRENTASSETS,MEAN,2025,2025,FY,'BKRACTMED=1,WIN=0,UNITS=AUTO,DATE=NOW')":324.7,"MPLT-US^FE_TIMESERIES(NETDEBT,MEAN,2025,2025,FY,'BKRACTMED=1,WIN=0,UNITS=AUTO,DATE=NOW')":-453.1,"MPLT-US^FE_TIMESERIES(SHEQUITY,MEAN,2026,2027,FY,'BKRACTMED=1,WIN=0,UNITS=AUTO,DATE=NOW')":[474.0,468.25],"MPLT-US^FE_TIMESERIES(TOTASSET,MEAN,2025,2025,FY,'BKRACTMED=1,WIN=0,UNITS=AUTO,DATE=NOW')":479.5,"MPLT-US^FE_TIMESERIES(TOTASSET,MEAN,2023,2024,FY,'BKRACTMED=1,WIN=0,UNITS=AUTO,DATE=NOW')":[null,null],"MPLT-US^FE_TIMESERIES(CURRENTLIABILITIES,MEAN,2026/1F,2026/4F,FQ,'BKRACTMED=1,WIN=0,UNITS=AUTO,DATE=NOW')":[16.2,16.2,16.2,16.2],"MPLT-US^FE_TIMESERIES(RECEIV_NET,MEAN,2025/1F,2025/4F,FQ,'BKRACTMED=1,WIN=0,UNITS=AUTO,DATE=NOW')":[null,null,null,0.0],"MPLT-US^FE_TIMESERIES(EAG,MEAN,2026,2027,FY,'BKRACTMED=1,WIN=0,UNITS=AUTO,DATE=NOW')":[-4.0866666,-4.735],"MPLT-US^FE_TIMESERIES(CURRENTLIABILITIES,MEAN,2026,2027,FY,'BKRACTMED=1,WIN=0,UNITS=AUTO,DATE=NOW')":[16.2,8.1],"MPLT-US^FE_TIMESERIES(RECEIV_NET,MEAN,2023,2024,FY,'BKRACTMED=1,WIN=0,UNITS=AUTO,DATE=NOW')":[null,null],"MPLT-US^FE_TIMESERIES(EAG,MEAN,2025/1F,2025/4F,FQ,'BKRACTMED=1,WIN=0,UNITS=AUTO,DATE=NOW')":[null,null,-37.18,-2.47],"MPLT-US^FE_TIMESERIES(NETDEBT,MEAN,2026,2027,FY,'BKRACTMED=1,WIN=0,UNITS=AUTO,DATE=NOW')":[-438.47427,-335.03198],"MPLT-US^FE_TIMESERIES(CURRENTLIABILITIES,MEAN,2025,2025,FY,'BKRACTMED=1,WIN=0,UNITS=AUTO,DATE=NOW')":16.2,"MPLT-US^FE_TIMESERIES(CURRENTLIABILITIES,MEAN,2023,2024,FY,'BKRACTMED=1,WIN=0,UNITS=AUTO,DATE=NOW')":[null,null],"MPLT-US^FE_TIMESERIES(INVENTORIES,MEAN,2026/1F,2026/4F,FQ,'BKRACTMED=1,WIN=0,UNITS=AUTO,DATE=NOW')":[0.0,0.0,0.0,0.0],"MPLT-US^FE_TIMESERIES(CASH_ST,MEAN,2025/1F,2025/4F,FQ,'BKRACTMED=1,WIN=0,UNITS=AUTO,DATE=NOW')":[null,null,227.2,453.1],"MPLT-US^FE_TIMESERIES(EPS,MEAN,2026,2027,FY,'BKRACTMED=1,WIN=0,UNITS=AUTO,DATE=NOW')":[-3.946,-4.1],"MPLT-US^FE_TIMESERIES(TOTASSET,MEAN,2026,2027,FY,'BKRACTMED=1,WIN=0,UNITS=AUTO,DATE=NOW')":[492.8,510.86667],"MPLT-US^FE_TIMESERIES(INVENTORIES,MEAN,2025,2025,FY,'BKRACTMED=1,WIN=0,UNITS=AUTO,DATE=NOW')":0.0,"MPLT-US^FE_TIMESERIES(INVENTORIES,MEAN,2023,2024,FY,'BKRACTMED=1,WIN=0,UNITS=AUTO,DATE=NOW')":[null,null],"MPLT-US^FE_TIMESERIES(RECEIV_NET,MEAN,2026/1F,2026/4F,FQ,'BKRACTMED=1,WIN=0,UNITS=AUTO,DATE=NOW')":[0.0,0.0,0.0,0.0],"MPLT-US^FE_TIMESERIES(CURRENTASSETS,MEAN,2025/1F,2025/4F,FQ,'BKRACTMED=1,WIN=0,UNITS=AUTO,DATE=NOW')":[null,null,null,324.7],"MPLT-US^FE_TIMESERIES(RECEIV_NET,MEAN,2025,2025,FY,'BKRACTMED=1,WIN=0,UNITS=AUTO,DATE=NOW')":0.0,"MPLT-US^FE_TIMESERIES(CASH_ST,MEAN,2026/1F,2026/4F,FQ,'BKRACTMED=1,WIN=0,UNITS=AUTO,DATE=NOW')":[409.15,362.9,540.95,492.5],"MPLT-US^FE_TIMESERIES(CURRENTASSETS,MEAN,2023,2024,FY,'BKRACTMED=1,WIN=0,UNITS=AUTO,DATE=NOW')":[null,null],"MPLT-US^FE_TIMESERIES(SHEQUITY,MEAN,2025/1F,2025/4F,FQ,'BKRACTMED=1,WIN=0,UNITS=AUTO,DATE=NOW')":[null,null,null,458.4],"MPLT-US^FE_TIMESERIES(NETDEBT,MEAN,2025/1F,2025/4F,FQ,'BKRACTMED=1,WIN=0,UNITS=AUTO,DATE=NOW')":[null,null,-227.2,-453.1],"MPLT-US^FE_TIMESERIES(INVENTORIES,MEAN,2026,2027,FY,'BKRACTMED=1,WIN=0,UNITS=AUTO,DATE=NOW')":[0.0,0.0],"MPLT-US^FE_TIMESERIES(CASH_ST,MEAN,2025,2025,FY,'BKRACTMED=1,WIN=0,UNITS=AUTO,DATE=NOW')":453.1,"MPLT-US^FE_TIMESERIES(CASH_ST,MEAN,2023,2024,FY,'BKRACTMED=1,WIN=0,UNITS=AUTO,DATE=NOW')":[null,null],"MPLT-US^FE_TIMESERIES(CURRENTASSETS,MEAN,2026/1F,2026/4F,FQ,'BKRACTMED=1,WIN=0,UNITS=AUTO,DATE=NOW')":[277.8,228.0,325.2,269.3],"MPLT-US^FE_TIMESERIES(EPS,MEAN,2025/1F,2025/4F,FQ,'BKRACTMED=1,WIN=0,UNITS=AUTO,DATE=NOW')":[null,-1.14,-37.18,-2.47],"MPLT-US^FE_TIMESERIES(SHEQUITY,MEAN,2026/1F,2026/4F,FQ,'BKRACTMED=1,WIN=0,UNITS=AUTO,DATE=NOW')":[411.5,361.7,458.9,403.0],"MPLT-US^FE_TIMESERIES(TOTASSET,MEAN,2025/1F,2025/4F,FQ,'BKRACTMED=1,WIN=0,UNITS=AUTO,DATE=NOW')":[null,84.1,null,479.5],"MPLT-US^FE_TIMESERIES(RECEIV_NET,MEAN,2026,2027,FY,'BKRACTMED=1,WIN=0,UNITS=AUTO,DATE=NOW')":[0.0,0.0],"MPLT-US^FE_TIMESERIES(EAG,MEAN,2026/1F,2026/4F,FQ,'BKRACTMED=1,WIN=0,UNITS=AUTO,DATE=NOW')":[-1.0066667,-1.05,-0.9866667,-1.0466666],"MPLT^P_PRICE(46092)":18.89,"MPLT^OS_SEC_SI_PCTFLT(0D,,D)":11.0498049545198,"MPLT^P_VOLUME_AVG(0,-3AM,,,0)":199490.47,"MPLT^FREF_MARKET_VALUE_COMPANY(0,0,,,1,0,,\"LEGACY\")":883.948648038,"MPLT^FF_CASH_ST(LTMSG,04/02/2026,,,,LOCAL)":305.103,"MPLT^FREF_MARKET_VALUE_COMPANY(0,,,,,0)":898.377005038172,"MPLT^FF_CASH_ST(LTMSG,46118,,,,LOCAL)":305.103,"MPLT^P_PRICE(46118)":22.61}]]></FdsFormulaCache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25C545D03AB44BD1A74E0497B8F76" ma:contentTypeVersion="15" ma:contentTypeDescription="Create a new document." ma:contentTypeScope="" ma:versionID="c5858ca561e7aee6ae101e8f0b40370f">
  <xsd:schema xmlns:xsd="http://www.w3.org/2001/XMLSchema" xmlns:xs="http://www.w3.org/2001/XMLSchema" xmlns:p="http://schemas.microsoft.com/office/2006/metadata/properties" xmlns:ns2="b40484f1-8ecf-451b-a3e2-a81f6d9826ba" xmlns:ns3="87363e36-27a6-4fdc-b48e-7545aa6b31eb" targetNamespace="http://schemas.microsoft.com/office/2006/metadata/properties" ma:root="true" ma:fieldsID="47332c2123f397779704c7547431355e" ns2:_="" ns3:_="">
    <xsd:import namespace="b40484f1-8ecf-451b-a3e2-a81f6d9826ba"/>
    <xsd:import namespace="87363e36-27a6-4fdc-b48e-7545aa6b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484f1-8ecf-451b-a3e2-a81f6d9826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a853221-597e-41dc-91a1-3bf77b89a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63e36-27a6-4fdc-b48e-7545aa6b31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9807ce-db71-4af1-9601-6a0da81c796d}" ma:internalName="TaxCatchAll" ma:showField="CatchAllData" ma:web="87363e36-27a6-4fdc-b48e-7545aa6b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363e36-27a6-4fdc-b48e-7545aa6b31eb" xsi:nil="true"/>
    <lcf76f155ced4ddcb4097134ff3c332f xmlns="b40484f1-8ecf-451b-a3e2-a81f6d9826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32DD4-3636-4A6C-A363-D7E340DB11A7}">
  <ds:schemaRefs>
    <ds:schemaRef ds:uri="urn:fdsformulacache"/>
  </ds:schemaRefs>
</ds:datastoreItem>
</file>

<file path=customXml/itemProps2.xml><?xml version="1.0" encoding="utf-8"?>
<ds:datastoreItem xmlns:ds="http://schemas.openxmlformats.org/officeDocument/2006/customXml" ds:itemID="{7A67CA9B-7F87-4AA0-A22A-6189364F1D50}"/>
</file>

<file path=customXml/itemProps3.xml><?xml version="1.0" encoding="utf-8"?>
<ds:datastoreItem xmlns:ds="http://schemas.openxmlformats.org/officeDocument/2006/customXml" ds:itemID="{630E7D7D-D3D8-4016-B18A-ADECA3368969}"/>
</file>

<file path=customXml/itemProps4.xml><?xml version="1.0" encoding="utf-8"?>
<ds:datastoreItem xmlns:ds="http://schemas.openxmlformats.org/officeDocument/2006/customXml" ds:itemID="{94ED7C5D-39DC-4DE7-9652-F7A6B7709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Variance</vt:lpstr>
      <vt:lpstr>IS</vt:lpstr>
      <vt:lpstr>OPEX</vt:lpstr>
      <vt:lpstr>REVENUE</vt:lpstr>
      <vt:lpstr>ML007MA_ME</vt:lpstr>
      <vt:lpstr>Ph2 Scenarios</vt:lpstr>
      <vt:lpstr>CF</vt:lpstr>
      <vt:lpstr>BS</vt:lpstr>
      <vt:lpstr>SOTP</vt:lpstr>
      <vt:lpstr>SOTP-FIGURE</vt:lpstr>
      <vt:lpstr>VA Consensus</vt:lpstr>
      <vt:lpstr>TODO</vt:lpstr>
      <vt:lpstr>FactSet</vt:lpstr>
      <vt:lpstr>MARKETING</vt:lpstr>
      <vt:lpstr>CHANGES</vt:lpstr>
      <vt:lpstr>ML007MA_ME!Notes</vt:lpstr>
    </vt:vector>
  </TitlesOfParts>
  <Company>Needham and Company,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Chang</dc:creator>
  <cp:lastModifiedBy>Kannan, Poorna</cp:lastModifiedBy>
  <cp:lastPrinted>2026-04-07T14:54:21Z</cp:lastPrinted>
  <dcterms:created xsi:type="dcterms:W3CDTF">2021-11-10T15:24:22Z</dcterms:created>
  <dcterms:modified xsi:type="dcterms:W3CDTF">2026-04-07T14:56:23Z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1</vt:i4>
  </property>
  <property fmtid="{D5CDD505-2E9C-101B-9397-08002B2CF9AE}" pid="3" name="Id">
    <vt:lpwstr>cba70b98-4093-455e-aca9-2eee89304444</vt:lpwstr>
  </property>
  <property fmtid="{D5CDD505-2E9C-101B-9397-08002B2CF9AE}" pid="4" name="ContentTypeId">
    <vt:lpwstr>0x010100C5125C545D03AB44BD1A74E0497B8F76</vt:lpwstr>
  </property>
</Properties>
</file>